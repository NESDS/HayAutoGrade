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DSko\Desktop\DevAI\HayAutoGrade\data\"/>
    </mc:Choice>
  </mc:AlternateContent>
  <xr:revisionPtr revIDLastSave="0" documentId="13_ncr:1_{B2F35939-4EA4-46F3-8979-D9071675EAA7}" xr6:coauthVersionLast="47" xr6:coauthVersionMax="47" xr10:uidLastSave="{00000000-0000-0000-0000-000000000000}"/>
  <bookViews>
    <workbookView xWindow="-110" yWindow="-110" windowWidth="19420" windowHeight="10420" tabRatio="644" xr2:uid="{00000000-000D-0000-FFFF-FFFF00000000}"/>
  </bookViews>
  <sheets>
    <sheet name="Расчет грейда" sheetId="1" r:id="rId1"/>
    <sheet name="ТРС общая" sheetId="6" r:id="rId2"/>
    <sheet name="справочная информация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__________Co50" hidden="1">{#N/A,"DR",FALSE,"increm pf";#N/A,"MAMSI",FALSE,"increm pf";#N/A,"MAXI",FALSE,"increm pf";#N/A,"PCAM",FALSE,"increm pf";#N/A,"PHSV",FALSE,"increm pf";#N/A,"SIE",FALSE,"increm pf"}</definedName>
    <definedName name="___________o1" hidden="1">{"det (May)",#N/A,FALSE,"June";"sum (MAY YTD)",#N/A,FALSE,"June YTD"}</definedName>
    <definedName name="__________Co50" hidden="1">{#N/A,"DR",FALSE,"increm pf";#N/A,"MAMSI",FALSE,"increm pf";#N/A,"MAXI",FALSE,"increm pf";#N/A,"PCAM",FALSE,"increm pf";#N/A,"PHSV",FALSE,"increm pf";#N/A,"SIE",FALSE,"increm pf"}</definedName>
    <definedName name="__________o1" hidden="1">{"det (May)",#N/A,FALSE,"June";"sum (MAY YTD)",#N/A,FALSE,"June YTD"}</definedName>
    <definedName name="_________Co50" hidden="1">{#N/A,"DR",FALSE,"increm pf";#N/A,"MAMSI",FALSE,"increm pf";#N/A,"MAXI",FALSE,"increm pf";#N/A,"PCAM",FALSE,"increm pf";#N/A,"PHSV",FALSE,"increm pf";#N/A,"SIE",FALSE,"increm pf"}</definedName>
    <definedName name="_________o1" hidden="1">{"det (May)",#N/A,FALSE,"June";"sum (MAY YTD)",#N/A,FALSE,"June YTD"}</definedName>
    <definedName name="________Co50" hidden="1">{#N/A,"DR",FALSE,"increm pf";#N/A,"MAMSI",FALSE,"increm pf";#N/A,"MAXI",FALSE,"increm pf";#N/A,"PCAM",FALSE,"increm pf";#N/A,"PHSV",FALSE,"increm pf";#N/A,"SIE",FALSE,"increm pf"}</definedName>
    <definedName name="________o1" hidden="1">{"det (May)",#N/A,FALSE,"June";"sum (MAY YTD)",#N/A,FALSE,"June YTD"}</definedName>
    <definedName name="_______Co50" hidden="1">{#N/A,"DR",FALSE,"increm pf";#N/A,"MAMSI",FALSE,"increm pf";#N/A,"MAXI",FALSE,"increm pf";#N/A,"PCAM",FALSE,"increm pf";#N/A,"PHSV",FALSE,"increm pf";#N/A,"SIE",FALSE,"increm pf"}</definedName>
    <definedName name="_______o1" hidden="1">{"det (May)",#N/A,FALSE,"June";"sum (MAY YTD)",#N/A,FALSE,"June YTD"}</definedName>
    <definedName name="______Co50" hidden="1">{#N/A,"DR",FALSE,"increm pf";#N/A,"MAMSI",FALSE,"increm pf";#N/A,"MAXI",FALSE,"increm pf";#N/A,"PCAM",FALSE,"increm pf";#N/A,"PHSV",FALSE,"increm pf";#N/A,"SIE",FALSE,"increm pf"}</definedName>
    <definedName name="______o1" hidden="1">{"det (May)",#N/A,FALSE,"June";"sum (MAY YTD)",#N/A,FALSE,"June YTD"}</definedName>
    <definedName name="_____Co50" hidden="1">{#N/A,"DR",FALSE,"increm pf";#N/A,"MAMSI",FALSE,"increm pf";#N/A,"MAXI",FALSE,"increm pf";#N/A,"PCAM",FALSE,"increm pf";#N/A,"PHSV",FALSE,"increm pf";#N/A,"SIE",FALSE,"increm pf"}</definedName>
    <definedName name="_____o1" hidden="1">{"det (May)",#N/A,FALSE,"June";"sum (MAY YTD)",#N/A,FALSE,"June YTD"}</definedName>
    <definedName name="____Co50" hidden="1">{#N/A,"DR",FALSE,"increm pf";#N/A,"MAMSI",FALSE,"increm pf";#N/A,"MAXI",FALSE,"increm pf";#N/A,"PCAM",FALSE,"increm pf";#N/A,"PHSV",FALSE,"increm pf";#N/A,"SIE",FALSE,"increm pf"}</definedName>
    <definedName name="____o1" hidden="1">{"det (May)",#N/A,FALSE,"June";"sum (MAY YTD)",#N/A,FALSE,"June YTD"}</definedName>
    <definedName name="___Co50" hidden="1">{#N/A,"DR",FALSE,"increm pf";#N/A,"MAMSI",FALSE,"increm pf";#N/A,"MAXI",FALSE,"increm pf";#N/A,"PCAM",FALSE,"increm pf";#N/A,"PHSV",FALSE,"increm pf";#N/A,"SIE",FALSE,"increm pf"}</definedName>
    <definedName name="___o1" hidden="1">{"det (May)",#N/A,FALSE,"June";"sum (MAY YTD)",#N/A,FALSE,"June YTD"}</definedName>
    <definedName name="___xlfn.BAHTTEXT" hidden="1">#NAME?</definedName>
    <definedName name="__123Graph_" hidden="1">'[1]N oncustomer Template'!#REF!</definedName>
    <definedName name="__123Graph_A" hidden="1">[2]Assum!#REF!</definedName>
    <definedName name="__123Graph_B" hidden="1">[2]Assum!$E$16:$E$22</definedName>
    <definedName name="__123Graph_C" hidden="1">[2]Assum!#REF!</definedName>
    <definedName name="__123Graph_D" hidden="1">[2]Assum!$F$16:$F$22</definedName>
    <definedName name="__123Graph_E" hidden="1">[2]Assum!$H$16:$H$22</definedName>
    <definedName name="__123Graph_F" hidden="1">'[1]N oncustomer Template'!#REF!</definedName>
    <definedName name="__123Graph_X" hidden="1">'[1]N oncustomer Template'!#REF!</definedName>
    <definedName name="__A11" hidden="1">{#N/A,#N/A,FALSE,"Umsatz 99";#N/A,#N/A,FALSE,"ER 99 "}</definedName>
    <definedName name="__BALANCE_VAL" hidden="1">[3]XLR_NoRangeSheet!$B$11</definedName>
    <definedName name="__BALANCE_VAL2" hidden="1">[3]XLR_NoRangeSheet!$C$11</definedName>
    <definedName name="__c" hidden="1">{"Fiesta Facer Page",#N/A,FALSE,"Q_C_S";"Fiesta Main Page",#N/A,FALSE,"V_L";"Fiesta 95BP Struct",#N/A,FALSE,"StructBP";"Fiesta Post 95BP Struct",#N/A,FALSE,"AdjStructBP"}</definedName>
    <definedName name="__Co50" hidden="1">{#N/A,"DR",FALSE,"increm pf";#N/A,"MAMSI",FALSE,"increm pf";#N/A,"MAXI",FALSE,"increm pf";#N/A,"PCAM",FALSE,"increm pf";#N/A,"PHSV",FALSE,"increm pf";#N/A,"SIE",FALSE,"increm pf"}</definedName>
    <definedName name="__LIST_VAL" hidden="1">[3]XLR_NoRangeSheet!$B$13</definedName>
    <definedName name="__o1" hidden="1">{"det (May)",#N/A,FALSE,"June";"sum (MAY YTD)",#N/A,FALSE,"June YTD"}</definedName>
    <definedName name="__xlfn.BAHTTEXT" hidden="1">#NAME?</definedName>
    <definedName name="_1wrn.²Ä1­Ó¤ë1_Ü20¤H." hidden="1">{#N/A,#N/A,FALSE,"²Ä1­Ó¤ë"}</definedName>
    <definedName name="_2" hidden="1">#REF!</definedName>
    <definedName name="_A11" hidden="1">{#N/A,#N/A,FALSE,"Umsatz 99";#N/A,#N/A,FALSE,"ER 99 "}</definedName>
    <definedName name="_c" hidden="1">{"Fiesta Facer Page",#N/A,FALSE,"Q_C_S";"Fiesta Main Page",#N/A,FALSE,"V_L";"Fiesta 95BP Struct",#N/A,FALSE,"StructBP";"Fiesta Post 95BP Struct",#N/A,FALSE,"AdjStructBP"}</definedName>
    <definedName name="_Co50" hidden="1">{#N/A,"DR",FALSE,"increm pf";#N/A,"MAMSI",FALSE,"increm pf";#N/A,"MAXI",FALSE,"increm pf";#N/A,"PCAM",FALSE,"increm pf";#N/A,"PHSV",FALSE,"increm pf";#N/A,"SIE",FALSE,"increm pf"}</definedName>
    <definedName name="_Key1" hidden="1">#REF!</definedName>
    <definedName name="_o1" hidden="1">{"det (May)",#N/A,FALSE,"June";"sum (MAY YTD)",#N/A,FALSE,"June YTD"}</definedName>
    <definedName name="_Order1" hidden="1">255</definedName>
    <definedName name="_Sort" hidden="1">#REF!</definedName>
    <definedName name="_Table2_Out" hidden="1">#REF!</definedName>
    <definedName name="_z" hidden="1">{"'CVB-Zinssatz Akt'!$A$2:$M$10","'CVB Ist'!$C$35:$O$37"}</definedName>
    <definedName name="_выап" hidden="1">#REF!</definedName>
    <definedName name="_xlnm._FilterDatabase" localSheetId="0" hidden="1">'Расчет грейда'!$A$18:$BF$185</definedName>
    <definedName name="_xlnm._FilterDatabase" hidden="1">#REF!</definedName>
    <definedName name="aa" hidden="1">[4]Matrix!#REF!</definedName>
    <definedName name="aaaa" hidden="1">{"det (May)",#N/A,FALSE,"June";"sum (MAY YTD)",#N/A,FALSE,"June YTD"}</definedName>
    <definedName name="aaaaa" hidden="1">{"det (May)",#N/A,FALSE,"June";"sum (MAY YTD)",#N/A,FALSE,"June YTD"}</definedName>
    <definedName name="ab" hidden="1">{"'CVB-Zinssatz Akt'!$A$2:$M$10","'CVB Ist'!$C$35:$O$37"}</definedName>
    <definedName name="abc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ccessDatabase" hidden="1">"C:\Мои документы\Ермек\Insurance.mdb"</definedName>
    <definedName name="Actual_2005" hidden="1">{"'CVB-Zinssatz Akt'!$A$2:$M$10","'CVB Ist'!$C$35:$O$37"}</definedName>
    <definedName name="Actual_2006" hidden="1">{"'CVB-Zinssatz Akt'!$A$2:$M$10","'CVB Ist'!$C$35:$O$37"}</definedName>
    <definedName name="ACwvu.Для._.И.М.." hidden="1">[5]кредпортф!#REF!</definedName>
    <definedName name="All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nisa" hidden="1">{"Cover",#N/A,FALSE,"Cover";#N/A,#N/A,FALSE,"Kommentar";"GuV1",#N/A,FALSE,"Eingabe_Daten_GuV_Sonstiges";"Kennzahlen",#N/A,FALSE,"Eingabe_Daten_GuV_Sonstiges";"Eckdaten1",#N/A,FALSE,"Eckdaten_Versand"}</definedName>
    <definedName name="anscount" hidden="1">1</definedName>
    <definedName name="AS2DocOpenMode" hidden="1">"AS2DocumentBrowse"</definedName>
    <definedName name="asd" hidden="1">[6]Matrix!#REF!</definedName>
    <definedName name="asdsa" hidden="1">#REF!</definedName>
    <definedName name="B" hidden="1">{"'Всего'!$A$1:$F$19"}</definedName>
    <definedName name="BAEinstaeinova" hidden="1">{"'CVB-Zinssatz Akt'!$A$2:$M$10","'CVB Ist'!$C$35:$O$37"}</definedName>
    <definedName name="BAL" hidden="1">#REF!</definedName>
    <definedName name="BALMSB_B20311" hidden="1">[7]XLR_NoRangeSheet!$BO$9</definedName>
    <definedName name="BALMSB_B20311_03" hidden="1">[7]XLR_NoRangeSheet!$BP$9</definedName>
    <definedName name="BALMSB_B20311_04" hidden="1">[7]XLR_NoRangeSheet!$BQ$9</definedName>
    <definedName name="BALMSB_B20317" hidden="1">[7]XLR_NoRangeSheet!$J$9</definedName>
    <definedName name="BALMSB_B20317_03" hidden="1">[7]XLR_NoRangeSheet!$K$9</definedName>
    <definedName name="BALMSB_B20317_04" hidden="1">[7]XLR_NoRangeSheet!$L$9</definedName>
    <definedName name="BALMSB_B30126_01" hidden="1">[7]XLR_NoRangeSheet!$IB$9</definedName>
    <definedName name="BALMSB_B30226_01" hidden="1">[7]XLR_NoRangeSheet!$IC$9</definedName>
    <definedName name="BALMSB_B30233_01" hidden="1">[7]XLR_NoRangeSheet!$HA$9</definedName>
    <definedName name="BALMSB_B30233_02" hidden="1">[7]XLR_NoRangeSheet!$HB$9</definedName>
    <definedName name="BALMSB_B30607_01" hidden="1">[7]XLR_NoRangeSheet!$ID$9</definedName>
    <definedName name="BALMSB_B32115_01" hidden="1">[7]XLR_NoRangeSheet!$GB$9</definedName>
    <definedName name="BALMSB_B32202_01" hidden="1">[7]XLR_NoRangeSheet!$BC$9</definedName>
    <definedName name="BALMSB_B32202_02" hidden="1">[7]XLR_NoRangeSheet!$BD$9</definedName>
    <definedName name="BALMSB_B32203_01" hidden="1">[7]XLR_NoRangeSheet!$BE$9</definedName>
    <definedName name="BALMSB_B32203_02" hidden="1">[7]XLR_NoRangeSheet!$BF$9</definedName>
    <definedName name="BALMSB_B32204_01" hidden="1">[7]XLR_NoRangeSheet!$BG$9</definedName>
    <definedName name="BALMSB_B32204_02" hidden="1">[7]XLR_NoRangeSheet!$BH$9</definedName>
    <definedName name="BALMSB_B32205_01" hidden="1">[7]XLR_NoRangeSheet!$BI$9</definedName>
    <definedName name="BALMSB_B32205_02" hidden="1">[7]XLR_NoRangeSheet!$BJ$9</definedName>
    <definedName name="BALMSB_B32206_01" hidden="1">[7]XLR_NoRangeSheet!$BK$9</definedName>
    <definedName name="BALMSB_B32206_02" hidden="1">[7]XLR_NoRangeSheet!$BL$9</definedName>
    <definedName name="BALMSB_B32207_01" hidden="1">[7]XLR_NoRangeSheet!$BM$9</definedName>
    <definedName name="BALMSB_B32207_02" hidden="1">[7]XLR_NoRangeSheet!$BN$9</definedName>
    <definedName name="BALMSB_B32311_01" hidden="1">[7]XLR_NoRangeSheet!$GC$9</definedName>
    <definedName name="BALMSB_B32401_01" hidden="1">[7]XLR_NoRangeSheet!$H$9</definedName>
    <definedName name="BALMSB_B32401_02" hidden="1">[7]XLR_NoRangeSheet!$I$9</definedName>
    <definedName name="BALMSB_B32403_01" hidden="1">[7]XLR_NoRangeSheet!$GD$9</definedName>
    <definedName name="BALMSB_B32403_02" hidden="1">[7]XLR_NoRangeSheet!$GE$9</definedName>
    <definedName name="BALMSB_B45615_01" hidden="1">[7]XLR_NoRangeSheet!$GG$9</definedName>
    <definedName name="BALMSB_B45715_01" hidden="1">[7]XLR_NoRangeSheet!$GH$9</definedName>
    <definedName name="BALMSB_B45801_01" hidden="1">[7]XLR_NoRangeSheet!$Y$9</definedName>
    <definedName name="BALMSB_B45801_02" hidden="1">[7]XLR_NoRangeSheet!$Z$9</definedName>
    <definedName name="BALMSB_B45802_01" hidden="1">[7]XLR_NoRangeSheet!$AA$9</definedName>
    <definedName name="BALMSB_B45802_02" hidden="1">[7]XLR_NoRangeSheet!$AB$9</definedName>
    <definedName name="BALMSB_B45803_02" hidden="1">[7]XLR_NoRangeSheet!$AD$9</definedName>
    <definedName name="BALMSB_B45804_02" hidden="1">[7]XLR_NoRangeSheet!$AF$9</definedName>
    <definedName name="BALMSB_B45805_01" hidden="1">[7]XLR_NoRangeSheet!$AG$9</definedName>
    <definedName name="BALMSB_B45805_02" hidden="1">[7]XLR_NoRangeSheet!$AH$9</definedName>
    <definedName name="BALMSB_B45806_01" hidden="1">[7]XLR_NoRangeSheet!$AI$9</definedName>
    <definedName name="BALMSB_B45806_02" hidden="1">[7]XLR_NoRangeSheet!$AJ$9</definedName>
    <definedName name="BALMSB_B45807_01" hidden="1">[7]XLR_NoRangeSheet!$AK$9</definedName>
    <definedName name="BALMSB_B45809_01" hidden="1">[7]XLR_NoRangeSheet!$AO$9</definedName>
    <definedName name="BALMSB_B45809_02" hidden="1">[7]XLR_NoRangeSheet!$AP$9</definedName>
    <definedName name="BALMSB_B45810_01" hidden="1">[7]XLR_NoRangeSheet!$AQ$9</definedName>
    <definedName name="BALMSB_B45810_02" hidden="1">[7]XLR_NoRangeSheet!$AR$9</definedName>
    <definedName name="BALMSB_B45811_01" hidden="1">[7]XLR_NoRangeSheet!$AS$9</definedName>
    <definedName name="BALMSB_B45811_02" hidden="1">[7]XLR_NoRangeSheet!$AT$9</definedName>
    <definedName name="BALMSB_B45812_01" hidden="1">[7]XLR_NoRangeSheet!$AU$9</definedName>
    <definedName name="BALMSB_B45812_02" hidden="1">[7]XLR_NoRangeSheet!$AV$9</definedName>
    <definedName name="BALMSB_B45813_01" hidden="1">[7]XLR_NoRangeSheet!$AW$9</definedName>
    <definedName name="BALMSB_B45813_02" hidden="1">[7]XLR_NoRangeSheet!$AX$9</definedName>
    <definedName name="BALMSB_B45816_01" hidden="1">[7]XLR_NoRangeSheet!$AY$9</definedName>
    <definedName name="BALMSB_B45816_02" hidden="1">[7]XLR_NoRangeSheet!$AZ$9</definedName>
    <definedName name="BALMSB_B45818_01" hidden="1">[7]XLR_NoRangeSheet!$GI$9</definedName>
    <definedName name="BALMSB_B46002_01" hidden="1">[7]XLR_NoRangeSheet!$BR$9</definedName>
    <definedName name="BALMSB_B46002_02" hidden="1">[7]XLR_NoRangeSheet!$BS$9</definedName>
    <definedName name="BALMSB_B46003_01" hidden="1">[7]XLR_NoRangeSheet!$BT$9</definedName>
    <definedName name="BALMSB_B46003_02" hidden="1">[7]XLR_NoRangeSheet!$BU$9</definedName>
    <definedName name="BALMSB_B46004_01" hidden="1">[7]XLR_NoRangeSheet!$BV$9</definedName>
    <definedName name="BALMSB_B46004_02" hidden="1">[7]XLR_NoRangeSheet!$BW$9</definedName>
    <definedName name="BALMSB_B46005_01" hidden="1">[7]XLR_NoRangeSheet!$BX$9</definedName>
    <definedName name="BALMSB_B46005_02" hidden="1">[7]XLR_NoRangeSheet!$BY$9</definedName>
    <definedName name="BALMSB_B46102_01" hidden="1">[7]XLR_NoRangeSheet!$BZ$9</definedName>
    <definedName name="BALMSB_B46102_02" hidden="1">[7]XLR_NoRangeSheet!$CA$9</definedName>
    <definedName name="BALMSB_B46103_01" hidden="1">[7]XLR_NoRangeSheet!$CB$9</definedName>
    <definedName name="BALMSB_B46103_02" hidden="1">[7]XLR_NoRangeSheet!$CC$9</definedName>
    <definedName name="BALMSB_B46104_01" hidden="1">[7]XLR_NoRangeSheet!$CD$9</definedName>
    <definedName name="BALMSB_B46104_02" hidden="1">[7]XLR_NoRangeSheet!$CE$9</definedName>
    <definedName name="BALMSB_B46105_01" hidden="1">[7]XLR_NoRangeSheet!$CF$9</definedName>
    <definedName name="BALMSB_B46105_02" hidden="1">[7]XLR_NoRangeSheet!$CG$9</definedName>
    <definedName name="BALMSB_B46202_01" hidden="1">[7]XLR_NoRangeSheet!$CH$9</definedName>
    <definedName name="BALMSB_B46202_02" hidden="1">[7]XLR_NoRangeSheet!$CI$9</definedName>
    <definedName name="BALMSB_B46203_01" hidden="1">[7]XLR_NoRangeSheet!$CJ$9</definedName>
    <definedName name="BALMSB_B46203_02" hidden="1">[7]XLR_NoRangeSheet!$CK$9</definedName>
    <definedName name="BALMSB_B46204_01" hidden="1">[7]XLR_NoRangeSheet!$CL$9</definedName>
    <definedName name="BALMSB_B46204_02" hidden="1">[7]XLR_NoRangeSheet!$CM$9</definedName>
    <definedName name="BALMSB_B46205_01" hidden="1">[7]XLR_NoRangeSheet!$CN$9</definedName>
    <definedName name="BALMSB_B46205_02" hidden="1">[7]XLR_NoRangeSheet!$CO$9</definedName>
    <definedName name="BALMSB_B46302_01" hidden="1">[7]XLR_NoRangeSheet!$CP$9</definedName>
    <definedName name="BALMSB_B46302_02" hidden="1">[7]XLR_NoRangeSheet!$CQ$9</definedName>
    <definedName name="BALMSB_B46303_01" hidden="1">[7]XLR_NoRangeSheet!$CR$9</definedName>
    <definedName name="BALMSB_B46303_02" hidden="1">[7]XLR_NoRangeSheet!$CS$9</definedName>
    <definedName name="BALMSB_B46304_01" hidden="1">[7]XLR_NoRangeSheet!$CT$9</definedName>
    <definedName name="BALMSB_B46304_02" hidden="1">[7]XLR_NoRangeSheet!$CU$9</definedName>
    <definedName name="BALMSB_B46305_01" hidden="1">[7]XLR_NoRangeSheet!$CV$9</definedName>
    <definedName name="BALMSB_B46305_02" hidden="1">[7]XLR_NoRangeSheet!$CW$9</definedName>
    <definedName name="BALMSB_B46402_01" hidden="1">[7]XLR_NoRangeSheet!$CX$9</definedName>
    <definedName name="BALMSB_B46402_02" hidden="1">[7]XLR_NoRangeSheet!$CY$9</definedName>
    <definedName name="BALMSB_B46403_01" hidden="1">[7]XLR_NoRangeSheet!$CZ$9</definedName>
    <definedName name="BALMSB_B46403_02" hidden="1">[7]XLR_NoRangeSheet!$DA$9</definedName>
    <definedName name="BALMSB_B46404_01" hidden="1">[7]XLR_NoRangeSheet!$DB$9</definedName>
    <definedName name="BALMSB_B46404_02" hidden="1">[7]XLR_NoRangeSheet!$DC$9</definedName>
    <definedName name="BALMSB_B46405_01" hidden="1">[7]XLR_NoRangeSheet!$DD$9</definedName>
    <definedName name="BALMSB_B46405_02" hidden="1">[7]XLR_NoRangeSheet!$DE$9</definedName>
    <definedName name="BALMSB_B46502_01" hidden="1">[7]XLR_NoRangeSheet!$DF$9</definedName>
    <definedName name="BALMSB_B46502_02" hidden="1">[7]XLR_NoRangeSheet!$DG$9</definedName>
    <definedName name="BALMSB_B46503_01" hidden="1">[7]XLR_NoRangeSheet!$DH$9</definedName>
    <definedName name="BALMSB_B46503_02" hidden="1">[7]XLR_NoRangeSheet!$DI$9</definedName>
    <definedName name="BALMSB_B46504_01" hidden="1">[7]XLR_NoRangeSheet!$DJ$9</definedName>
    <definedName name="BALMSB_B46504_02" hidden="1">[7]XLR_NoRangeSheet!$DK$9</definedName>
    <definedName name="BALMSB_B46505_01" hidden="1">[7]XLR_NoRangeSheet!$DL$9</definedName>
    <definedName name="BALMSB_B46505_02" hidden="1">[7]XLR_NoRangeSheet!$DM$9</definedName>
    <definedName name="BALMSB_B46602_01" hidden="1">[7]XLR_NoRangeSheet!$DN$9</definedName>
    <definedName name="BALMSB_B46602_02" hidden="1">[7]XLR_NoRangeSheet!$DO$9</definedName>
    <definedName name="BALMSB_B46603_01" hidden="1">[7]XLR_NoRangeSheet!$DP$9</definedName>
    <definedName name="BALMSB_B46604_02" hidden="1">[7]XLR_NoRangeSheet!$DS$9</definedName>
    <definedName name="BALMSB_B46605_01" hidden="1">[7]XLR_NoRangeSheet!$DT$9</definedName>
    <definedName name="BALMSB_B46605_02" hidden="1">[7]XLR_NoRangeSheet!$DU$9</definedName>
    <definedName name="BALMSB_B46702_01" hidden="1">[7]XLR_NoRangeSheet!$DV$9</definedName>
    <definedName name="BALMSB_B46702_02" hidden="1">[7]XLR_NoRangeSheet!$DW$9</definedName>
    <definedName name="BALMSB_B46703_01" hidden="1">[7]XLR_NoRangeSheet!$DX$9</definedName>
    <definedName name="BALMSB_B46703_02" hidden="1">[7]XLR_NoRangeSheet!$DY$9</definedName>
    <definedName name="BALMSB_B46704_01" hidden="1">[7]XLR_NoRangeSheet!$DZ$9</definedName>
    <definedName name="BALMSB_B46704_02" hidden="1">[7]XLR_NoRangeSheet!$EA$9</definedName>
    <definedName name="BALMSB_B46705_01" hidden="1">[7]XLR_NoRangeSheet!$EB$9</definedName>
    <definedName name="BALMSB_B46705_02" hidden="1">[7]XLR_NoRangeSheet!$EC$9</definedName>
    <definedName name="BALMSB_B46802_01" hidden="1">[7]XLR_NoRangeSheet!$ED$9</definedName>
    <definedName name="BALMSB_B46802_02" hidden="1">[7]XLR_NoRangeSheet!$EE$9</definedName>
    <definedName name="BALMSB_B46803_01" hidden="1">[7]XLR_NoRangeSheet!$EF$9</definedName>
    <definedName name="BALMSB_B46803_02" hidden="1">[7]XLR_NoRangeSheet!$EG$9</definedName>
    <definedName name="BALMSB_B46804_01" hidden="1">[7]XLR_NoRangeSheet!$EH$9</definedName>
    <definedName name="BALMSB_B46804_02" hidden="1">[7]XLR_NoRangeSheet!$EI$9</definedName>
    <definedName name="BALMSB_B46805_01" hidden="1">[7]XLR_NoRangeSheet!$EJ$9</definedName>
    <definedName name="BALMSB_B46805_02" hidden="1">[7]XLR_NoRangeSheet!$EK$9</definedName>
    <definedName name="BALMSB_B46902_01" hidden="1">[7]XLR_NoRangeSheet!$EL$9</definedName>
    <definedName name="BALMSB_B46902_02" hidden="1">[7]XLR_NoRangeSheet!$EM$9</definedName>
    <definedName name="BALMSB_B46903_01" hidden="1">[7]XLR_NoRangeSheet!$EN$9</definedName>
    <definedName name="BALMSB_B46903_02" hidden="1">[7]XLR_NoRangeSheet!$EO$9</definedName>
    <definedName name="BALMSB_B46904_01" hidden="1">[7]XLR_NoRangeSheet!$EP$9</definedName>
    <definedName name="BALMSB_B46904_02" hidden="1">[7]XLR_NoRangeSheet!$EQ$9</definedName>
    <definedName name="BALMSB_B46905_01" hidden="1">[7]XLR_NoRangeSheet!$ER$9</definedName>
    <definedName name="BALMSB_B46905_02" hidden="1">[7]XLR_NoRangeSheet!$ES$9</definedName>
    <definedName name="BALMSB_B47002_01" hidden="1">[7]XLR_NoRangeSheet!$ET$9</definedName>
    <definedName name="BALMSB_B47002_02" hidden="1">[7]XLR_NoRangeSheet!$EU$9</definedName>
    <definedName name="BALMSB_B47003_01" hidden="1">[7]XLR_NoRangeSheet!$EV$9</definedName>
    <definedName name="BALMSB_B47003_02" hidden="1">[7]XLR_NoRangeSheet!$EW$9</definedName>
    <definedName name="BALMSB_B47004_01" hidden="1">[7]XLR_NoRangeSheet!$EX$9</definedName>
    <definedName name="BALMSB_B47004_02" hidden="1">[7]XLR_NoRangeSheet!$EY$9</definedName>
    <definedName name="BALMSB_B47005_01" hidden="1">[7]XLR_NoRangeSheet!$EZ$9</definedName>
    <definedName name="BALMSB_B47005_02" hidden="1">[7]XLR_NoRangeSheet!$FA$9</definedName>
    <definedName name="BALMSB_B47102_01" hidden="1">[7]XLR_NoRangeSheet!$FB$9</definedName>
    <definedName name="BALMSB_B47102_02" hidden="1">[7]XLR_NoRangeSheet!$FC$9</definedName>
    <definedName name="BALMSB_B47103_01" hidden="1">[7]XLR_NoRangeSheet!$FD$9</definedName>
    <definedName name="BALMSB_B47103_02" hidden="1">[7]XLR_NoRangeSheet!$FE$9</definedName>
    <definedName name="BALMSB_B47104_01" hidden="1">[7]XLR_NoRangeSheet!$FF$9</definedName>
    <definedName name="BALMSB_B47104_02" hidden="1">[7]XLR_NoRangeSheet!$FG$9</definedName>
    <definedName name="BALMSB_B47105_01" hidden="1">[7]XLR_NoRangeSheet!$FH$9</definedName>
    <definedName name="BALMSB_B47105_02" hidden="1">[7]XLR_NoRangeSheet!$FI$9</definedName>
    <definedName name="BALMSB_B47202_01" hidden="1">[7]XLR_NoRangeSheet!$FJ$9</definedName>
    <definedName name="BALMSB_B47202_02" hidden="1">[7]XLR_NoRangeSheet!$FK$9</definedName>
    <definedName name="BALMSB_B47203_01" hidden="1">[7]XLR_NoRangeSheet!$FL$9</definedName>
    <definedName name="BALMSB_B47203_02" hidden="1">[7]XLR_NoRangeSheet!$FM$9</definedName>
    <definedName name="BALMSB_B47204_01" hidden="1">[7]XLR_NoRangeSheet!$FN$9</definedName>
    <definedName name="BALMSB_B47204_02" hidden="1">[7]XLR_NoRangeSheet!$FO$9</definedName>
    <definedName name="BALMSB_B47205_01" hidden="1">[7]XLR_NoRangeSheet!$FP$9</definedName>
    <definedName name="BALMSB_B47205_02" hidden="1">[7]XLR_NoRangeSheet!$FQ$9</definedName>
    <definedName name="BALMSB_B47302_01" hidden="1">[7]XLR_NoRangeSheet!$FR$9</definedName>
    <definedName name="BALMSB_B47302_02" hidden="1">[7]XLR_NoRangeSheet!$FS$9</definedName>
    <definedName name="BALMSB_B47303_01" hidden="1">[7]XLR_NoRangeSheet!$FT$9</definedName>
    <definedName name="BALMSB_B47303_02" hidden="1">[7]XLR_NoRangeSheet!$FU$9</definedName>
    <definedName name="BALMSB_B47304_01" hidden="1">[7]XLR_NoRangeSheet!$FV$9</definedName>
    <definedName name="BALMSB_B47304_02" hidden="1">[7]XLR_NoRangeSheet!$FW$9</definedName>
    <definedName name="BALMSB_B47305_01" hidden="1">[7]XLR_NoRangeSheet!$FX$9</definedName>
    <definedName name="BALMSB_B47305_02" hidden="1">[7]XLR_NoRangeSheet!$FY$9</definedName>
    <definedName name="BALMSB_B47308_01" hidden="1">[7]XLR_NoRangeSheet!$GJ$9</definedName>
    <definedName name="BALMSB_B47402_01" hidden="1">[7]XLR_NoRangeSheet!$FZ$9</definedName>
    <definedName name="BALMSB_B47402_02" hidden="1">[7]XLR_NoRangeSheet!$BA$9</definedName>
    <definedName name="BALMSB_B47402_03" hidden="1">[7]XLR_NoRangeSheet!$GA$9</definedName>
    <definedName name="BALMSB_B47402_04" hidden="1">[7]XLR_NoRangeSheet!$BB$9</definedName>
    <definedName name="BALMSB_B47423_17" hidden="1">[7]XLR_NoRangeSheet!$HC$9</definedName>
    <definedName name="BALMSB_B47423_18" hidden="1">[7]XLR_NoRangeSheet!$HD$9</definedName>
    <definedName name="BALMSB_B47423_22" hidden="1">[7]XLR_NoRangeSheet!$HE$9</definedName>
    <definedName name="BALMSB_B47423_23" hidden="1">[7]XLR_NoRangeSheet!$HF$9</definedName>
    <definedName name="BALMSB_B47423_99" hidden="1">[7]XLR_NoRangeSheet!$HG$9</definedName>
    <definedName name="BALMSB_B47425_01" hidden="1">[7]XLR_NoRangeSheet!$GN$9</definedName>
    <definedName name="BALMSB_B47425_05" hidden="1">[7]XLR_NoRangeSheet!$GO$9</definedName>
    <definedName name="BALMSB_B47425_09" hidden="1">[7]XLR_NoRangeSheet!$GP$9</definedName>
    <definedName name="BALMSB_B47425_16" hidden="1">[7]XLR_NoRangeSheet!$GQ$9</definedName>
    <definedName name="BALMSB_B47425_18" hidden="1">[7]XLR_NoRangeSheet!$GR$9</definedName>
    <definedName name="BALMSB_B50505_01" hidden="1">[7]XLR_NoRangeSheet!$GT$9</definedName>
    <definedName name="BALMSB_B50505_02" hidden="1">[7]XLR_NoRangeSheet!$GU$9</definedName>
    <definedName name="BALMSB_B50505_03" hidden="1">[7]XLR_NoRangeSheet!$GV$9</definedName>
    <definedName name="BALMSB_B50505_04" hidden="1">[7]XLR_NoRangeSheet!$GW$9</definedName>
    <definedName name="BALMSB_B50505_05" hidden="1">[7]XLR_NoRangeSheet!$GX$9</definedName>
    <definedName name="BALMSB_B50505_06" hidden="1">[7]XLR_NoRangeSheet!$GY$9</definedName>
    <definedName name="BALMSB_B50505_07" hidden="1">[7]XLR_NoRangeSheet!$GZ$9</definedName>
    <definedName name="BALMSB_B50507_01" hidden="1">[7]XLR_NoRangeSheet!$HN$9</definedName>
    <definedName name="BALMSB_B50507_02" hidden="1">[7]XLR_NoRangeSheet!$HO$9</definedName>
    <definedName name="BALMSB_B50507_03" hidden="1">[7]XLR_NoRangeSheet!$HP$9</definedName>
    <definedName name="BALMSB_B50507_04" hidden="1">[7]XLR_NoRangeSheet!$HQ$9</definedName>
    <definedName name="BALMSB_B50507_05" hidden="1">[7]XLR_NoRangeSheet!$HR$9</definedName>
    <definedName name="BALMSB_B50507_06" hidden="1">[7]XLR_NoRangeSheet!$HS$9</definedName>
    <definedName name="BALMSB_B50507_07" hidden="1">[7]XLR_NoRangeSheet!$HT$9</definedName>
    <definedName name="BALMSB_B50507_08" hidden="1">[7]XLR_NoRangeSheet!$HU$9</definedName>
    <definedName name="BALMSB_B50507_09" hidden="1">[7]XLR_NoRangeSheet!$HV$9</definedName>
    <definedName name="BALMSB_B50507_10" hidden="1">[7]XLR_NoRangeSheet!$HW$9</definedName>
    <definedName name="BALMSB_B50719_01" hidden="1">[7]XLR_NoRangeSheet!$HX$9</definedName>
    <definedName name="BALMSB_B50719_02" hidden="1">[7]XLR_NoRangeSheet!$HY$9</definedName>
    <definedName name="BALMSB_B50719_03" hidden="1">[7]XLR_NoRangeSheet!$HZ$9</definedName>
    <definedName name="BALMSB_B50719_04" hidden="1">[7]XLR_NoRangeSheet!$IA$9</definedName>
    <definedName name="BALMSB_B51209_01" hidden="1">[7]XLR_NoRangeSheet!$N$9</definedName>
    <definedName name="BALMSB_B51308_01" hidden="1">[7]XLR_NoRangeSheet!$O$9</definedName>
    <definedName name="BALMSB_B51309_01" hidden="1">[7]XLR_NoRangeSheet!$P$9</definedName>
    <definedName name="BALMSB_B51408_01" hidden="1">[7]XLR_NoRangeSheet!$D$9</definedName>
    <definedName name="BALMSB_B51409_01" hidden="1">[7]XLR_NoRangeSheet!$E$9</definedName>
    <definedName name="BALMSB_B51508_01" hidden="1">[7]XLR_NoRangeSheet!$Q$9</definedName>
    <definedName name="BALMSB_B51509_01" hidden="1">[7]XLR_NoRangeSheet!$R$9</definedName>
    <definedName name="BALMSB_B51608_01" hidden="1">[7]XLR_NoRangeSheet!$S$9</definedName>
    <definedName name="BALMSB_B51609_01" hidden="1">[7]XLR_NoRangeSheet!$T$9</definedName>
    <definedName name="BALMSB_B51610_01" hidden="1">[7]XLR_NoRangeSheet!$GK$9</definedName>
    <definedName name="BALMSB_B51708_01" hidden="1">[7]XLR_NoRangeSheet!$U$9</definedName>
    <definedName name="BALMSB_B51709_01" hidden="1">[7]XLR_NoRangeSheet!$V$9</definedName>
    <definedName name="BALMSB_B51710_01" hidden="1">[7]XLR_NoRangeSheet!$GL$9</definedName>
    <definedName name="BALMSB_B51808_01" hidden="1">[7]XLR_NoRangeSheet!$F$9</definedName>
    <definedName name="BALMSB_B51809_01" hidden="1">[7]XLR_NoRangeSheet!$G$9</definedName>
    <definedName name="BALMSB_B51810_01" hidden="1">[7]XLR_NoRangeSheet!$GF$9</definedName>
    <definedName name="BALMSB_B51908_01" hidden="1">[7]XLR_NoRangeSheet!$W$9</definedName>
    <definedName name="BALMSB_B51909_01" hidden="1">[7]XLR_NoRangeSheet!$X$9</definedName>
    <definedName name="BALMSB_B51910_01" hidden="1">[7]XLR_NoRangeSheet!$GM$9</definedName>
    <definedName name="BALMSB_B60206_01" hidden="1">[7]XLR_NoRangeSheet!$IF$9</definedName>
    <definedName name="BALMSB_B60206_02" hidden="1">[7]XLR_NoRangeSheet!$IG$9</definedName>
    <definedName name="BALMSB_B60308_03" hidden="1">[7]XLR_NoRangeSheet!$HH$9</definedName>
    <definedName name="BALMSB_B60323_09" hidden="1">[7]XLR_NoRangeSheet!$HI$9</definedName>
    <definedName name="BALMSB_B60323_10" hidden="1">[7]XLR_NoRangeSheet!$HJ$9</definedName>
    <definedName name="BALMSB_B60323_13" hidden="1">[7]XLR_NoRangeSheet!$HK$9</definedName>
    <definedName name="BALMSB_B60323_99" hidden="1">[7]XLR_NoRangeSheet!$HL$9</definedName>
    <definedName name="BALMSB_B60324_01" hidden="1">[7]XLR_NoRangeSheet!$GS$9</definedName>
    <definedName name="BALMSB_B60324_02" hidden="1">[7]XLR_NoRangeSheet!$IE$9</definedName>
    <definedName name="bbb" hidden="1">{#N/A,#N/A,FALSE,"Лист15"}</definedName>
    <definedName name="BHF" hidden="1">{"'CVB-Zinssatz Akt'!$A$2:$M$10","'CVB Ist'!$C$35:$O$37"}</definedName>
    <definedName name="BHFX" hidden="1">{"'CVB-Zinssatz Akt'!$A$2:$M$10","'CVB Ist'!$C$35:$O$37"}</definedName>
    <definedName name="blb" hidden="1">{"det (May)",#N/A,FALSE,"June";"sum (MAY YTD)",#N/A,FALSE,"June YTD"}</definedName>
    <definedName name="ca" hidden="1">{"'CVB-Zinssatz Akt'!$A$2:$M$10","'CVB Ist'!$C$35:$O$37"}</definedName>
    <definedName name="cc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cc" hidden="1">{"det (May)",#N/A,FALSE,"June";"sum (MAY YTD)",#N/A,FALSE,"June YTD"}</definedName>
    <definedName name="CCNR" hidden="1">{"'CVB-Zinssatz Akt'!$A$2:$M$10","'CVB Ist'!$C$35:$O$37"}</definedName>
    <definedName name="check2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3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Cor" hidden="1">{"'CVB-Zinssatz Akt'!$A$2:$M$10","'CVB Ist'!$C$35:$O$37"}</definedName>
    <definedName name="cvb" hidden="1">{"'Всего'!$A$1:$F$19"}</definedName>
    <definedName name="cvx" hidden="1">{#N/A,#N/A,FALSE,"Лист15"}</definedName>
    <definedName name="DETAIL" hidden="1">#REF!</definedName>
    <definedName name="DF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gh" hidden="1">#REF!</definedName>
    <definedName name="dgntyjh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DTA01.02" hidden="1">{"'Всего'!$A$1:$F$19"}</definedName>
    <definedName name="dtyjfdtyjdty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EQUIV" hidden="1">#REF!</definedName>
    <definedName name="erter" hidden="1">#REF!</definedName>
    <definedName name="EV__LASTREFTIME__" hidden="1">40429.7071643519</definedName>
    <definedName name="ff" hidden="1">{"'CVB-Zinssatz Akt'!$A$2:$M$10","'CVB Ist'!$C$35:$O$37"}</definedName>
    <definedName name="fff" hidden="1">{"'CVB-Zinssatz Akt'!$A$2:$M$10","'CVB Ist'!$C$35:$O$37"}</definedName>
    <definedName name="fghstje" hidden="1">[4]Matrix!#REF!</definedName>
    <definedName name="h.xls" hidden="1">[4]Matrix!#REF!</definedName>
    <definedName name="headoffice" hidden="1">{"'CVB-Zinssatz Akt'!$A$2:$M$10","'CVB Ist'!$C$35:$O$37"}</definedName>
    <definedName name="hh" hidden="1">{"'CVB-Zinssatz Akt'!$A$2:$M$10","'CVB Ist'!$C$35:$O$37"}</definedName>
    <definedName name="html" hidden="1">{"'CVB-Zinssatz Akt'!$A$2:$M$10","'CVB Ist'!$C$35:$O$37"}</definedName>
    <definedName name="HTML_CodePage" hidden="1">1251</definedName>
    <definedName name="HTML_Control" hidden="1">{"'Всего'!$A$1:$F$19"}</definedName>
    <definedName name="HTML_Description" hidden="1">""</definedName>
    <definedName name="HTML_Email" hidden="1">""</definedName>
    <definedName name="HTML_Header" hidden="1">"Всего"</definedName>
    <definedName name="HTML_LastUpdate" hidden="1">"02.03.2001"</definedName>
    <definedName name="HTML_LineAfter" hidden="1">TRUE</definedName>
    <definedName name="HTML_LineBefore" hidden="1">TRUE</definedName>
    <definedName name="HTML_Name" hidden="1">"Олег Радченко"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"C:\WINNT\Profiles\OLegR\Рабочий стол\MyHTML.htm"</definedName>
    <definedName name="HTML_PathTemplate" hidden="1">"G:\TEMP\Котировки векселей.htm"</definedName>
    <definedName name="HTML_Title" hidden="1">"Расчет налога на прибыль"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40722.6686458333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jgjhg" hidden="1">#REF!</definedName>
    <definedName name="jljl" hidden="1">{"det (May)",#N/A,FALSE,"June";"sum (MAY YTD)",#N/A,FALSE,"June YTD"}</definedName>
    <definedName name="k" hidden="1">[4]Matrix!#REF!</definedName>
    <definedName name="kegs" hidden="1">{"det (May)",#N/A,FALSE,"June";"sum (MAY YTD)",#N/A,FALSE,"June YTD"}</definedName>
    <definedName name="KPB" hidden="1">{"'CVB-Zinssatz Akt'!$A$2:$M$10","'CVB Ist'!$C$35:$O$37"}</definedName>
    <definedName name="kpbx" hidden="1">{"'CVB-Zinssatz Akt'!$A$2:$M$10","'CVB Ist'!$C$35:$O$37"}</definedName>
    <definedName name="KRANJ" hidden="1">{"'CVB-Zinssatz Akt'!$A$2:$M$10","'CVB Ist'!$C$35:$O$37"}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imcount" hidden="1">1</definedName>
    <definedName name="lk" hidden="1">{"det (May)",#N/A,FALSE,"June";"sum (MAY YTD)",#N/A,FALSE,"June YTD"}</definedName>
    <definedName name="lkz" hidden="1">{TRUE,TRUE,-2,-15.8,483.6,261,FALSE,TRUE,TRUE,TRUE,0,1,#N/A,2,#N/A,30.9152542372881,5.08695652173913,1,FALSE,FALSE,3,TRUE,1,FALSE,100,"Swvu.Для._.И.М..","ACwvu.Для._.И.М..",#N/A,FALSE,FALSE,0.196850393700787,0.196850393700787,0.47244094488189,0.47244094488189,2,"&amp;CКредитный портфель по состоянию на 01.06.99г.","Страница &amp;P из &amp;N",TRUE,FALSE,FALSE,FALSE,1,67,#N/A,#N/A,FALSE,"=C21,R1:R3","Rwvu.Для._.И.М..",#N/A,FALSE,FALSE,TRUE,9,300,300,FALSE,FALSE,TRUE,TRUE,TRUE}</definedName>
    <definedName name="ll" hidden="1">{"'CVB-Zinssatz Akt'!$A$2:$M$10","'CVB Ist'!$C$35:$O$37"}</definedName>
    <definedName name="lop" hidden="1">{TRUE,TRUE,-2,-15.8,483.6,261,FALSE,TRUE,TRUE,TRUE,0,1,#N/A,1,#N/A,29.8133333333333,5.58139534883721,1,FALSE,FALSE,3,TRUE,1,FALSE,100,"Swvu.Ревизорам.","ACwvu.Ревизорам.",#N/A,FALSE,FALSE,0.196850393700787,0.196850393700787,0.47244094488189,0.47244094488189,2,"&amp;CКредитный портфель по состоянию на 01.06.99г.","Страница &amp;P из &amp;N",TRUE,FALSE,FALSE,FALSE,1,#N/A,1,30,FALSE,"=C21,R1:R3","Rwvu.Ревизорам.",#N/A,FALSE,FALSE,FALSE,9,300,300,FALSE,FALSE,TRUE,TRUE,TRUE}</definedName>
    <definedName name="Medjugorje" hidden="1">{"'CVB-Zinssatz Akt'!$A$2:$M$10","'CVB Ist'!$C$35:$O$37"}</definedName>
    <definedName name="NEW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s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OC" hidden="1">{"'Всего'!$A$1:$F$19"}</definedName>
    <definedName name="OC01.05" hidden="1">{"'Всего'!$A$1:$F$19"}</definedName>
    <definedName name="OC01.05.07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p" hidden="1">[4]Matrix!#REF!</definedName>
    <definedName name="P_CAPTION1" hidden="1">[8]XLR_NoRangeSheet!$B$7</definedName>
    <definedName name="P_CAPTION2" hidden="1">[8]XLR_NoRangeSheet!$C$7</definedName>
    <definedName name="PC_E" hidden="1">{"'CVB-Zinssatz Akt'!$A$2:$M$10","'CVB Ist'!$C$35:$O$37"}</definedName>
    <definedName name="PHR" hidden="1">{"'CVB-Zinssatz Akt'!$A$2:$M$10","'CVB Ist'!$C$35:$O$37"}</definedName>
    <definedName name="PREV" hidden="1">#REF!</definedName>
    <definedName name="PRIL17_PR10_1" hidden="1">[9]XLRpt_TempSheet!$BD$12</definedName>
    <definedName name="PRIL17_PR10_10" hidden="1">[9]XLRpt_TempSheet!$BM$12</definedName>
    <definedName name="PRIL17_PR10_11" hidden="1">[9]XLRpt_TempSheet!$BN$12</definedName>
    <definedName name="PRIL17_PR10_1P" hidden="1">[9]XLRpt_TempSheet!$BO$12</definedName>
    <definedName name="PRIL17_PR10_2" hidden="1">[9]XLRpt_TempSheet!$BE$12</definedName>
    <definedName name="PRIL17_PR10_2P" hidden="1">[9]XLRpt_TempSheet!$BP$12</definedName>
    <definedName name="PRIL17_PR10_3" hidden="1">[9]XLRpt_TempSheet!$BF$12</definedName>
    <definedName name="PRIL17_PR10_3P" hidden="1">[9]XLRpt_TempSheet!$BQ$12</definedName>
    <definedName name="PRIL17_PR10_4" hidden="1">[9]XLRpt_TempSheet!$BG$12</definedName>
    <definedName name="PRIL17_PR10_4P" hidden="1">[9]XLRpt_TempSheet!$BR$12</definedName>
    <definedName name="PRIL17_PR10_5" hidden="1">[9]XLRpt_TempSheet!$BH$12</definedName>
    <definedName name="PRIL17_PR10_5P" hidden="1">[9]XLRpt_TempSheet!$BS$12</definedName>
    <definedName name="PRIL17_PR10_6" hidden="1">[9]XLRpt_TempSheet!$BI$12</definedName>
    <definedName name="PRIL17_PR10_6P" hidden="1">[9]XLRpt_TempSheet!$BT$12</definedName>
    <definedName name="PRIL17_PR10_7" hidden="1">[9]XLRpt_TempSheet!$BJ$12</definedName>
    <definedName name="PRIL17_PR10_7P" hidden="1">[9]XLRpt_TempSheet!$BU$12</definedName>
    <definedName name="PRIL17_PR10_8" hidden="1">[9]XLRpt_TempSheet!$BK$12</definedName>
    <definedName name="PRIL17_PR10_9" hidden="1">[9]XLRpt_TempSheet!$BL$12</definedName>
    <definedName name="PRIL17_PR11_1" hidden="1">[9]XLRpt_TempSheet!$BV$12</definedName>
    <definedName name="PRIL17_PR11_10" hidden="1">[9]XLRpt_TempSheet!$CE$12</definedName>
    <definedName name="PRIL17_PR11_11" hidden="1">[9]XLRpt_TempSheet!$CF$12</definedName>
    <definedName name="PRIL17_PR11_2" hidden="1">[9]XLRpt_TempSheet!$BW$12</definedName>
    <definedName name="PRIL17_PR11_2P" hidden="1">[9]XLRpt_TempSheet!$CH$12</definedName>
    <definedName name="PRIL17_PR11_3" hidden="1">[9]XLRpt_TempSheet!$BX$12</definedName>
    <definedName name="PRIL17_PR11_3P" hidden="1">[9]XLRpt_TempSheet!$CI$12</definedName>
    <definedName name="PRIL17_PR11_4" hidden="1">[9]XLRpt_TempSheet!$BY$12</definedName>
    <definedName name="PRIL17_PR11_5" hidden="1">[9]XLRpt_TempSheet!$BZ$12</definedName>
    <definedName name="PRIL17_PR11_5P" hidden="1">[9]XLRpt_TempSheet!$CK$12</definedName>
    <definedName name="PRIL17_PR11_6" hidden="1">[9]XLRpt_TempSheet!$CA$12</definedName>
    <definedName name="PRIL17_PR11_6P" hidden="1">[9]XLRpt_TempSheet!$CL$12</definedName>
    <definedName name="PRIL17_PR11_7" hidden="1">[9]XLRpt_TempSheet!$CB$12</definedName>
    <definedName name="PRIL17_PR11_7P" hidden="1">[9]XLRpt_TempSheet!$CM$12</definedName>
    <definedName name="PRIL17_PR11_8" hidden="1">[9]XLRpt_TempSheet!$CC$12</definedName>
    <definedName name="PRIL17_PR11_9" hidden="1">[9]XLRpt_TempSheet!$CD$12</definedName>
    <definedName name="PRIL17_PR12_1" hidden="1">[9]XLRpt_TempSheet!$CN$12</definedName>
    <definedName name="PRIL17_PR12_10" hidden="1">[9]XLRpt_TempSheet!$CW$12</definedName>
    <definedName name="PRIL17_PR12_11" hidden="1">[9]XLRpt_TempSheet!$CX$12</definedName>
    <definedName name="PRIL17_PR12_1P" hidden="1">[9]XLRpt_TempSheet!$CY$12</definedName>
    <definedName name="PRIL17_PR12_2" hidden="1">[9]XLRpt_TempSheet!$CO$12</definedName>
    <definedName name="PRIL17_PR12_2P" hidden="1">[9]XLRpt_TempSheet!$CZ$12</definedName>
    <definedName name="PRIL17_PR12_3" hidden="1">[9]XLRpt_TempSheet!$CP$12</definedName>
    <definedName name="PRIL17_PR12_3P" hidden="1">[9]XLRpt_TempSheet!$DA$12</definedName>
    <definedName name="PRIL17_PR12_4" hidden="1">[9]XLRpt_TempSheet!$CQ$12</definedName>
    <definedName name="PRIL17_PR12_4P" hidden="1">[9]XLRpt_TempSheet!$DB$12</definedName>
    <definedName name="PRIL17_PR12_5" hidden="1">[9]XLRpt_TempSheet!$CR$12</definedName>
    <definedName name="PRIL17_PR12_5P" hidden="1">[9]XLRpt_TempSheet!$DC$12</definedName>
    <definedName name="PRIL17_PR12_6" hidden="1">[9]XLRpt_TempSheet!$CS$12</definedName>
    <definedName name="PRIL17_PR12_6P" hidden="1">[9]XLRpt_TempSheet!$DD$12</definedName>
    <definedName name="PRIL17_PR12_7" hidden="1">[9]XLRpt_TempSheet!$CT$12</definedName>
    <definedName name="PRIL17_PR12_7P" hidden="1">[9]XLRpt_TempSheet!$DE$12</definedName>
    <definedName name="PRIL17_PR12_8" hidden="1">[9]XLRpt_TempSheet!$CU$12</definedName>
    <definedName name="PRIL17_PR12_9" hidden="1">[9]XLRpt_TempSheet!$CV$12</definedName>
    <definedName name="PRIL17_PR13_1" hidden="1">[9]XLRpt_TempSheet!$DF$12</definedName>
    <definedName name="PRIL17_PR13_10" hidden="1">[9]XLRpt_TempSheet!$DO$12</definedName>
    <definedName name="PRIL17_PR13_11" hidden="1">[9]XLRpt_TempSheet!$DP$12</definedName>
    <definedName name="PRIL17_PR13_1P" hidden="1">[9]XLRpt_TempSheet!$DQ$12</definedName>
    <definedName name="PRIL17_PR13_2" hidden="1">[9]XLRpt_TempSheet!$DG$12</definedName>
    <definedName name="PRIL17_PR13_2P" hidden="1">[9]XLRpt_TempSheet!$DR$12</definedName>
    <definedName name="PRIL17_PR13_3" hidden="1">[9]XLRpt_TempSheet!$DH$12</definedName>
    <definedName name="PRIL17_PR13_3P" hidden="1">[9]XLRpt_TempSheet!$DS$12</definedName>
    <definedName name="PRIL17_PR13_4" hidden="1">[9]XLRpt_TempSheet!$DI$12</definedName>
    <definedName name="PRIL17_PR13_4P" hidden="1">[9]XLRpt_TempSheet!$DT$12</definedName>
    <definedName name="PRIL17_PR13_5" hidden="1">[9]XLRpt_TempSheet!$DJ$12</definedName>
    <definedName name="PRIL17_PR13_5P" hidden="1">[9]XLRpt_TempSheet!$DU$12</definedName>
    <definedName name="PRIL17_PR13_6" hidden="1">[9]XLRpt_TempSheet!$DK$12</definedName>
    <definedName name="PRIL17_PR13_6P" hidden="1">[9]XLRpt_TempSheet!$DV$12</definedName>
    <definedName name="PRIL17_PR13_7" hidden="1">[9]XLRpt_TempSheet!$DL$12</definedName>
    <definedName name="PRIL17_PR13_7P" hidden="1">[9]XLRpt_TempSheet!$DW$12</definedName>
    <definedName name="PRIL17_PR13_8" hidden="1">[9]XLRpt_TempSheet!$DM$12</definedName>
    <definedName name="PRIL17_PR13_9" hidden="1">[9]XLRpt_TempSheet!$DN$12</definedName>
    <definedName name="PRIL17_PR141516_1" hidden="1">[9]XLRpt_TempSheet!$DX$12</definedName>
    <definedName name="PRIL17_PR141516_10" hidden="1">[9]XLRpt_TempSheet!$EG$12</definedName>
    <definedName name="PRIL17_PR141516_11" hidden="1">[9]XLRpt_TempSheet!$EH$12</definedName>
    <definedName name="PRIL17_PR141516_1P" hidden="1">[9]XLRpt_TempSheet!$EI$12</definedName>
    <definedName name="PRIL17_PR141516_2" hidden="1">[9]XLRpt_TempSheet!$DY$12</definedName>
    <definedName name="PRIL17_PR141516_2P" hidden="1">[9]XLRpt_TempSheet!$EJ$12</definedName>
    <definedName name="PRIL17_PR141516_3" hidden="1">[9]XLRpt_TempSheet!$DZ$12</definedName>
    <definedName name="PRIL17_PR141516_3P" hidden="1">[9]XLRpt_TempSheet!$EK$12</definedName>
    <definedName name="PRIL17_PR141516_4" hidden="1">[9]XLRpt_TempSheet!$EA$12</definedName>
    <definedName name="PRIL17_PR141516_4P" hidden="1">[9]XLRpt_TempSheet!$EL$12</definedName>
    <definedName name="PRIL17_PR141516_5" hidden="1">[9]XLRpt_TempSheet!$EB$12</definedName>
    <definedName name="PRIL17_PR141516_5P" hidden="1">[9]XLRpt_TempSheet!$EM$12</definedName>
    <definedName name="PRIL17_PR141516_6" hidden="1">[9]XLRpt_TempSheet!$EC$12</definedName>
    <definedName name="PRIL17_PR141516_6P" hidden="1">[9]XLRpt_TempSheet!$EN$12</definedName>
    <definedName name="PRIL17_PR141516_7" hidden="1">[9]XLRpt_TempSheet!$ED$12</definedName>
    <definedName name="PRIL17_PR141516_7P" hidden="1">[9]XLRpt_TempSheet!$EO$12</definedName>
    <definedName name="PRIL17_PR141516_8" hidden="1">[9]XLRpt_TempSheet!$EE$12</definedName>
    <definedName name="PRIL17_PR141516_9" hidden="1">[9]XLRpt_TempSheet!$EF$12</definedName>
    <definedName name="PRIL17_PR17_1" hidden="1">[9]XLRpt_TempSheet!$EP$12</definedName>
    <definedName name="PRIL17_PR17_10" hidden="1">[9]XLRpt_TempSheet!$EY$12</definedName>
    <definedName name="PRIL17_PR17_11" hidden="1">[9]XLRpt_TempSheet!$EZ$12</definedName>
    <definedName name="PRIL17_PR17_1P" hidden="1">[9]XLRpt_TempSheet!$FA$12</definedName>
    <definedName name="PRIL17_PR17_2" hidden="1">[9]XLRpt_TempSheet!$EQ$12</definedName>
    <definedName name="PRIL17_PR17_2P" hidden="1">[9]XLRpt_TempSheet!$FB$12</definedName>
    <definedName name="PRIL17_PR17_3" hidden="1">[9]XLRpt_TempSheet!$ER$12</definedName>
    <definedName name="PRIL17_PR17_3P" hidden="1">[9]XLRpt_TempSheet!$FC$12</definedName>
    <definedName name="PRIL17_PR17_4" hidden="1">[9]XLRpt_TempSheet!$ES$12</definedName>
    <definedName name="PRIL17_PR17_4P" hidden="1">[9]XLRpt_TempSheet!$FD$12</definedName>
    <definedName name="PRIL17_PR17_5" hidden="1">[9]XLRpt_TempSheet!$ET$12</definedName>
    <definedName name="PRIL17_PR17_5P" hidden="1">[9]XLRpt_TempSheet!$FE$12</definedName>
    <definedName name="PRIL17_PR17_6" hidden="1">[9]XLRpt_TempSheet!$EU$12</definedName>
    <definedName name="PRIL17_PR17_6P" hidden="1">[9]XLRpt_TempSheet!$FF$12</definedName>
    <definedName name="PRIL17_PR17_7" hidden="1">[9]XLRpt_TempSheet!$EV$12</definedName>
    <definedName name="PRIL17_PR17_7P" hidden="1">[9]XLRpt_TempSheet!$FG$12</definedName>
    <definedName name="PRIL17_PR17_8" hidden="1">[9]XLRpt_TempSheet!$EW$12</definedName>
    <definedName name="PRIL17_PR17_9" hidden="1">[9]XLRpt_TempSheet!$EX$12</definedName>
    <definedName name="PRIL17_PR67_1" hidden="1">[9]XLRpt_TempSheet!$B$12</definedName>
    <definedName name="PRIL17_PR67_10" hidden="1">[9]XLRpt_TempSheet!$K$12</definedName>
    <definedName name="PRIL17_PR67_11" hidden="1">[9]XLRpt_TempSheet!$L$12</definedName>
    <definedName name="PRIL17_PR67_1P" hidden="1">[9]XLRpt_TempSheet!$M$12</definedName>
    <definedName name="PRIL17_PR67_2" hidden="1">[9]XLRpt_TempSheet!$C$12</definedName>
    <definedName name="PRIL17_PR67_2P" hidden="1">[9]XLRpt_TempSheet!$N$12</definedName>
    <definedName name="PRIL17_PR67_3" hidden="1">[9]XLRpt_TempSheet!$D$12</definedName>
    <definedName name="PRIL17_PR67_3P" hidden="1">[9]XLRpt_TempSheet!$O$12</definedName>
    <definedName name="PRIL17_PR67_4" hidden="1">[9]XLRpt_TempSheet!$E$12</definedName>
    <definedName name="PRIL17_PR67_4P" hidden="1">[9]XLRpt_TempSheet!$P$12</definedName>
    <definedName name="PRIL17_PR67_5" hidden="1">[9]XLRpt_TempSheet!$F$12</definedName>
    <definedName name="PRIL17_PR67_5P" hidden="1">[9]XLRpt_TempSheet!$Q$12</definedName>
    <definedName name="PRIL17_PR67_6" hidden="1">[9]XLRpt_TempSheet!$G$12</definedName>
    <definedName name="PRIL17_PR67_6P" hidden="1">[9]XLRpt_TempSheet!$R$12</definedName>
    <definedName name="PRIL17_PR67_7" hidden="1">[9]XLRpt_TempSheet!$H$12</definedName>
    <definedName name="PRIL17_PR67_7P" hidden="1">[9]XLRpt_TempSheet!$S$12</definedName>
    <definedName name="PRIL17_PR67_8" hidden="1">[9]XLRpt_TempSheet!$I$12</definedName>
    <definedName name="PRIL17_PR67_9" hidden="1">[9]XLRpt_TempSheet!$J$12</definedName>
    <definedName name="PRIL17_PR8_1" hidden="1">[9]XLRpt_TempSheet!$T$12</definedName>
    <definedName name="PRIL17_PR8_10" hidden="1">[9]XLRpt_TempSheet!$AC$12</definedName>
    <definedName name="PRIL17_PR8_11" hidden="1">[9]XLRpt_TempSheet!$AD$12</definedName>
    <definedName name="PRIL17_PR8_1P" hidden="1">[9]XLRpt_TempSheet!$AE$12</definedName>
    <definedName name="PRIL17_PR8_2" hidden="1">[9]XLRpt_TempSheet!$U$12</definedName>
    <definedName name="PRIL17_PR8_2P" hidden="1">[9]XLRpt_TempSheet!$AF$12</definedName>
    <definedName name="PRIL17_PR8_3" hidden="1">[9]XLRpt_TempSheet!$V$12</definedName>
    <definedName name="PRIL17_PR8_3P" hidden="1">[9]XLRpt_TempSheet!$AG$12</definedName>
    <definedName name="PRIL17_PR8_4" hidden="1">[9]XLRpt_TempSheet!$W$12</definedName>
    <definedName name="PRIL17_PR8_4P" hidden="1">[9]XLRpt_TempSheet!$AH$12</definedName>
    <definedName name="PRIL17_PR8_5" hidden="1">[9]XLRpt_TempSheet!$X$12</definedName>
    <definedName name="PRIL17_PR8_5P" hidden="1">[9]XLRpt_TempSheet!$AI$12</definedName>
    <definedName name="PRIL17_PR8_6" hidden="1">[9]XLRpt_TempSheet!$Y$12</definedName>
    <definedName name="PRIL17_PR8_6P" hidden="1">[9]XLRpt_TempSheet!$AJ$12</definedName>
    <definedName name="PRIL17_PR8_7" hidden="1">[9]XLRpt_TempSheet!$Z$12</definedName>
    <definedName name="PRIL17_PR8_7P" hidden="1">[9]XLRpt_TempSheet!$AK$12</definedName>
    <definedName name="PRIL17_PR8_8" hidden="1">[9]XLRpt_TempSheet!$AA$12</definedName>
    <definedName name="PRIL17_PR8_9" hidden="1">[9]XLRpt_TempSheet!$AB$12</definedName>
    <definedName name="PRIL17_PR9_1" hidden="1">[9]XLRpt_TempSheet!$AL$12</definedName>
    <definedName name="PRIL17_PR9_10" hidden="1">[9]XLRpt_TempSheet!$AU$12</definedName>
    <definedName name="PRIL17_PR9_11" hidden="1">[9]XLRpt_TempSheet!$AV$12</definedName>
    <definedName name="PRIL17_PR9_1P" hidden="1">[9]XLRpt_TempSheet!$AW$12</definedName>
    <definedName name="PRIL17_PR9_2" hidden="1">[9]XLRpt_TempSheet!$AM$12</definedName>
    <definedName name="PRIL17_PR9_2P" hidden="1">[9]XLRpt_TempSheet!$AX$12</definedName>
    <definedName name="PRIL17_PR9_3" hidden="1">[9]XLRpt_TempSheet!$AN$12</definedName>
    <definedName name="PRIL17_PR9_3P" hidden="1">[9]XLRpt_TempSheet!$AY$12</definedName>
    <definedName name="PRIL17_PR9_4" hidden="1">[9]XLRpt_TempSheet!$AO$12</definedName>
    <definedName name="PRIL17_PR9_4P" hidden="1">[9]XLRpt_TempSheet!$AZ$12</definedName>
    <definedName name="PRIL17_PR9_5" hidden="1">[9]XLRpt_TempSheet!$AP$12</definedName>
    <definedName name="PRIL17_PR9_5P" hidden="1">[9]XLRpt_TempSheet!$BA$12</definedName>
    <definedName name="PRIL17_PR9_6" hidden="1">[9]XLRpt_TempSheet!$AQ$12</definedName>
    <definedName name="PRIL17_PR9_6P" hidden="1">[9]XLRpt_TempSheet!$BB$12</definedName>
    <definedName name="PRIL17_PR9_7" hidden="1">[9]XLRpt_TempSheet!$AR$12</definedName>
    <definedName name="PRIL17_PR9_7P" hidden="1">[9]XLRpt_TempSheet!$BC$12</definedName>
    <definedName name="PRIL17_PR9_8" hidden="1">[9]XLRpt_TempSheet!$AS$12</definedName>
    <definedName name="PRIL17_PR9_9" hidden="1">[9]XLRpt_TempSheet!$AT$12</definedName>
    <definedName name="PrivatebankingPrivatewealthmanagement" hidden="1">[4]Matrix!#REF!</definedName>
    <definedName name="PwC" hidden="1">{#N/A,#N/A,FALSE,"NBU rates 1999"}</definedName>
    <definedName name="Q0_DICT" hidden="1">[10]XLR_NoRangeSheet!$B$7</definedName>
    <definedName name="Q0_DICT_EXT_ID" hidden="1">[11]XLR_NoRangeSheet!$B$7</definedName>
    <definedName name="Q0_DICT_NAME" hidden="1">[11]XLR_NoRangeSheet!$C$7</definedName>
    <definedName name="Q0_GET_NAME" hidden="1">[12]XLR_NoRangeSheet!$R$7</definedName>
    <definedName name="QDATE_BAL01" hidden="1">[13]XLR_NoRangeSheet!$AJ$7</definedName>
    <definedName name="QDATE_BAL02" hidden="1">[13]XLR_NoRangeSheet!$AK$7</definedName>
    <definedName name="QDATE_BAL03" hidden="1">[13]XLR_NoRangeSheet!$AL$7</definedName>
    <definedName name="QDATE_BAL04" hidden="1">[13]XLR_NoRangeSheet!$AM$7</definedName>
    <definedName name="QDATE_BAL05" hidden="1">[13]XLR_NoRangeSheet!$AN$7</definedName>
    <definedName name="QDATE_BAL06" hidden="1">[13]XLR_NoRangeSheet!$AO$7</definedName>
    <definedName name="QDATE_BAL07" hidden="1">[13]XLR_NoRangeSheet!$AP$7</definedName>
    <definedName name="QDATE_BAL08" hidden="1">[13]XLR_NoRangeSheet!$AQ$7</definedName>
    <definedName name="QDATE_BAL09" hidden="1">[13]XLR_NoRangeSheet!$AR$7</definedName>
    <definedName name="QDATE_BAL10" hidden="1">[13]XLR_NoRangeSheet!$AS$7</definedName>
    <definedName name="QDATE_BAL11" hidden="1">[13]XLR_NoRangeSheet!$AT$7</definedName>
    <definedName name="QDATE_BAL12" hidden="1">[13]XLR_NoRangeSheet!$AU$7</definedName>
    <definedName name="QDATE_BAL13" hidden="1">[13]XLR_NoRangeSheet!$AV$7</definedName>
    <definedName name="QDATE_DAT26_1" hidden="1">[13]XLR_NoRangeSheet!$B$7</definedName>
    <definedName name="QDATE_DAT26_2" hidden="1">[13]XLR_NoRangeSheet!$C$7</definedName>
    <definedName name="QDATE_DAT27_1" hidden="1">[13]XLR_NoRangeSheet!$D$7</definedName>
    <definedName name="QDATE_DAT27_2" hidden="1">[13]XLR_NoRangeSheet!$E$7</definedName>
    <definedName name="QDATE_DAT27_3" hidden="1">[13]XLR_NoRangeSheet!$F$7</definedName>
    <definedName name="QDATE_DAT35_1" hidden="1">[13]XLR_NoRangeSheet!$G$7</definedName>
    <definedName name="QDATE_DAT56_1" hidden="1">[13]XLR_NoRangeSheet!$H$7</definedName>
    <definedName name="QDATE_DAT76_1" hidden="1">[13]XLR_NoRangeSheet!$I$7</definedName>
    <definedName name="QDATE_EUR01" hidden="1">[13]XLR_NoRangeSheet!$W$7</definedName>
    <definedName name="QDATE_EUR02" hidden="1">[13]XLR_NoRangeSheet!$X$7</definedName>
    <definedName name="QDATE_EUR03" hidden="1">[13]XLR_NoRangeSheet!$Y$7</definedName>
    <definedName name="QDATE_EUR04" hidden="1">[13]XLR_NoRangeSheet!$Z$7</definedName>
    <definedName name="QDATE_EUR05" hidden="1">[13]XLR_NoRangeSheet!$AA$7</definedName>
    <definedName name="QDATE_EUR06" hidden="1">[13]XLR_NoRangeSheet!$AB$7</definedName>
    <definedName name="QDATE_EUR07" hidden="1">[13]XLR_NoRangeSheet!$AC$7</definedName>
    <definedName name="QDATE_EUR08" hidden="1">[13]XLR_NoRangeSheet!$AD$7</definedName>
    <definedName name="QDATE_EUR09" hidden="1">[13]XLR_NoRangeSheet!$AE$7</definedName>
    <definedName name="QDATE_EUR10" hidden="1">[13]XLR_NoRangeSheet!$AF$7</definedName>
    <definedName name="QDATE_EUR11" hidden="1">[13]XLR_NoRangeSheet!$AG$7</definedName>
    <definedName name="QDATE_EUR12" hidden="1">[13]XLR_NoRangeSheet!$AH$7</definedName>
    <definedName name="QDATE_EUR13" hidden="1">[13]XLR_NoRangeSheet!$AI$7</definedName>
    <definedName name="QDATE_HEAD08" hidden="1">[14]XLR_NoRangeSheet!$E$7</definedName>
    <definedName name="QDATE_KURS_EUR_01" hidden="1">[15]XLR_NoRangeSheet!$C$7</definedName>
    <definedName name="QDATE_KURS_EUR_02" hidden="1">[15]XLR_NoRangeSheet!$E$7</definedName>
    <definedName name="QDATE_KURS_EUR_03" hidden="1">[15]XLR_NoRangeSheet!$G$7</definedName>
    <definedName name="QDATE_KURS_EUR_04" hidden="1">[15]XLR_NoRangeSheet!$I$7</definedName>
    <definedName name="QDATE_KURS_EUR_05" hidden="1">[15]XLR_NoRangeSheet!$K$7</definedName>
    <definedName name="QDATE_KURS_EUR_06" hidden="1">[15]XLR_NoRangeSheet!$M$7</definedName>
    <definedName name="QDATE_KURS_EUR_07" hidden="1">[15]XLR_NoRangeSheet!$O$7</definedName>
    <definedName name="QDATE_KURS_EUR_08" hidden="1">[15]XLR_NoRangeSheet!$Q$7</definedName>
    <definedName name="QDATE_KURS_EUR_09" hidden="1">[15]XLR_NoRangeSheet!$S$7</definedName>
    <definedName name="QDATE_KURS_EUR_10" hidden="1">[15]XLR_NoRangeSheet!$U$7</definedName>
    <definedName name="QDATE_KURS_EUR_11" hidden="1">[15]XLR_NoRangeSheet!$W$7</definedName>
    <definedName name="QDATE_KURS_EUR_12" hidden="1">[15]XLR_NoRangeSheet!$Y$7</definedName>
    <definedName name="QDATE_KURS_EUR_13" hidden="1">[15]XLR_NoRangeSheet!$AA$7</definedName>
    <definedName name="QDATE_KURS_USD_01" hidden="1">[15]XLR_NoRangeSheet!$B$7</definedName>
    <definedName name="QDATE_KURS_USD_02" hidden="1">[15]XLR_NoRangeSheet!$D$7</definedName>
    <definedName name="QDATE_KURS_USD_03" hidden="1">[15]XLR_NoRangeSheet!$F$7</definedName>
    <definedName name="QDATE_KURS_USD_04" hidden="1">[15]XLR_NoRangeSheet!$H$7</definedName>
    <definedName name="QDATE_KURS_USD_05" hidden="1">[15]XLR_NoRangeSheet!$J$7</definedName>
    <definedName name="QDATE_KURS_USD_06" hidden="1">[15]XLR_NoRangeSheet!$L$7</definedName>
    <definedName name="QDATE_KURS_USD_07" hidden="1">[15]XLR_NoRangeSheet!$N$7</definedName>
    <definedName name="QDATE_KURS_USD_08" hidden="1">[15]XLR_NoRangeSheet!$P$7</definedName>
    <definedName name="QDATE_KURS_USD_09" hidden="1">[15]XLR_NoRangeSheet!$R$7</definedName>
    <definedName name="QDATE_KURS_USD_10" hidden="1">[15]XLR_NoRangeSheet!$T$7</definedName>
    <definedName name="QDATE_KURS_USD_11" hidden="1">[15]XLR_NoRangeSheet!$V$7</definedName>
    <definedName name="QDATE_KURS_USD_12" hidden="1">[15]XLR_NoRangeSheet!$X$7</definedName>
    <definedName name="QDATE_KURS_USD_13" hidden="1">[15]XLR_NoRangeSheet!$Z$7</definedName>
    <definedName name="QDATE_QUARTAL" hidden="1">[16]XLR_NoRangeSheet!$C$7</definedName>
    <definedName name="QDATE_RDATE" hidden="1">[17]XLR_NoRangeSheet!$B$7</definedName>
    <definedName name="QDATE_REPDATE" hidden="1">[18]XLR_NoRangeSheet!$B$7</definedName>
    <definedName name="QDATE_USD01" hidden="1">[13]XLR_NoRangeSheet!$J$7</definedName>
    <definedName name="QDATE_USD02" hidden="1">[13]XLR_NoRangeSheet!$K$7</definedName>
    <definedName name="QDATE_USD03" hidden="1">[13]XLR_NoRangeSheet!$L$7</definedName>
    <definedName name="QDATE_USD04" hidden="1">[13]XLR_NoRangeSheet!$M$7</definedName>
    <definedName name="QDATE_USD05" hidden="1">[13]XLR_NoRangeSheet!$N$7</definedName>
    <definedName name="QDATE_USD06" hidden="1">[13]XLR_NoRangeSheet!$O$7</definedName>
    <definedName name="QDATE_USD07" hidden="1">[13]XLR_NoRangeSheet!$P$7</definedName>
    <definedName name="QDATE_USD08" hidden="1">[13]XLR_NoRangeSheet!$Q$7</definedName>
    <definedName name="QDATE_USD09" hidden="1">[13]XLR_NoRangeSheet!$R$7</definedName>
    <definedName name="QDATE_USD10" hidden="1">[13]XLR_NoRangeSheet!$S$7</definedName>
    <definedName name="QDATE_USD11" hidden="1">[13]XLR_NoRangeSheet!$T$7</definedName>
    <definedName name="QDATE_USD12" hidden="1">[13]XLR_NoRangeSheet!$U$7</definedName>
    <definedName name="QDATE_USD13" hidden="1">[13]XLR_NoRangeSheet!$V$7</definedName>
    <definedName name="QDOP_RDATE" hidden="1">[19]XLR_NoRangeSheet!$B$7</definedName>
    <definedName name="QDOP_RDATE_SH" hidden="1">[20]XLR_NoRangeSheet!$D$7</definedName>
    <definedName name="QNORM_SB_BS_50106" hidden="1">[20]XLR_NoRangeSheet!$B$9</definedName>
    <definedName name="QNORM_SB_BS_50107" hidden="1">[20]XLR_NoRangeSheet!$C$9</definedName>
    <definedName name="QNORM_SB_BS_50108" hidden="1">[20]XLR_NoRangeSheet!$D$9</definedName>
    <definedName name="QNORM_SB_BS_50109" hidden="1">[20]XLR_NoRangeSheet!$E$9</definedName>
    <definedName name="QNORM_SB_BS_50110" hidden="1">[20]XLR_NoRangeSheet!$F$9</definedName>
    <definedName name="QNORM_SB_BS_50118_06" hidden="1">[20]XLR_NoRangeSheet!$G$9</definedName>
    <definedName name="QNORM_SB_BS_50118_07" hidden="1">[20]XLR_NoRangeSheet!$H$9</definedName>
    <definedName name="QNORM_SB_BS_50118_08" hidden="1">[20]XLR_NoRangeSheet!$I$9</definedName>
    <definedName name="QNORM_SB_BS_50118_09" hidden="1">[20]XLR_NoRangeSheet!$J$9</definedName>
    <definedName name="QNORM_SB_BS_50118_10" hidden="1">[20]XLR_NoRangeSheet!$K$9</definedName>
    <definedName name="QNORM_SB_BS_50118_12" hidden="1">[20]XLR_NoRangeSheet!$L$9</definedName>
    <definedName name="QNORM_SB_BS_50207" hidden="1">[20]XLR_NoRangeSheet!$M$9</definedName>
    <definedName name="QNORM_SB_BS_50208" hidden="1">[20]XLR_NoRangeSheet!$N$9</definedName>
    <definedName name="QNORM_SB_BS_50209" hidden="1">[20]XLR_NoRangeSheet!$O$9</definedName>
    <definedName name="QNORM_SB_BS_50210_01" hidden="1">[20]XLR_NoRangeSheet!$P$9</definedName>
    <definedName name="QNORM_SB_BS_50210_02" hidden="1">[20]XLR_NoRangeSheet!$Q$9</definedName>
    <definedName name="QNORM_SB_BS_50211" hidden="1">[20]XLR_NoRangeSheet!$R$9</definedName>
    <definedName name="QNORM_SB_BS_50218_06" hidden="1">[20]XLR_NoRangeSheet!$S$9</definedName>
    <definedName name="QNORM_SB_BS_50218_07" hidden="1">[20]XLR_NoRangeSheet!$T$9</definedName>
    <definedName name="QNORM_SB_BS_50218_08" hidden="1">[20]XLR_NoRangeSheet!$U$9</definedName>
    <definedName name="QNORM_SB_BS_50218_09" hidden="1">[20]XLR_NoRangeSheet!$V$9</definedName>
    <definedName name="QNORM_SB_BS_50218_10" hidden="1">[20]XLR_NoRangeSheet!$W$9</definedName>
    <definedName name="QNORM_SB_BS_50218_12" hidden="1">[20]XLR_NoRangeSheet!$X$9</definedName>
    <definedName name="QNORM_SB_BS_50218_14" hidden="1">[20]XLR_NoRangeSheet!$Y$9</definedName>
    <definedName name="QNORM_SB_BS_50219_06" hidden="1">[20]XLR_NoRangeSheet!$Z$9</definedName>
    <definedName name="QNORM_SB_BS_50219_07" hidden="1">[20]XLR_NoRangeSheet!$AA$9</definedName>
    <definedName name="QNORM_SB_BS_50219_08" hidden="1">[20]XLR_NoRangeSheet!$AB$9</definedName>
    <definedName name="QNORM_SB_BS_50219_09" hidden="1">[20]XLR_NoRangeSheet!$AC$9</definedName>
    <definedName name="QNORM_SB_BS_50219_10" hidden="1">[20]XLR_NoRangeSheet!$AD$9</definedName>
    <definedName name="QNORM_SB_BS_50219_12" hidden="1">[20]XLR_NoRangeSheet!$AE$9</definedName>
    <definedName name="QNORM_SB_BS_50219_13" hidden="1">[20]XLR_NoRangeSheet!$AF$9</definedName>
    <definedName name="QNORM_SB_BS_50308" hidden="1">[20]XLR_NoRangeSheet!$AG$9</definedName>
    <definedName name="QNORM_SB_BS_50309" hidden="1">[20]XLR_NoRangeSheet!$AH$9</definedName>
    <definedName name="QNORM_SB_BS_50310_02" hidden="1">[20]XLR_NoRangeSheet!$AI$9</definedName>
    <definedName name="QNORM_SB_BS_50311" hidden="1">[20]XLR_NoRangeSheet!$AJ$9</definedName>
    <definedName name="QNORM_SB_BS_50318_05" hidden="1">[20]XLR_NoRangeSheet!$AK$9</definedName>
    <definedName name="QNORM_SB_BS_50318_06" hidden="1">[20]XLR_NoRangeSheet!$AL$9</definedName>
    <definedName name="QNORM_SB_BS_50318_07" hidden="1">[20]XLR_NoRangeSheet!$AM$9</definedName>
    <definedName name="QNORM_SB_BS_50318_08" hidden="1">[20]XLR_NoRangeSheet!$AN$9</definedName>
    <definedName name="QNORM_SB_BS_50319_05" hidden="1">[20]XLR_NoRangeSheet!$AO$9</definedName>
    <definedName name="QNORM_SB_BS_50319_06" hidden="1">[20]XLR_NoRangeSheet!$AP$9</definedName>
    <definedName name="QNORM_SB_BS_50319_07" hidden="1">[20]XLR_NoRangeSheet!$AQ$9</definedName>
    <definedName name="QNORM_SB_BS_50319_08" hidden="1">[20]XLR_NoRangeSheet!$AR$9</definedName>
    <definedName name="QNORM_SB_BS_50319_10" hidden="1">[20]XLR_NoRangeSheet!$AS$9</definedName>
    <definedName name="QNORM_SB_BS_50407_19" hidden="1">[20]XLR_NoRangeSheet!$AT$9</definedName>
    <definedName name="QNORM_SB_BS_50407_23" hidden="1">[20]XLR_NoRangeSheet!$AU$9</definedName>
    <definedName name="QNORM_SB_BS_50407_24" hidden="1">[20]XLR_NoRangeSheet!$AV$9</definedName>
    <definedName name="QNORM_SB_BS_50407_25" hidden="1">[20]XLR_NoRangeSheet!$AW$9</definedName>
    <definedName name="QNORM_SB_BS_50407_26" hidden="1">[20]XLR_NoRangeSheet!$AX$9</definedName>
    <definedName name="QNORM_SB_BS_50407_27" hidden="1">[20]XLR_NoRangeSheet!$AY$9</definedName>
    <definedName name="QNORM_SB_BS_50407_28" hidden="1">[20]XLR_NoRangeSheet!$AZ$9</definedName>
    <definedName name="QNORM_SB_BS_50407_31" hidden="1">[20]XLR_NoRangeSheet!$BA$9</definedName>
    <definedName name="QNORM_SB_BS_50407_32" hidden="1">[20]XLR_NoRangeSheet!$BB$9</definedName>
    <definedName name="QNORM_SB_BS_50407_35" hidden="1">[20]XLR_NoRangeSheet!$BC$9</definedName>
    <definedName name="QNORM_SB_BS_50407_39" hidden="1">[20]XLR_NoRangeSheet!$BD$9</definedName>
    <definedName name="QNORM_SB_BS_50407_40" hidden="1">[20]XLR_NoRangeSheet!$BE$9</definedName>
    <definedName name="QNORM_SB_BS_50407_45" hidden="1">[20]XLR_NoRangeSheet!$BF$9</definedName>
    <definedName name="QNORM_SB_BS_50505_06" hidden="1">[20]XLR_NoRangeSheet!$BG$9</definedName>
    <definedName name="QNORM_SB_BS_50505_07" hidden="1">[20]XLR_NoRangeSheet!$BH$9</definedName>
    <definedName name="QNORM_SB_BS_50505_08" hidden="1">[20]XLR_NoRangeSheet!$BI$9</definedName>
    <definedName name="QNORM_SB_BS_50505_09" hidden="1">[20]XLR_NoRangeSheet!$BJ$9</definedName>
    <definedName name="QNORM_SB_BS_50505_10" hidden="1">[20]XLR_NoRangeSheet!$BK$9</definedName>
    <definedName name="QNORM_SB_BS_50505_12" hidden="1">[20]XLR_NoRangeSheet!$BL$9</definedName>
    <definedName name="QNORM_SB_BS_50507_06" hidden="1">[20]XLR_NoRangeSheet!$BM$9</definedName>
    <definedName name="QNORM_SB_BS_50507_07" hidden="1">[20]XLR_NoRangeSheet!$BN$9</definedName>
    <definedName name="QNORM_SB_BS_50507_08" hidden="1">[20]XLR_NoRangeSheet!$BO$9</definedName>
    <definedName name="QNORM_SB_BS_50507_09" hidden="1">[20]XLR_NoRangeSheet!$BP$9</definedName>
    <definedName name="QNORM_SB_BS_50507_10" hidden="1">[20]XLR_NoRangeSheet!$BQ$9</definedName>
    <definedName name="QNORM_SB_BS_50507_12" hidden="1">[20]XLR_NoRangeSheet!$BR$9</definedName>
    <definedName name="QNORM_SB_BS_50507_13" hidden="1">[20]XLR_NoRangeSheet!$BS$9</definedName>
    <definedName name="QNORM_SB_BS_50605" hidden="1">[20]XLR_NoRangeSheet!$BT$9</definedName>
    <definedName name="QNORM_SB_BS_50606" hidden="1">[20]XLR_NoRangeSheet!$BU$9</definedName>
    <definedName name="QNORM_SB_BS_50607" hidden="1">[20]XLR_NoRangeSheet!$BV$9</definedName>
    <definedName name="QNORM_SB_BS_50608" hidden="1">[20]XLR_NoRangeSheet!$BW$9</definedName>
    <definedName name="QNORM_SB_BS_50618" hidden="1">[20]XLR_NoRangeSheet!$BX$9</definedName>
    <definedName name="QNORM_SB_BS_50705" hidden="1">[20]XLR_NoRangeSheet!$BY$9</definedName>
    <definedName name="QNORM_SB_BS_50706" hidden="1">[20]XLR_NoRangeSheet!$BZ$9</definedName>
    <definedName name="QNORM_SB_BS_50707" hidden="1">[20]XLR_NoRangeSheet!$CA$9</definedName>
    <definedName name="QNORM_SB_BS_50708" hidden="1">[20]XLR_NoRangeSheet!$CB$9</definedName>
    <definedName name="QNORM_SB_BS_50718" hidden="1">[20]XLR_NoRangeSheet!$CC$9</definedName>
    <definedName name="QNORM_SB_BS_50719" hidden="1">[20]XLR_NoRangeSheet!$CD$9</definedName>
    <definedName name="QueHeader_ISP" hidden="1">[21]XLR_NoRangeSheet!$U$6</definedName>
    <definedName name="QueHeader_NAMEBR" hidden="1">[21]XLR_NoRangeSheet!$E$6</definedName>
    <definedName name="QueHeader_NFORM" hidden="1">[21]XLR_NoRangeSheet!$Q$6</definedName>
    <definedName name="QueHeader_NPRIL" hidden="1">[21]XLR_NoRangeSheet!$R$6</definedName>
    <definedName name="QueHeader_PERIOD" hidden="1">[21]XLR_NoRangeSheet!$AE$6</definedName>
    <definedName name="QueHeader_RAZM" hidden="1">[21]XLR_NoRangeSheet!$T$6</definedName>
    <definedName name="QueHeader_RPIPRINT" hidden="1">[21]XLR_NoRangeSheet!$AA$6</definedName>
    <definedName name="QueHeader_RPTTPNAME" hidden="1">[21]XLR_NoRangeSheet!$O$6</definedName>
    <definedName name="QueHeader_SINACODE" hidden="1">[21]XLR_NoRangeSheet!$D$6</definedName>
    <definedName name="qwert" hidden="1">#REF!</definedName>
    <definedName name="qwesfdsfdv" hidden="1">#REF!</definedName>
    <definedName name="R_29_0" hidden="1">[22]ReportData!$C$57</definedName>
    <definedName name="RANGE_R6" hidden="1">#REF!</definedName>
    <definedName name="RANGE_R61" hidden="1">#REF!</definedName>
    <definedName name="RANGE_R611" hidden="1">#REF!</definedName>
    <definedName name="RANGEQUERY1_POK1_1_1" hidden="1">[23]XLRpt_TempSheet!$C$8</definedName>
    <definedName name="RANGEQUERY1_POK1_1_1_1" hidden="1">[23]XLRpt_TempSheet!$D$8</definedName>
    <definedName name="RANGEQUERY1_POK1_1_1_2" hidden="1">[23]XLRpt_TempSheet!$BB$8</definedName>
    <definedName name="RANGEQUERY1_POK1_1_2" hidden="1">[23]XLRpt_TempSheet!$BA$8</definedName>
    <definedName name="RANGEQUERY1_POK1_1_2_1" hidden="1">[23]XLRpt_TempSheet!$E$8</definedName>
    <definedName name="RANGEQUERY1_POK1_1_2_2" hidden="1">[23]XLRpt_TempSheet!$BC$8</definedName>
    <definedName name="RANGEQUERY1_POK1_1_3_1" hidden="1">[23]XLRpt_TempSheet!$F$8</definedName>
    <definedName name="RANGEQUERY1_POK1_1_3_2" hidden="1">[23]XLRpt_TempSheet!$BD$8</definedName>
    <definedName name="RANGEQUERY1_POK1_1_4_1" hidden="1">[23]XLRpt_TempSheet!$G$8</definedName>
    <definedName name="RANGEQUERY1_POK1_1_4_2" hidden="1">[23]XLRpt_TempSheet!$BE$8</definedName>
    <definedName name="RANGEQUERY1_POK1_2_1" hidden="1">[23]XLRpt_TempSheet!$H$8</definedName>
    <definedName name="RANGEQUERY1_POK1_2_1_1" hidden="1">[23]XLRpt_TempSheet!$I$8</definedName>
    <definedName name="RANGEQUERY1_POK1_2_1_2" hidden="1">[23]XLRpt_TempSheet!$BG$8</definedName>
    <definedName name="RANGEQUERY1_POK1_2_2" hidden="1">[23]XLRpt_TempSheet!$BF$8</definedName>
    <definedName name="RANGEQUERY1_POK1_2_2_1" hidden="1">[23]XLRpt_TempSheet!$J$8</definedName>
    <definedName name="RANGEQUERY1_POK1_2_2_2" hidden="1">[23]XLRpt_TempSheet!$BH$8</definedName>
    <definedName name="RANGEQUERY1_POK1_2_3_1" hidden="1">[23]XLRpt_TempSheet!$K$8</definedName>
    <definedName name="RANGEQUERY1_POK1_2_3_2" hidden="1">[23]XLRpt_TempSheet!$BI$8</definedName>
    <definedName name="RANGEQUERY1_POK1_2_4_1" hidden="1">[23]XLRpt_TempSheet!$L$8</definedName>
    <definedName name="RANGEQUERY1_POK1_2_4_2" hidden="1">[23]XLRpt_TempSheet!$BJ$8</definedName>
    <definedName name="RANGEQUERY1_POK2_4_1_1" hidden="1">[23]XLRpt_TempSheet!$V$8</definedName>
    <definedName name="RANGEQUERY1_POK2_4_2_1" hidden="1">[23]XLRpt_TempSheet!$W$8</definedName>
    <definedName name="RANGEQUERY1_POK2_4_3_1" hidden="1">[23]XLRpt_TempSheet!$X$8</definedName>
    <definedName name="RANGEQUERY1_POK2_4_4_1" hidden="1">[23]XLRpt_TempSheet!$Y$8</definedName>
    <definedName name="RANGEQUERY1_POK2_4_5_1" hidden="1">[23]XLRpt_TempSheet!$Z$8</definedName>
    <definedName name="RANGEQUERY1_POK3_3_1_1" hidden="1">[23]XLRpt_TempSheet!$AH$8</definedName>
    <definedName name="RANGEQUERY1_POK3_3_2_1" hidden="1">[23]XLRpt_TempSheet!$AI$8</definedName>
    <definedName name="RANGEQUERY1_POK3_3_3_1" hidden="1">[23]XLRpt_TempSheet!$AJ$8</definedName>
    <definedName name="RANGEQUERY1_POK3_3_4_1" hidden="1">[23]XLRpt_TempSheet!$AK$8</definedName>
    <definedName name="RANGEQUERY1_POK3_4_1_1" hidden="1">[23]XLRpt_TempSheet!$AM$8</definedName>
    <definedName name="RANGEQUERY1_POK3_4_2_1" hidden="1">[23]XLRpt_TempSheet!$AN$8</definedName>
    <definedName name="RANGEQUERY1_POK3_4_3_1" hidden="1">[23]XLRpt_TempSheet!$AO$8</definedName>
    <definedName name="RANGEQUERY1_POK3_4_4_1" hidden="1">[23]XLRpt_TempSheet!$AP$8</definedName>
    <definedName name="RANGEQUERY1_POK3_4_5_1" hidden="1">[23]XLRpt_TempSheet!$AQ$8</definedName>
    <definedName name="Retailbankingservices" hidden="1">[4]Matrix!#REF!</definedName>
    <definedName name="rew" hidden="1">{#N/A,#N/A,FALSE,"Sheet1"}</definedName>
    <definedName name="RRM" hidden="1">{"'CVB-Zinssatz Akt'!$A$2:$M$10","'CVB Ist'!$C$35:$O$37"}</definedName>
    <definedName name="rtte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Rwvu.Для._.И.М..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Rwvu.Ревизорам.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s" hidden="1">[4]Matrix!#REF!</definedName>
    <definedName name="S_NAME" hidden="1">[8]XLR_NoRangeSheet!$B$8</definedName>
    <definedName name="SAPBEXrevision" hidden="1">1</definedName>
    <definedName name="SAPBEXsysID" hidden="1">"BWQ"</definedName>
    <definedName name="SAPBEXwbID" hidden="1">"4ADOR9W9HLVGUYDRBO4FLZZSX"</definedName>
    <definedName name="sawd" hidden="1">{#N/A,#N/A,FALSE,"NBU rates 1999"}</definedName>
    <definedName name="SD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f" hidden="1">#REF!</definedName>
    <definedName name="sdfa" hidden="1">[24]XLR_NoRangeSheet!$B$7</definedName>
    <definedName name="SDS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ss" hidden="1">#REF!</definedName>
    <definedName name="Sec" hidden="1">[4]Matrix!#REF!</definedName>
    <definedName name="Security" hidden="1">[4]Matrix!#REF!</definedName>
    <definedName name="sencount" hidden="1">1</definedName>
    <definedName name="Sentjur" hidden="1">{"'CVB-Zinssatz Akt'!$A$2:$M$10","'CVB Ist'!$C$35:$O$37"}</definedName>
    <definedName name="Service" hidden="1">{"'CVB-Zinssatz Akt'!$A$2:$M$10","'CVB Ist'!$C$35:$O$37"}</definedName>
    <definedName name="Service2" hidden="1">{"'CVB-Zinssatz Akt'!$A$2:$M$10","'CVB Ist'!$C$35:$O$37"}</definedName>
    <definedName name="Service2A" hidden="1">{"'CVB-Zinssatz Akt'!$A$2:$M$10","'CVB Ist'!$C$35:$O$37"}</definedName>
    <definedName name="ServiceB" hidden="1">{"'CVB-Zinssatz Akt'!$A$2:$M$10","'CVB Ist'!$C$35:$O$37"}</definedName>
    <definedName name="sf" hidden="1">{#N/A,#N/A,FALSE,"Лист15"}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oft" hidden="1">{"det (May)",#N/A,FALSE,"June";"sum (MAY YTD)",#N/A,FALSE,"June YTD"}</definedName>
    <definedName name="STAT_1_FIO_A" hidden="1">[25]XLR_NoRangeSheet!$U$10</definedName>
    <definedName name="STAT_1_FIO_B" hidden="1">[25]XLR_NoRangeSheet!$V$10</definedName>
    <definedName name="STAT_1_S_1_10" hidden="1">[25]XLR_NoRangeSheet!$DR$9</definedName>
    <definedName name="STAT_1_S_1_12" hidden="1">[25]XLR_NoRangeSheet!$GO$9</definedName>
    <definedName name="STAT_1_S_1_4" hidden="1">[25]XLR_NoRangeSheet!$H$8</definedName>
    <definedName name="STAT_1_S_1_5" hidden="1">[25]XLR_NoRangeSheet!$CB$8</definedName>
    <definedName name="STAT_1_S_1_6" hidden="1">[25]XLR_NoRangeSheet!$EV$8</definedName>
    <definedName name="STAT_1_S_1_7" hidden="1">[25]XLR_NoRangeSheet!$HP$8</definedName>
    <definedName name="STAT_1_S_1_9" hidden="1">[25]XLR_NoRangeSheet!$AX$9</definedName>
    <definedName name="STAT_1_S_10_10" hidden="1">[25]XLR_NoRangeSheet!$EA$9</definedName>
    <definedName name="STAT_1_S_10_12" hidden="1">[25]XLR_NoRangeSheet!$GX$9</definedName>
    <definedName name="STAT_1_S_10_4" hidden="1">[25]XLR_NoRangeSheet!$Q$8</definedName>
    <definedName name="STAT_1_S_10_5" hidden="1">[25]XLR_NoRangeSheet!$CK$8</definedName>
    <definedName name="STAT_1_S_10_6" hidden="1">[25]XLR_NoRangeSheet!$FE$8</definedName>
    <definedName name="STAT_1_S_10_7" hidden="1">[25]XLR_NoRangeSheet!$HY$8</definedName>
    <definedName name="STAT_1_S_10_9" hidden="1">[25]XLR_NoRangeSheet!$BG$9</definedName>
    <definedName name="STAT_1_S_11_10" hidden="1">[25]XLR_NoRangeSheet!$EB$9</definedName>
    <definedName name="STAT_1_S_11_12" hidden="1">[25]XLR_NoRangeSheet!$GY$9</definedName>
    <definedName name="STAT_1_S_11_4" hidden="1">[25]XLR_NoRangeSheet!$R$8</definedName>
    <definedName name="STAT_1_S_11_5" hidden="1">[25]XLR_NoRangeSheet!$CL$8</definedName>
    <definedName name="STAT_1_S_11_6" hidden="1">[25]XLR_NoRangeSheet!$FF$8</definedName>
    <definedName name="STAT_1_S_11_7" hidden="1">[25]XLR_NoRangeSheet!$HZ$8</definedName>
    <definedName name="STAT_1_S_11_9" hidden="1">[25]XLR_NoRangeSheet!$BH$9</definedName>
    <definedName name="STAT_1_S_12_10" hidden="1">[25]XLR_NoRangeSheet!$EC$9</definedName>
    <definedName name="STAT_1_S_12_12" hidden="1">[25]XLR_NoRangeSheet!$GZ$9</definedName>
    <definedName name="STAT_1_S_12_4" hidden="1">[25]XLR_NoRangeSheet!$S$8</definedName>
    <definedName name="STAT_1_S_12_5" hidden="1">[25]XLR_NoRangeSheet!$CM$8</definedName>
    <definedName name="STAT_1_S_12_6" hidden="1">[25]XLR_NoRangeSheet!$FG$8</definedName>
    <definedName name="STAT_1_S_12_7" hidden="1">[25]XLR_NoRangeSheet!$IA$8</definedName>
    <definedName name="STAT_1_S_12_9" hidden="1">[25]XLR_NoRangeSheet!$BI$9</definedName>
    <definedName name="STAT_1_S_120_12" hidden="1">[25]XLR_NoRangeSheet!$P$10</definedName>
    <definedName name="STAT_1_S_121_12" hidden="1">[25]XLR_NoRangeSheet!$Q$10</definedName>
    <definedName name="STAT_1_S_122_12" hidden="1">[25]XLR_NoRangeSheet!$R$10</definedName>
    <definedName name="STAT_1_S_13_10" hidden="1">[25]XLR_NoRangeSheet!$ED$9</definedName>
    <definedName name="STAT_1_S_13_11" hidden="1">[25]XLR_NoRangeSheet!$GL$9</definedName>
    <definedName name="STAT_1_S_13_12" hidden="1">[25]XLR_NoRangeSheet!$HA$9</definedName>
    <definedName name="STAT_1_S_13_4" hidden="1">[25]XLR_NoRangeSheet!$T$8</definedName>
    <definedName name="STAT_1_S_13_5" hidden="1">[25]XLR_NoRangeSheet!$CN$8</definedName>
    <definedName name="STAT_1_S_13_6" hidden="1">[25]XLR_NoRangeSheet!$FH$8</definedName>
    <definedName name="STAT_1_S_13_7" hidden="1">[25]XLR_NoRangeSheet!$IB$8</definedName>
    <definedName name="STAT_1_S_13_8" hidden="1">[25]XLR_NoRangeSheet!$AU$9</definedName>
    <definedName name="STAT_1_S_13_9" hidden="1">[25]XLR_NoRangeSheet!$BJ$9</definedName>
    <definedName name="STAT_1_S_14_10" hidden="1">[25]XLR_NoRangeSheet!$EE$9</definedName>
    <definedName name="STAT_1_S_14_12" hidden="1">[25]XLR_NoRangeSheet!$HB$9</definedName>
    <definedName name="STAT_1_S_14_4" hidden="1">[25]XLR_NoRangeSheet!$U$8</definedName>
    <definedName name="STAT_1_S_14_5" hidden="1">[25]XLR_NoRangeSheet!$CO$8</definedName>
    <definedName name="STAT_1_S_14_6" hidden="1">[25]XLR_NoRangeSheet!$FI$8</definedName>
    <definedName name="STAT_1_S_14_7" hidden="1">[25]XLR_NoRangeSheet!$IC$8</definedName>
    <definedName name="STAT_1_S_14_9" hidden="1">[25]XLR_NoRangeSheet!$BK$9</definedName>
    <definedName name="STAT_1_S_15_10" hidden="1">[25]XLR_NoRangeSheet!$EF$9</definedName>
    <definedName name="STAT_1_S_15_12" hidden="1">[25]XLR_NoRangeSheet!$HC$9</definedName>
    <definedName name="STAT_1_S_15_4" hidden="1">[25]XLR_NoRangeSheet!$V$8</definedName>
    <definedName name="STAT_1_S_15_5" hidden="1">[25]XLR_NoRangeSheet!$CP$8</definedName>
    <definedName name="STAT_1_S_15_6" hidden="1">[25]XLR_NoRangeSheet!$FJ$8</definedName>
    <definedName name="STAT_1_S_15_7" hidden="1">[25]XLR_NoRangeSheet!$ID$8</definedName>
    <definedName name="STAT_1_S_15_9" hidden="1">[25]XLR_NoRangeSheet!$BL$9</definedName>
    <definedName name="STAT_1_S_16_10" hidden="1">[25]XLR_NoRangeSheet!$EG$9</definedName>
    <definedName name="STAT_1_S_16_12" hidden="1">[25]XLR_NoRangeSheet!$HD$9</definedName>
    <definedName name="STAT_1_S_16_4" hidden="1">[25]XLR_NoRangeSheet!$W$8</definedName>
    <definedName name="STAT_1_S_16_5" hidden="1">[25]XLR_NoRangeSheet!$CQ$8</definedName>
    <definedName name="STAT_1_S_16_6" hidden="1">[25]XLR_NoRangeSheet!$FK$8</definedName>
    <definedName name="STAT_1_S_16_7" hidden="1">[25]XLR_NoRangeSheet!$IE$8</definedName>
    <definedName name="STAT_1_S_16_9" hidden="1">[25]XLR_NoRangeSheet!$BM$9</definedName>
    <definedName name="STAT_1_S_17_10" hidden="1">[25]XLR_NoRangeSheet!$EH$9</definedName>
    <definedName name="STAT_1_S_17_12" hidden="1">[25]XLR_NoRangeSheet!$HE$9</definedName>
    <definedName name="STAT_1_S_17_4" hidden="1">[25]XLR_NoRangeSheet!$X$8</definedName>
    <definedName name="STAT_1_S_17_5" hidden="1">[25]XLR_NoRangeSheet!$CR$8</definedName>
    <definedName name="STAT_1_S_17_6" hidden="1">[25]XLR_NoRangeSheet!$FL$8</definedName>
    <definedName name="STAT_1_S_17_7" hidden="1">[25]XLR_NoRangeSheet!$IF$8</definedName>
    <definedName name="STAT_1_S_17_9" hidden="1">[25]XLR_NoRangeSheet!$BN$9</definedName>
    <definedName name="STAT_1_S_18_10" hidden="1">[25]XLR_NoRangeSheet!$EI$9</definedName>
    <definedName name="STAT_1_S_18_12" hidden="1">[25]XLR_NoRangeSheet!$HF$9</definedName>
    <definedName name="STAT_1_S_18_4" hidden="1">[25]XLR_NoRangeSheet!$Y$8</definedName>
    <definedName name="STAT_1_S_18_5" hidden="1">[25]XLR_NoRangeSheet!$CS$8</definedName>
    <definedName name="STAT_1_S_18_6" hidden="1">[25]XLR_NoRangeSheet!$FM$8</definedName>
    <definedName name="STAT_1_S_18_7" hidden="1">[25]XLR_NoRangeSheet!$IG$8</definedName>
    <definedName name="STAT_1_S_18_9" hidden="1">[25]XLR_NoRangeSheet!$BO$9</definedName>
    <definedName name="STAT_1_S_19_10" hidden="1">[25]XLR_NoRangeSheet!$EJ$9</definedName>
    <definedName name="STAT_1_S_19_12" hidden="1">[25]XLR_NoRangeSheet!$HG$9</definedName>
    <definedName name="STAT_1_S_19_4" hidden="1">[25]XLR_NoRangeSheet!$Z$8</definedName>
    <definedName name="STAT_1_S_19_5" hidden="1">[25]XLR_NoRangeSheet!$CT$8</definedName>
    <definedName name="STAT_1_S_19_6" hidden="1">[25]XLR_NoRangeSheet!$FN$8</definedName>
    <definedName name="STAT_1_S_19_7" hidden="1">[25]XLR_NoRangeSheet!$IH$8</definedName>
    <definedName name="STAT_1_S_19_9" hidden="1">[25]XLR_NoRangeSheet!$BP$9</definedName>
    <definedName name="STAT_1_S_2_10" hidden="1">[25]XLR_NoRangeSheet!$DS$9</definedName>
    <definedName name="STAT_1_S_2_12" hidden="1">[25]XLR_NoRangeSheet!$GP$9</definedName>
    <definedName name="STAT_1_S_2_4" hidden="1">[25]XLR_NoRangeSheet!$I$8</definedName>
    <definedName name="STAT_1_S_2_5" hidden="1">[25]XLR_NoRangeSheet!$CC$8</definedName>
    <definedName name="STAT_1_S_2_6" hidden="1">[25]XLR_NoRangeSheet!$EW$8</definedName>
    <definedName name="STAT_1_S_2_7" hidden="1">[25]XLR_NoRangeSheet!$HQ$8</definedName>
    <definedName name="STAT_1_S_2_9" hidden="1">[25]XLR_NoRangeSheet!$AY$9</definedName>
    <definedName name="STAT_1_S_20_10" hidden="1">[25]XLR_NoRangeSheet!$EK$9</definedName>
    <definedName name="STAT_1_S_20_12" hidden="1">[25]XLR_NoRangeSheet!$HH$9</definedName>
    <definedName name="STAT_1_S_20_4" hidden="1">[25]XLR_NoRangeSheet!$AA$8</definedName>
    <definedName name="STAT_1_S_20_5" hidden="1">[25]XLR_NoRangeSheet!$CU$8</definedName>
    <definedName name="STAT_1_S_20_6" hidden="1">[25]XLR_NoRangeSheet!$FO$8</definedName>
    <definedName name="STAT_1_S_20_7" hidden="1">[25]XLR_NoRangeSheet!$II$8</definedName>
    <definedName name="STAT_1_S_20_9" hidden="1">[25]XLR_NoRangeSheet!$BQ$9</definedName>
    <definedName name="STAT_1_S_21_10" hidden="1">[25]XLR_NoRangeSheet!$EL$9</definedName>
    <definedName name="STAT_1_S_21_12" hidden="1">[25]XLR_NoRangeSheet!$HI$9</definedName>
    <definedName name="STAT_1_S_21_4" hidden="1">[25]XLR_NoRangeSheet!$AB$8</definedName>
    <definedName name="STAT_1_S_21_5" hidden="1">[25]XLR_NoRangeSheet!$CV$8</definedName>
    <definedName name="STAT_1_S_21_6" hidden="1">[25]XLR_NoRangeSheet!$FP$8</definedName>
    <definedName name="STAT_1_S_21_7" hidden="1">[25]XLR_NoRangeSheet!$IJ$8</definedName>
    <definedName name="STAT_1_S_21_9" hidden="1">[25]XLR_NoRangeSheet!$BR$9</definedName>
    <definedName name="STAT_1_S_22_10" hidden="1">[25]XLR_NoRangeSheet!$EM$9</definedName>
    <definedName name="STAT_1_S_22_12" hidden="1">[25]XLR_NoRangeSheet!$HJ$9</definedName>
    <definedName name="STAT_1_S_22_4" hidden="1">[25]XLR_NoRangeSheet!$AC$8</definedName>
    <definedName name="STAT_1_S_22_5" hidden="1">[25]XLR_NoRangeSheet!$CW$8</definedName>
    <definedName name="STAT_1_S_22_6" hidden="1">[25]XLR_NoRangeSheet!$FQ$8</definedName>
    <definedName name="STAT_1_S_22_7" hidden="1">[25]XLR_NoRangeSheet!$IK$8</definedName>
    <definedName name="STAT_1_S_22_9" hidden="1">[25]XLR_NoRangeSheet!$BS$9</definedName>
    <definedName name="STAT_1_S_23_10" hidden="1">[25]XLR_NoRangeSheet!$EN$9</definedName>
    <definedName name="STAT_1_S_23_12" hidden="1">[25]XLR_NoRangeSheet!$HK$9</definedName>
    <definedName name="STAT_1_S_23_4" hidden="1">[25]XLR_NoRangeSheet!$AD$8</definedName>
    <definedName name="STAT_1_S_23_5" hidden="1">[25]XLR_NoRangeSheet!$CX$8</definedName>
    <definedName name="STAT_1_S_23_6" hidden="1">[25]XLR_NoRangeSheet!$FR$8</definedName>
    <definedName name="STAT_1_S_23_7" hidden="1">[25]XLR_NoRangeSheet!$IL$8</definedName>
    <definedName name="STAT_1_S_23_9" hidden="1">[25]XLR_NoRangeSheet!$BT$9</definedName>
    <definedName name="STAT_1_S_24_10" hidden="1">[25]XLR_NoRangeSheet!$EO$9</definedName>
    <definedName name="STAT_1_S_24_12" hidden="1">[25]XLR_NoRangeSheet!$HL$9</definedName>
    <definedName name="STAT_1_S_24_4" hidden="1">[25]XLR_NoRangeSheet!$AE$8</definedName>
    <definedName name="STAT_1_S_24_5" hidden="1">[25]XLR_NoRangeSheet!$CY$8</definedName>
    <definedName name="STAT_1_S_24_6" hidden="1">[25]XLR_NoRangeSheet!$FS$8</definedName>
    <definedName name="STAT_1_S_24_7" hidden="1">[25]XLR_NoRangeSheet!$IM$8</definedName>
    <definedName name="STAT_1_S_24_9" hidden="1">[25]XLR_NoRangeSheet!$BU$9</definedName>
    <definedName name="STAT_1_S_25_10" hidden="1">[25]XLR_NoRangeSheet!$EP$9</definedName>
    <definedName name="STAT_1_S_25_12" hidden="1">[25]XLR_NoRangeSheet!$HM$9</definedName>
    <definedName name="STAT_1_S_25_4" hidden="1">[25]XLR_NoRangeSheet!$AF$8</definedName>
    <definedName name="STAT_1_S_25_5" hidden="1">[25]XLR_NoRangeSheet!$CZ$8</definedName>
    <definedName name="STAT_1_S_25_6" hidden="1">[25]XLR_NoRangeSheet!$FT$8</definedName>
    <definedName name="STAT_1_S_25_7" hidden="1">[25]XLR_NoRangeSheet!$IN$8</definedName>
    <definedName name="STAT_1_S_25_9" hidden="1">[25]XLR_NoRangeSheet!$BV$9</definedName>
    <definedName name="STAT_1_S_26_10" hidden="1">[25]XLR_NoRangeSheet!$EQ$9</definedName>
    <definedName name="STAT_1_S_26_12" hidden="1">[25]XLR_NoRangeSheet!$HN$9</definedName>
    <definedName name="STAT_1_S_26_4" hidden="1">[25]XLR_NoRangeSheet!$AG$8</definedName>
    <definedName name="STAT_1_S_26_5" hidden="1">[25]XLR_NoRangeSheet!$DA$8</definedName>
    <definedName name="STAT_1_S_26_6" hidden="1">[25]XLR_NoRangeSheet!$FU$8</definedName>
    <definedName name="STAT_1_S_26_7" hidden="1">[25]XLR_NoRangeSheet!$IO$8</definedName>
    <definedName name="STAT_1_S_26_9" hidden="1">[25]XLR_NoRangeSheet!$BW$9</definedName>
    <definedName name="STAT_1_S_27_10" hidden="1">[25]XLR_NoRangeSheet!$ER$9</definedName>
    <definedName name="STAT_1_S_27_12" hidden="1">[25]XLR_NoRangeSheet!$HO$9</definedName>
    <definedName name="STAT_1_S_27_4" hidden="1">[25]XLR_NoRangeSheet!$AH$8</definedName>
    <definedName name="STAT_1_S_27_5" hidden="1">[25]XLR_NoRangeSheet!$DB$8</definedName>
    <definedName name="STAT_1_S_27_6" hidden="1">[25]XLR_NoRangeSheet!$FV$8</definedName>
    <definedName name="STAT_1_S_27_7" hidden="1">[25]XLR_NoRangeSheet!$IP$8</definedName>
    <definedName name="STAT_1_S_27_9" hidden="1">[25]XLR_NoRangeSheet!$BX$9</definedName>
    <definedName name="STAT_1_S_28_10" hidden="1">[25]XLR_NoRangeSheet!$ES$9</definedName>
    <definedName name="STAT_1_S_28_12" hidden="1">[25]XLR_NoRangeSheet!$HP$9</definedName>
    <definedName name="STAT_1_S_28_4" hidden="1">[25]XLR_NoRangeSheet!$AI$8</definedName>
    <definedName name="STAT_1_S_28_5" hidden="1">[25]XLR_NoRangeSheet!$DC$8</definedName>
    <definedName name="STAT_1_S_28_6" hidden="1">[25]XLR_NoRangeSheet!$FW$8</definedName>
    <definedName name="STAT_1_S_28_7" hidden="1">[25]XLR_NoRangeSheet!$B$9</definedName>
    <definedName name="STAT_1_S_28_9" hidden="1">[25]XLR_NoRangeSheet!$BY$9</definedName>
    <definedName name="STAT_1_S_29_10" hidden="1">[25]XLR_NoRangeSheet!$ET$9</definedName>
    <definedName name="STAT_1_S_29_12" hidden="1">[25]XLR_NoRangeSheet!$HQ$9</definedName>
    <definedName name="STAT_1_S_29_4" hidden="1">[25]XLR_NoRangeSheet!$AJ$8</definedName>
    <definedName name="STAT_1_S_29_5" hidden="1">[25]XLR_NoRangeSheet!$DD$8</definedName>
    <definedName name="STAT_1_S_29_6" hidden="1">[25]XLR_NoRangeSheet!$FX$8</definedName>
    <definedName name="STAT_1_S_29_7" hidden="1">[25]XLR_NoRangeSheet!$C$9</definedName>
    <definedName name="STAT_1_S_29_9" hidden="1">[25]XLR_NoRangeSheet!$BZ$9</definedName>
    <definedName name="STAT_1_S_3_10" hidden="1">[25]XLR_NoRangeSheet!$DT$9</definedName>
    <definedName name="STAT_1_S_3_12" hidden="1">[25]XLR_NoRangeSheet!$GQ$9</definedName>
    <definedName name="STAT_1_S_3_4" hidden="1">[25]XLR_NoRangeSheet!$J$8</definedName>
    <definedName name="STAT_1_S_3_5" hidden="1">[25]XLR_NoRangeSheet!$CD$8</definedName>
    <definedName name="STAT_1_S_3_6" hidden="1">[25]XLR_NoRangeSheet!$EX$8</definedName>
    <definedName name="STAT_1_S_3_7" hidden="1">[25]XLR_NoRangeSheet!$HR$8</definedName>
    <definedName name="STAT_1_S_3_9" hidden="1">[25]XLR_NoRangeSheet!$AZ$9</definedName>
    <definedName name="STAT_1_S_30_10" hidden="1">[25]XLR_NoRangeSheet!$EU$9</definedName>
    <definedName name="STAT_1_S_30_12" hidden="1">[25]XLR_NoRangeSheet!$HR$9</definedName>
    <definedName name="STAT_1_S_30_4" hidden="1">[25]XLR_NoRangeSheet!$AK$8</definedName>
    <definedName name="STAT_1_S_30_5" hidden="1">[25]XLR_NoRangeSheet!$DE$8</definedName>
    <definedName name="STAT_1_S_30_6" hidden="1">[25]XLR_NoRangeSheet!$FY$8</definedName>
    <definedName name="STAT_1_S_30_7" hidden="1">[25]XLR_NoRangeSheet!$D$9</definedName>
    <definedName name="STAT_1_S_30_9" hidden="1">[25]XLR_NoRangeSheet!$CA$9</definedName>
    <definedName name="STAT_1_S_31_10" hidden="1">[25]XLR_NoRangeSheet!$EV$9</definedName>
    <definedName name="STAT_1_S_31_12" hidden="1">[25]XLR_NoRangeSheet!$HS$9</definedName>
    <definedName name="STAT_1_S_31_4" hidden="1">[25]XLR_NoRangeSheet!$AL$8</definedName>
    <definedName name="STAT_1_S_31_5" hidden="1">[25]XLR_NoRangeSheet!$DF$8</definedName>
    <definedName name="STAT_1_S_31_6" hidden="1">[25]XLR_NoRangeSheet!$FZ$8</definedName>
    <definedName name="STAT_1_S_31_7" hidden="1">[25]XLR_NoRangeSheet!$E$9</definedName>
    <definedName name="STAT_1_S_31_9" hidden="1">[25]XLR_NoRangeSheet!$CB$9</definedName>
    <definedName name="STAT_1_S_32_10" hidden="1">[25]XLR_NoRangeSheet!$EW$9</definedName>
    <definedName name="STAT_1_S_32_12" hidden="1">[25]XLR_NoRangeSheet!$HT$9</definedName>
    <definedName name="STAT_1_S_32_4" hidden="1">[25]XLR_NoRangeSheet!$AM$8</definedName>
    <definedName name="STAT_1_S_32_5" hidden="1">[25]XLR_NoRangeSheet!$DG$8</definedName>
    <definedName name="STAT_1_S_32_6" hidden="1">[25]XLR_NoRangeSheet!$GA$8</definedName>
    <definedName name="STAT_1_S_32_7" hidden="1">[25]XLR_NoRangeSheet!$F$9</definedName>
    <definedName name="STAT_1_S_32_9" hidden="1">[25]XLR_NoRangeSheet!$CC$9</definedName>
    <definedName name="STAT_1_S_33_10" hidden="1">[25]XLR_NoRangeSheet!$EX$9</definedName>
    <definedName name="STAT_1_S_33_12" hidden="1">[25]XLR_NoRangeSheet!$HU$9</definedName>
    <definedName name="STAT_1_S_33_4" hidden="1">[25]XLR_NoRangeSheet!$AN$8</definedName>
    <definedName name="STAT_1_S_33_5" hidden="1">[25]XLR_NoRangeSheet!$DH$8</definedName>
    <definedName name="STAT_1_S_33_6" hidden="1">[25]XLR_NoRangeSheet!$GB$8</definedName>
    <definedName name="STAT_1_S_33_7" hidden="1">[25]XLR_NoRangeSheet!$G$9</definedName>
    <definedName name="STAT_1_S_33_9" hidden="1">[25]XLR_NoRangeSheet!$CD$9</definedName>
    <definedName name="STAT_1_S_34_10" hidden="1">[25]XLR_NoRangeSheet!$EY$9</definedName>
    <definedName name="STAT_1_S_34_12" hidden="1">[25]XLR_NoRangeSheet!$HV$9</definedName>
    <definedName name="STAT_1_S_34_4" hidden="1">[25]XLR_NoRangeSheet!$AO$8</definedName>
    <definedName name="STAT_1_S_34_5" hidden="1">[25]XLR_NoRangeSheet!$DI$8</definedName>
    <definedName name="STAT_1_S_34_6" hidden="1">[25]XLR_NoRangeSheet!$GC$8</definedName>
    <definedName name="STAT_1_S_34_7" hidden="1">[25]XLR_NoRangeSheet!$H$9</definedName>
    <definedName name="STAT_1_S_34_9" hidden="1">[25]XLR_NoRangeSheet!$CE$9</definedName>
    <definedName name="STAT_1_S_35_10" hidden="1">[25]XLR_NoRangeSheet!$EZ$9</definedName>
    <definedName name="STAT_1_S_35_12" hidden="1">[25]XLR_NoRangeSheet!$HW$9</definedName>
    <definedName name="STAT_1_S_35_4" hidden="1">[25]XLR_NoRangeSheet!$AP$8</definedName>
    <definedName name="STAT_1_S_35_5" hidden="1">[25]XLR_NoRangeSheet!$DJ$8</definedName>
    <definedName name="STAT_1_S_35_6" hidden="1">[25]XLR_NoRangeSheet!$GD$8</definedName>
    <definedName name="STAT_1_S_35_7" hidden="1">[25]XLR_NoRangeSheet!$I$9</definedName>
    <definedName name="STAT_1_S_35_9" hidden="1">[25]XLR_NoRangeSheet!$CF$9</definedName>
    <definedName name="STAT_1_S_36_10" hidden="1">[25]XLR_NoRangeSheet!$FA$9</definedName>
    <definedName name="STAT_1_S_36_11" hidden="1">[25]XLR_NoRangeSheet!$GM$9</definedName>
    <definedName name="STAT_1_S_36_12" hidden="1">[25]XLR_NoRangeSheet!$HX$9</definedName>
    <definedName name="STAT_1_S_36_4" hidden="1">[25]XLR_NoRangeSheet!$AQ$8</definedName>
    <definedName name="STAT_1_S_36_5" hidden="1">[25]XLR_NoRangeSheet!$DK$8</definedName>
    <definedName name="STAT_1_S_36_6" hidden="1">[25]XLR_NoRangeSheet!$GE$8</definedName>
    <definedName name="STAT_1_S_36_7" hidden="1">[25]XLR_NoRangeSheet!$J$9</definedName>
    <definedName name="STAT_1_S_36_8" hidden="1">[25]XLR_NoRangeSheet!$AV$9</definedName>
    <definedName name="STAT_1_S_36_9" hidden="1">[25]XLR_NoRangeSheet!$CG$9</definedName>
    <definedName name="STAT_1_S_37_10" hidden="1">[25]XLR_NoRangeSheet!$FB$9</definedName>
    <definedName name="STAT_1_S_37_12" hidden="1">[25]XLR_NoRangeSheet!$HY$9</definedName>
    <definedName name="STAT_1_S_37_4" hidden="1">[25]XLR_NoRangeSheet!$AR$8</definedName>
    <definedName name="STAT_1_S_37_5" hidden="1">[25]XLR_NoRangeSheet!$DL$8</definedName>
    <definedName name="STAT_1_S_37_6" hidden="1">[25]XLR_NoRangeSheet!$GF$8</definedName>
    <definedName name="STAT_1_S_37_7" hidden="1">[25]XLR_NoRangeSheet!$K$9</definedName>
    <definedName name="STAT_1_S_37_9" hidden="1">[25]XLR_NoRangeSheet!$CH$9</definedName>
    <definedName name="STAT_1_S_38_10" hidden="1">[25]XLR_NoRangeSheet!$FC$9</definedName>
    <definedName name="STAT_1_S_38_12" hidden="1">[25]XLR_NoRangeSheet!$HZ$9</definedName>
    <definedName name="STAT_1_S_38_4" hidden="1">[25]XLR_NoRangeSheet!$AS$8</definedName>
    <definedName name="STAT_1_S_38_5" hidden="1">[25]XLR_NoRangeSheet!$DM$8</definedName>
    <definedName name="STAT_1_S_38_6" hidden="1">[25]XLR_NoRangeSheet!$GG$8</definedName>
    <definedName name="STAT_1_S_38_7" hidden="1">[25]XLR_NoRangeSheet!$L$9</definedName>
    <definedName name="STAT_1_S_38_9" hidden="1">[25]XLR_NoRangeSheet!$CI$9</definedName>
    <definedName name="STAT_1_S_39_10" hidden="1">[25]XLR_NoRangeSheet!$FD$9</definedName>
    <definedName name="STAT_1_S_39_12" hidden="1">[25]XLR_NoRangeSheet!$IA$9</definedName>
    <definedName name="STAT_1_S_39_4" hidden="1">[25]XLR_NoRangeSheet!$AT$8</definedName>
    <definedName name="STAT_1_S_39_5" hidden="1">[25]XLR_NoRangeSheet!$DN$8</definedName>
    <definedName name="STAT_1_S_39_6" hidden="1">[25]XLR_NoRangeSheet!$GH$8</definedName>
    <definedName name="STAT_1_S_39_7" hidden="1">[25]XLR_NoRangeSheet!$M$9</definedName>
    <definedName name="STAT_1_S_39_9" hidden="1">[25]XLR_NoRangeSheet!$CJ$9</definedName>
    <definedName name="STAT_1_S_4_10" hidden="1">[25]XLR_NoRangeSheet!$DU$9</definedName>
    <definedName name="STAT_1_S_4_12" hidden="1">[25]XLR_NoRangeSheet!$GR$9</definedName>
    <definedName name="STAT_1_S_4_4" hidden="1">[25]XLR_NoRangeSheet!$K$8</definedName>
    <definedName name="STAT_1_S_4_5" hidden="1">[25]XLR_NoRangeSheet!$CE$8</definedName>
    <definedName name="STAT_1_S_4_6" hidden="1">[25]XLR_NoRangeSheet!$EY$8</definedName>
    <definedName name="STAT_1_S_4_7" hidden="1">[25]XLR_NoRangeSheet!$HS$8</definedName>
    <definedName name="STAT_1_S_4_9" hidden="1">[25]XLR_NoRangeSheet!$BA$9</definedName>
    <definedName name="STAT_1_S_40_10" hidden="1">[25]XLR_NoRangeSheet!$FE$9</definedName>
    <definedName name="STAT_1_S_40_12" hidden="1">[25]XLR_NoRangeSheet!$IB$9</definedName>
    <definedName name="STAT_1_S_40_4" hidden="1">[25]XLR_NoRangeSheet!$AU$8</definedName>
    <definedName name="STAT_1_S_40_5" hidden="1">[25]XLR_NoRangeSheet!$DO$8</definedName>
    <definedName name="STAT_1_S_40_6" hidden="1">[25]XLR_NoRangeSheet!$GI$8</definedName>
    <definedName name="STAT_1_S_40_7" hidden="1">[25]XLR_NoRangeSheet!$N$9</definedName>
    <definedName name="STAT_1_S_40_9" hidden="1">[25]XLR_NoRangeSheet!$CK$9</definedName>
    <definedName name="STAT_1_S_41_10" hidden="1">[25]XLR_NoRangeSheet!$FF$9</definedName>
    <definedName name="STAT_1_S_41_12" hidden="1">[25]XLR_NoRangeSheet!$IC$9</definedName>
    <definedName name="STAT_1_S_41_4" hidden="1">[25]XLR_NoRangeSheet!$AV$8</definedName>
    <definedName name="STAT_1_S_41_5" hidden="1">[25]XLR_NoRangeSheet!$DP$8</definedName>
    <definedName name="STAT_1_S_41_6" hidden="1">[25]XLR_NoRangeSheet!$GJ$8</definedName>
    <definedName name="STAT_1_S_41_7" hidden="1">[25]XLR_NoRangeSheet!$O$9</definedName>
    <definedName name="STAT_1_S_41_9" hidden="1">[25]XLR_NoRangeSheet!$CL$9</definedName>
    <definedName name="STAT_1_S_42_10" hidden="1">[25]XLR_NoRangeSheet!$FG$9</definedName>
    <definedName name="STAT_1_S_42_12" hidden="1">[25]XLR_NoRangeSheet!$ID$9</definedName>
    <definedName name="STAT_1_S_42_4" hidden="1">[25]XLR_NoRangeSheet!$AW$8</definedName>
    <definedName name="STAT_1_S_42_5" hidden="1">[25]XLR_NoRangeSheet!$DQ$8</definedName>
    <definedName name="STAT_1_S_42_6" hidden="1">[25]XLR_NoRangeSheet!$GK$8</definedName>
    <definedName name="STAT_1_S_42_7" hidden="1">[25]XLR_NoRangeSheet!$P$9</definedName>
    <definedName name="STAT_1_S_42_9" hidden="1">[25]XLR_NoRangeSheet!$CM$9</definedName>
    <definedName name="STAT_1_S_43_10" hidden="1">[25]XLR_NoRangeSheet!$FH$9</definedName>
    <definedName name="STAT_1_S_43_12" hidden="1">[25]XLR_NoRangeSheet!$IE$9</definedName>
    <definedName name="STAT_1_S_43_4" hidden="1">[25]XLR_NoRangeSheet!$AX$8</definedName>
    <definedName name="STAT_1_S_43_5" hidden="1">[25]XLR_NoRangeSheet!$DR$8</definedName>
    <definedName name="STAT_1_S_43_6" hidden="1">[25]XLR_NoRangeSheet!$GL$8</definedName>
    <definedName name="STAT_1_S_43_7" hidden="1">[25]XLR_NoRangeSheet!$Q$9</definedName>
    <definedName name="STAT_1_S_43_9" hidden="1">[25]XLR_NoRangeSheet!$CN$9</definedName>
    <definedName name="STAT_1_S_44_10" hidden="1">[25]XLR_NoRangeSheet!$FI$9</definedName>
    <definedName name="STAT_1_S_44_12" hidden="1">[25]XLR_NoRangeSheet!$IF$9</definedName>
    <definedName name="STAT_1_S_44_4" hidden="1">[25]XLR_NoRangeSheet!$AY$8</definedName>
    <definedName name="STAT_1_S_44_5" hidden="1">[25]XLR_NoRangeSheet!$DS$8</definedName>
    <definedName name="STAT_1_S_44_6" hidden="1">[25]XLR_NoRangeSheet!$GM$8</definedName>
    <definedName name="STAT_1_S_44_7" hidden="1">[25]XLR_NoRangeSheet!$R$9</definedName>
    <definedName name="STAT_1_S_44_9" hidden="1">[25]XLR_NoRangeSheet!$CO$9</definedName>
    <definedName name="STAT_1_S_45_10" hidden="1">[25]XLR_NoRangeSheet!$FJ$9</definedName>
    <definedName name="STAT_1_S_45_12" hidden="1">[25]XLR_NoRangeSheet!$IG$9</definedName>
    <definedName name="STAT_1_S_45_4" hidden="1">[25]XLR_NoRangeSheet!$AZ$8</definedName>
    <definedName name="STAT_1_S_45_5" hidden="1">[25]XLR_NoRangeSheet!$DT$8</definedName>
    <definedName name="STAT_1_S_45_6" hidden="1">[25]XLR_NoRangeSheet!$GN$8</definedName>
    <definedName name="STAT_1_S_45_7" hidden="1">[25]XLR_NoRangeSheet!$S$9</definedName>
    <definedName name="STAT_1_S_45_9" hidden="1">[25]XLR_NoRangeSheet!$CP$9</definedName>
    <definedName name="STAT_1_S_46_10" hidden="1">[25]XLR_NoRangeSheet!$FK$9</definedName>
    <definedName name="STAT_1_S_46_12" hidden="1">[25]XLR_NoRangeSheet!$IH$9</definedName>
    <definedName name="STAT_1_S_46_4" hidden="1">[25]XLR_NoRangeSheet!$BA$8</definedName>
    <definedName name="STAT_1_S_46_5" hidden="1">[25]XLR_NoRangeSheet!$DU$8</definedName>
    <definedName name="STAT_1_S_46_6" hidden="1">[25]XLR_NoRangeSheet!$GO$8</definedName>
    <definedName name="STAT_1_S_46_7" hidden="1">[25]XLR_NoRangeSheet!$T$9</definedName>
    <definedName name="STAT_1_S_46_9" hidden="1">[25]XLR_NoRangeSheet!$CQ$9</definedName>
    <definedName name="STAT_1_S_47_10" hidden="1">[25]XLR_NoRangeSheet!$FL$9</definedName>
    <definedName name="STAT_1_S_47_12" hidden="1">[25]XLR_NoRangeSheet!$II$9</definedName>
    <definedName name="STAT_1_S_47_4" hidden="1">[25]XLR_NoRangeSheet!$BB$8</definedName>
    <definedName name="STAT_1_S_47_5" hidden="1">[25]XLR_NoRangeSheet!$DV$8</definedName>
    <definedName name="STAT_1_S_47_6" hidden="1">[25]XLR_NoRangeSheet!$GP$8</definedName>
    <definedName name="STAT_1_S_47_7" hidden="1">[25]XLR_NoRangeSheet!$U$9</definedName>
    <definedName name="STAT_1_S_47_9" hidden="1">[25]XLR_NoRangeSheet!$CR$9</definedName>
    <definedName name="STAT_1_S_48_10" hidden="1">[25]XLR_NoRangeSheet!$FM$9</definedName>
    <definedName name="STAT_1_S_48_12" hidden="1">[25]XLR_NoRangeSheet!$IJ$9</definedName>
    <definedName name="STAT_1_S_48_4" hidden="1">[25]XLR_NoRangeSheet!$BC$8</definedName>
    <definedName name="STAT_1_S_48_5" hidden="1">[25]XLR_NoRangeSheet!$DW$8</definedName>
    <definedName name="STAT_1_S_48_6" hidden="1">[25]XLR_NoRangeSheet!$GQ$8</definedName>
    <definedName name="STAT_1_S_48_7" hidden="1">[25]XLR_NoRangeSheet!$V$9</definedName>
    <definedName name="STAT_1_S_48_9" hidden="1">[25]XLR_NoRangeSheet!$CS$9</definedName>
    <definedName name="STAT_1_S_49_10" hidden="1">[25]XLR_NoRangeSheet!$FN$9</definedName>
    <definedName name="STAT_1_S_49_12" hidden="1">[25]XLR_NoRangeSheet!$IK$9</definedName>
    <definedName name="STAT_1_S_49_4" hidden="1">[25]XLR_NoRangeSheet!$BD$8</definedName>
    <definedName name="STAT_1_S_49_5" hidden="1">[25]XLR_NoRangeSheet!$DX$8</definedName>
    <definedName name="STAT_1_S_49_6" hidden="1">[25]XLR_NoRangeSheet!$GR$8</definedName>
    <definedName name="STAT_1_S_49_7" hidden="1">[25]XLR_NoRangeSheet!$W$9</definedName>
    <definedName name="STAT_1_S_49_9" hidden="1">[25]XLR_NoRangeSheet!$CT$9</definedName>
    <definedName name="STAT_1_S_5_10" hidden="1">[25]XLR_NoRangeSheet!$DV$9</definedName>
    <definedName name="STAT_1_S_5_12" hidden="1">[25]XLR_NoRangeSheet!$GS$9</definedName>
    <definedName name="STAT_1_S_5_4" hidden="1">[25]XLR_NoRangeSheet!$L$8</definedName>
    <definedName name="STAT_1_S_5_5" hidden="1">[25]XLR_NoRangeSheet!$CF$8</definedName>
    <definedName name="STAT_1_S_5_6" hidden="1">[25]XLR_NoRangeSheet!$EZ$8</definedName>
    <definedName name="STAT_1_S_5_7" hidden="1">[25]XLR_NoRangeSheet!$HT$8</definedName>
    <definedName name="STAT_1_S_5_9" hidden="1">[25]XLR_NoRangeSheet!$BB$9</definedName>
    <definedName name="STAT_1_S_50_10" hidden="1">[25]XLR_NoRangeSheet!$FO$9</definedName>
    <definedName name="STAT_1_S_50_12" hidden="1">[25]XLR_NoRangeSheet!$IL$9</definedName>
    <definedName name="STAT_1_S_50_4" hidden="1">[25]XLR_NoRangeSheet!$BE$8</definedName>
    <definedName name="STAT_1_S_50_5" hidden="1">[25]XLR_NoRangeSheet!$DY$8</definedName>
    <definedName name="STAT_1_S_50_6" hidden="1">[25]XLR_NoRangeSheet!$GS$8</definedName>
    <definedName name="STAT_1_S_50_7" hidden="1">[25]XLR_NoRangeSheet!$X$9</definedName>
    <definedName name="STAT_1_S_50_9" hidden="1">[25]XLR_NoRangeSheet!$CU$9</definedName>
    <definedName name="STAT_1_S_51_10" hidden="1">[25]XLR_NoRangeSheet!$FP$9</definedName>
    <definedName name="STAT_1_S_51_12" hidden="1">[25]XLR_NoRangeSheet!$IM$9</definedName>
    <definedName name="STAT_1_S_51_4" hidden="1">[25]XLR_NoRangeSheet!$BF$8</definedName>
    <definedName name="STAT_1_S_51_5" hidden="1">[25]XLR_NoRangeSheet!$DZ$8</definedName>
    <definedName name="STAT_1_S_51_6" hidden="1">[25]XLR_NoRangeSheet!$GT$8</definedName>
    <definedName name="STAT_1_S_51_7" hidden="1">[25]XLR_NoRangeSheet!$Y$9</definedName>
    <definedName name="STAT_1_S_51_9" hidden="1">[25]XLR_NoRangeSheet!$CV$9</definedName>
    <definedName name="STAT_1_S_52_10" hidden="1">[25]XLR_NoRangeSheet!$FQ$9</definedName>
    <definedName name="STAT_1_S_52_12" hidden="1">[25]XLR_NoRangeSheet!$IN$9</definedName>
    <definedName name="STAT_1_S_52_4" hidden="1">[25]XLR_NoRangeSheet!$BG$8</definedName>
    <definedName name="STAT_1_S_52_5" hidden="1">[25]XLR_NoRangeSheet!$EA$8</definedName>
    <definedName name="STAT_1_S_52_6" hidden="1">[25]XLR_NoRangeSheet!$GU$8</definedName>
    <definedName name="STAT_1_S_52_7" hidden="1">[25]XLR_NoRangeSheet!$Z$9</definedName>
    <definedName name="STAT_1_S_52_9" hidden="1">[25]XLR_NoRangeSheet!$CW$9</definedName>
    <definedName name="STAT_1_S_53_10" hidden="1">[25]XLR_NoRangeSheet!$FR$9</definedName>
    <definedName name="STAT_1_S_53_12" hidden="1">[25]XLR_NoRangeSheet!$IO$9</definedName>
    <definedName name="STAT_1_S_53_4" hidden="1">[25]XLR_NoRangeSheet!$BH$8</definedName>
    <definedName name="STAT_1_S_53_5" hidden="1">[25]XLR_NoRangeSheet!$EB$8</definedName>
    <definedName name="STAT_1_S_53_6" hidden="1">[25]XLR_NoRangeSheet!$GV$8</definedName>
    <definedName name="STAT_1_S_53_7" hidden="1">[25]XLR_NoRangeSheet!$AA$9</definedName>
    <definedName name="STAT_1_S_53_9" hidden="1">[25]XLR_NoRangeSheet!$CX$9</definedName>
    <definedName name="STAT_1_S_54_10" hidden="1">[25]XLR_NoRangeSheet!$FS$9</definedName>
    <definedName name="STAT_1_S_54_12" hidden="1">[25]XLR_NoRangeSheet!$IP$9</definedName>
    <definedName name="STAT_1_S_54_4" hidden="1">[25]XLR_NoRangeSheet!$BI$8</definedName>
    <definedName name="STAT_1_S_54_5" hidden="1">[25]XLR_NoRangeSheet!$EC$8</definedName>
    <definedName name="STAT_1_S_54_6" hidden="1">[25]XLR_NoRangeSheet!$GW$8</definedName>
    <definedName name="STAT_1_S_54_7" hidden="1">[25]XLR_NoRangeSheet!$AB$9</definedName>
    <definedName name="STAT_1_S_54_9" hidden="1">[25]XLR_NoRangeSheet!$CY$9</definedName>
    <definedName name="STAT_1_S_55_10" hidden="1">[25]XLR_NoRangeSheet!$FT$9</definedName>
    <definedName name="STAT_1_S_55_12" hidden="1">[25]XLR_NoRangeSheet!$IQ$9</definedName>
    <definedName name="STAT_1_S_55_4" hidden="1">[25]XLR_NoRangeSheet!$BJ$8</definedName>
    <definedName name="STAT_1_S_55_5" hidden="1">[25]XLR_NoRangeSheet!$ED$8</definedName>
    <definedName name="STAT_1_S_55_6" hidden="1">[25]XLR_NoRangeSheet!$GX$8</definedName>
    <definedName name="STAT_1_S_55_7" hidden="1">[25]XLR_NoRangeSheet!$AC$9</definedName>
    <definedName name="STAT_1_S_55_9" hidden="1">[25]XLR_NoRangeSheet!$CZ$9</definedName>
    <definedName name="STAT_1_S_56_10" hidden="1">[25]XLR_NoRangeSheet!$FU$9</definedName>
    <definedName name="STAT_1_S_56_12" hidden="1">[25]XLR_NoRangeSheet!$B$10</definedName>
    <definedName name="STAT_1_S_56_4" hidden="1">[25]XLR_NoRangeSheet!$BK$8</definedName>
    <definedName name="STAT_1_S_56_5" hidden="1">[25]XLR_NoRangeSheet!$EE$8</definedName>
    <definedName name="STAT_1_S_56_6" hidden="1">[25]XLR_NoRangeSheet!$GY$8</definedName>
    <definedName name="STAT_1_S_56_7" hidden="1">[25]XLR_NoRangeSheet!$AD$9</definedName>
    <definedName name="STAT_1_S_56_9" hidden="1">[25]XLR_NoRangeSheet!$DA$9</definedName>
    <definedName name="STAT_1_S_57_10" hidden="1">[25]XLR_NoRangeSheet!$FV$9</definedName>
    <definedName name="STAT_1_S_57_12" hidden="1">[25]XLR_NoRangeSheet!$C$10</definedName>
    <definedName name="STAT_1_S_57_4" hidden="1">[25]XLR_NoRangeSheet!$BL$8</definedName>
    <definedName name="STAT_1_S_57_5" hidden="1">[25]XLR_NoRangeSheet!$EF$8</definedName>
    <definedName name="STAT_1_S_57_6" hidden="1">[25]XLR_NoRangeSheet!$GZ$8</definedName>
    <definedName name="STAT_1_S_57_7" hidden="1">[25]XLR_NoRangeSheet!$AE$9</definedName>
    <definedName name="STAT_1_S_57_9" hidden="1">[25]XLR_NoRangeSheet!$DB$9</definedName>
    <definedName name="STAT_1_S_58_10" hidden="1">[25]XLR_NoRangeSheet!$FW$9</definedName>
    <definedName name="STAT_1_S_58_11" hidden="1">[25]XLR_NoRangeSheet!$GN$9</definedName>
    <definedName name="STAT_1_S_58_12" hidden="1">[25]XLR_NoRangeSheet!$D$10</definedName>
    <definedName name="STAT_1_S_58_4" hidden="1">[25]XLR_NoRangeSheet!$BM$8</definedName>
    <definedName name="STAT_1_S_58_5" hidden="1">[25]XLR_NoRangeSheet!$EG$8</definedName>
    <definedName name="STAT_1_S_58_6" hidden="1">[25]XLR_NoRangeSheet!$HA$8</definedName>
    <definedName name="STAT_1_S_58_7" hidden="1">[25]XLR_NoRangeSheet!$AF$9</definedName>
    <definedName name="STAT_1_S_58_8" hidden="1">[25]XLR_NoRangeSheet!$AW$9</definedName>
    <definedName name="STAT_1_S_58_9" hidden="1">[25]XLR_NoRangeSheet!$DC$9</definedName>
    <definedName name="STAT_1_S_59_10" hidden="1">[25]XLR_NoRangeSheet!$FX$9</definedName>
    <definedName name="STAT_1_S_59_12" hidden="1">[25]XLR_NoRangeSheet!$E$10</definedName>
    <definedName name="STAT_1_S_59_4" hidden="1">[25]XLR_NoRangeSheet!$BN$8</definedName>
    <definedName name="STAT_1_S_59_5" hidden="1">[25]XLR_NoRangeSheet!$EH$8</definedName>
    <definedName name="STAT_1_S_59_6" hidden="1">[25]XLR_NoRangeSheet!$HB$8</definedName>
    <definedName name="STAT_1_S_59_7" hidden="1">[25]XLR_NoRangeSheet!$AG$9</definedName>
    <definedName name="STAT_1_S_59_9" hidden="1">[25]XLR_NoRangeSheet!$DD$9</definedName>
    <definedName name="STAT_1_S_6_10" hidden="1">[25]XLR_NoRangeSheet!$DW$9</definedName>
    <definedName name="STAT_1_S_6_12" hidden="1">[25]XLR_NoRangeSheet!$GT$9</definedName>
    <definedName name="STAT_1_S_6_4" hidden="1">[25]XLR_NoRangeSheet!$M$8</definedName>
    <definedName name="STAT_1_S_6_5" hidden="1">[25]XLR_NoRangeSheet!$CG$8</definedName>
    <definedName name="STAT_1_S_6_6" hidden="1">[25]XLR_NoRangeSheet!$FA$8</definedName>
    <definedName name="STAT_1_S_6_7" hidden="1">[25]XLR_NoRangeSheet!$HU$8</definedName>
    <definedName name="STAT_1_S_6_9" hidden="1">[25]XLR_NoRangeSheet!$BC$9</definedName>
    <definedName name="STAT_1_S_60_10" hidden="1">[25]XLR_NoRangeSheet!$FY$9</definedName>
    <definedName name="STAT_1_S_60_12" hidden="1">[25]XLR_NoRangeSheet!$F$10</definedName>
    <definedName name="STAT_1_S_60_4" hidden="1">[25]XLR_NoRangeSheet!$BO$8</definedName>
    <definedName name="STAT_1_S_60_5" hidden="1">[25]XLR_NoRangeSheet!$EI$8</definedName>
    <definedName name="STAT_1_S_60_6" hidden="1">[25]XLR_NoRangeSheet!$HC$8</definedName>
    <definedName name="STAT_1_S_60_7" hidden="1">[25]XLR_NoRangeSheet!$AH$9</definedName>
    <definedName name="STAT_1_S_60_9" hidden="1">[25]XLR_NoRangeSheet!$DE$9</definedName>
    <definedName name="STAT_1_S_61_10" hidden="1">[25]XLR_NoRangeSheet!$FZ$9</definedName>
    <definedName name="STAT_1_S_61_12" hidden="1">[25]XLR_NoRangeSheet!$G$10</definedName>
    <definedName name="STAT_1_S_61_4" hidden="1">[25]XLR_NoRangeSheet!$BP$8</definedName>
    <definedName name="STAT_1_S_61_5" hidden="1">[25]XLR_NoRangeSheet!$EJ$8</definedName>
    <definedName name="STAT_1_S_61_6" hidden="1">[25]XLR_NoRangeSheet!$HD$8</definedName>
    <definedName name="STAT_1_S_61_7" hidden="1">[25]XLR_NoRangeSheet!$AI$9</definedName>
    <definedName name="STAT_1_S_61_9" hidden="1">[25]XLR_NoRangeSheet!$DF$9</definedName>
    <definedName name="STAT_1_S_62_10" hidden="1">[25]XLR_NoRangeSheet!$GA$9</definedName>
    <definedName name="STAT_1_S_62_12" hidden="1">[25]XLR_NoRangeSheet!$H$10</definedName>
    <definedName name="STAT_1_S_62_4" hidden="1">[25]XLR_NoRangeSheet!$BQ$8</definedName>
    <definedName name="STAT_1_S_62_5" hidden="1">[25]XLR_NoRangeSheet!$EK$8</definedName>
    <definedName name="STAT_1_S_62_6" hidden="1">[25]XLR_NoRangeSheet!$HE$8</definedName>
    <definedName name="STAT_1_S_62_7" hidden="1">[25]XLR_NoRangeSheet!$AJ$9</definedName>
    <definedName name="STAT_1_S_62_9" hidden="1">[25]XLR_NoRangeSheet!$DG$9</definedName>
    <definedName name="STAT_1_S_63_10" hidden="1">[25]XLR_NoRangeSheet!$GB$9</definedName>
    <definedName name="STAT_1_S_63_12" hidden="1">[25]XLR_NoRangeSheet!$I$10</definedName>
    <definedName name="STAT_1_S_63_4" hidden="1">[25]XLR_NoRangeSheet!$BR$8</definedName>
    <definedName name="STAT_1_S_63_5" hidden="1">[25]XLR_NoRangeSheet!$EL$8</definedName>
    <definedName name="STAT_1_S_63_6" hidden="1">[25]XLR_NoRangeSheet!$HF$8</definedName>
    <definedName name="STAT_1_S_63_7" hidden="1">[25]XLR_NoRangeSheet!$AK$9</definedName>
    <definedName name="STAT_1_S_63_9" hidden="1">[25]XLR_NoRangeSheet!$DH$9</definedName>
    <definedName name="STAT_1_S_64_10" hidden="1">[25]XLR_NoRangeSheet!$GC$9</definedName>
    <definedName name="STAT_1_S_64_12" hidden="1">[25]XLR_NoRangeSheet!$J$10</definedName>
    <definedName name="STAT_1_S_64_4" hidden="1">[25]XLR_NoRangeSheet!$BS$8</definedName>
    <definedName name="STAT_1_S_64_5" hidden="1">[25]XLR_NoRangeSheet!$EM$8</definedName>
    <definedName name="STAT_1_S_64_6" hidden="1">[25]XLR_NoRangeSheet!$HG$8</definedName>
    <definedName name="STAT_1_S_64_7" hidden="1">[25]XLR_NoRangeSheet!$AL$9</definedName>
    <definedName name="STAT_1_S_64_9" hidden="1">[25]XLR_NoRangeSheet!$DI$9</definedName>
    <definedName name="STAT_1_S_65_10" hidden="1">[25]XLR_NoRangeSheet!$GD$9</definedName>
    <definedName name="STAT_1_S_65_12" hidden="1">[25]XLR_NoRangeSheet!$K$10</definedName>
    <definedName name="STAT_1_S_65_4" hidden="1">[25]XLR_NoRangeSheet!$BT$8</definedName>
    <definedName name="STAT_1_S_65_5" hidden="1">[25]XLR_NoRangeSheet!$EN$8</definedName>
    <definedName name="STAT_1_S_65_6" hidden="1">[25]XLR_NoRangeSheet!$HH$8</definedName>
    <definedName name="STAT_1_S_65_7" hidden="1">[25]XLR_NoRangeSheet!$AM$9</definedName>
    <definedName name="STAT_1_S_65_9" hidden="1">[25]XLR_NoRangeSheet!$DJ$9</definedName>
    <definedName name="STAT_1_S_66_10" hidden="1">[25]XLR_NoRangeSheet!$GE$9</definedName>
    <definedName name="STAT_1_S_66_12" hidden="1">[25]XLR_NoRangeSheet!$L$10</definedName>
    <definedName name="STAT_1_S_66_4" hidden="1">[25]XLR_NoRangeSheet!$BU$8</definedName>
    <definedName name="STAT_1_S_66_5" hidden="1">[25]XLR_NoRangeSheet!$EO$8</definedName>
    <definedName name="STAT_1_S_66_6" hidden="1">[25]XLR_NoRangeSheet!$HI$8</definedName>
    <definedName name="STAT_1_S_66_7" hidden="1">[25]XLR_NoRangeSheet!$AN$9</definedName>
    <definedName name="STAT_1_S_66_9" hidden="1">[25]XLR_NoRangeSheet!$DK$9</definedName>
    <definedName name="STAT_1_S_67_10" hidden="1">[25]XLR_NoRangeSheet!$GF$9</definedName>
    <definedName name="STAT_1_S_67_12" hidden="1">[25]XLR_NoRangeSheet!$M$10</definedName>
    <definedName name="STAT_1_S_67_4" hidden="1">[25]XLR_NoRangeSheet!$BV$8</definedName>
    <definedName name="STAT_1_S_67_5" hidden="1">[25]XLR_NoRangeSheet!$EP$8</definedName>
    <definedName name="STAT_1_S_67_6" hidden="1">[25]XLR_NoRangeSheet!$HJ$8</definedName>
    <definedName name="STAT_1_S_67_7" hidden="1">[25]XLR_NoRangeSheet!$AO$9</definedName>
    <definedName name="STAT_1_S_67_9" hidden="1">[25]XLR_NoRangeSheet!$DL$9</definedName>
    <definedName name="STAT_1_S_68_10" hidden="1">[25]XLR_NoRangeSheet!$GG$9</definedName>
    <definedName name="STAT_1_S_68_12" hidden="1">[25]XLR_NoRangeSheet!$N$10</definedName>
    <definedName name="STAT_1_S_68_4" hidden="1">[25]XLR_NoRangeSheet!$BW$8</definedName>
    <definedName name="STAT_1_S_68_5" hidden="1">[25]XLR_NoRangeSheet!$EQ$8</definedName>
    <definedName name="STAT_1_S_68_6" hidden="1">[25]XLR_NoRangeSheet!$HK$8</definedName>
    <definedName name="STAT_1_S_68_7" hidden="1">[25]XLR_NoRangeSheet!$AP$9</definedName>
    <definedName name="STAT_1_S_68_9" hidden="1">[25]XLR_NoRangeSheet!$DM$9</definedName>
    <definedName name="STAT_1_S_69_10" hidden="1">[25]XLR_NoRangeSheet!$GH$9</definedName>
    <definedName name="STAT_1_S_69_12" hidden="1">[25]XLR_NoRangeSheet!$O$10</definedName>
    <definedName name="STAT_1_S_69_4" hidden="1">[25]XLR_NoRangeSheet!$BX$8</definedName>
    <definedName name="STAT_1_S_69_5" hidden="1">[25]XLR_NoRangeSheet!$ER$8</definedName>
    <definedName name="STAT_1_S_69_6" hidden="1">[25]XLR_NoRangeSheet!$HL$8</definedName>
    <definedName name="STAT_1_S_69_7" hidden="1">[25]XLR_NoRangeSheet!$AQ$9</definedName>
    <definedName name="STAT_1_S_69_9" hidden="1">[25]XLR_NoRangeSheet!$DN$9</definedName>
    <definedName name="STAT_1_S_7_10" hidden="1">[25]XLR_NoRangeSheet!$DX$9</definedName>
    <definedName name="STAT_1_S_7_12" hidden="1">[25]XLR_NoRangeSheet!$GU$9</definedName>
    <definedName name="STAT_1_S_7_4" hidden="1">[25]XLR_NoRangeSheet!$N$8</definedName>
    <definedName name="STAT_1_S_7_5" hidden="1">[25]XLR_NoRangeSheet!$CH$8</definedName>
    <definedName name="STAT_1_S_7_6" hidden="1">[25]XLR_NoRangeSheet!$FB$8</definedName>
    <definedName name="STAT_1_S_7_7" hidden="1">[25]XLR_NoRangeSheet!$HV$8</definedName>
    <definedName name="STAT_1_S_7_9" hidden="1">[25]XLR_NoRangeSheet!$BD$9</definedName>
    <definedName name="STAT_1_S_70_4" hidden="1">[25]XLR_NoRangeSheet!$BY$8</definedName>
    <definedName name="STAT_1_S_70_5" hidden="1">[25]XLR_NoRangeSheet!$ES$8</definedName>
    <definedName name="STAT_1_S_70_6" hidden="1">[25]XLR_NoRangeSheet!$HM$8</definedName>
    <definedName name="STAT_1_S_70_7" hidden="1">[25]XLR_NoRangeSheet!$AR$9</definedName>
    <definedName name="STAT_1_S_71_4" hidden="1">[25]XLR_NoRangeSheet!$BZ$8</definedName>
    <definedName name="STAT_1_S_71_5" hidden="1">[25]XLR_NoRangeSheet!$ET$8</definedName>
    <definedName name="STAT_1_S_71_6" hidden="1">[25]XLR_NoRangeSheet!$HN$8</definedName>
    <definedName name="STAT_1_S_71_7" hidden="1">[25]XLR_NoRangeSheet!$AS$9</definedName>
    <definedName name="STAT_1_S_72_4" hidden="1">[25]XLR_NoRangeSheet!$CA$8</definedName>
    <definedName name="STAT_1_S_72_5" hidden="1">[25]XLR_NoRangeSheet!$EU$8</definedName>
    <definedName name="STAT_1_S_72_6" hidden="1">[25]XLR_NoRangeSheet!$HO$8</definedName>
    <definedName name="STAT_1_S_72_7" hidden="1">[25]XLR_NoRangeSheet!$AT$9</definedName>
    <definedName name="STAT_1_S_8_10" hidden="1">[25]XLR_NoRangeSheet!$DY$9</definedName>
    <definedName name="STAT_1_S_8_12" hidden="1">[25]XLR_NoRangeSheet!$GV$9</definedName>
    <definedName name="STAT_1_S_8_4" hidden="1">[25]XLR_NoRangeSheet!$O$8</definedName>
    <definedName name="STAT_1_S_8_5" hidden="1">[25]XLR_NoRangeSheet!$CI$8</definedName>
    <definedName name="STAT_1_S_8_6" hidden="1">[25]XLR_NoRangeSheet!$FC$8</definedName>
    <definedName name="STAT_1_S_8_7" hidden="1">[25]XLR_NoRangeSheet!$HW$8</definedName>
    <definedName name="STAT_1_S_8_9" hidden="1">[25]XLR_NoRangeSheet!$BE$9</definedName>
    <definedName name="STAT_1_S_9_10" hidden="1">[25]XLR_NoRangeSheet!$DZ$9</definedName>
    <definedName name="STAT_1_S_9_12" hidden="1">[25]XLR_NoRangeSheet!$GW$9</definedName>
    <definedName name="STAT_1_S_9_4" hidden="1">[25]XLR_NoRangeSheet!$P$8</definedName>
    <definedName name="STAT_1_S_9_5" hidden="1">[25]XLR_NoRangeSheet!$CJ$8</definedName>
    <definedName name="STAT_1_S_9_6" hidden="1">[25]XLR_NoRangeSheet!$FD$8</definedName>
    <definedName name="STAT_1_S_9_7" hidden="1">[25]XLR_NoRangeSheet!$HX$8</definedName>
    <definedName name="STAT_1_S_9_9" hidden="1">[25]XLR_NoRangeSheet!$BF$9</definedName>
    <definedName name="STAT_1_S_90_10" hidden="1">[25]XLR_NoRangeSheet!$GI$9</definedName>
    <definedName name="STAT_1_S_90_9" hidden="1">[25]XLR_NoRangeSheet!$DO$9</definedName>
    <definedName name="STAT_1_S_91_10" hidden="1">[25]XLR_NoRangeSheet!$GJ$9</definedName>
    <definedName name="STAT_1_S_91_9" hidden="1">[25]XLR_NoRangeSheet!$DP$9</definedName>
    <definedName name="STAT_1_S_92_10" hidden="1">[25]XLR_NoRangeSheet!$GK$9</definedName>
    <definedName name="STAT_1_S_92_9" hidden="1">[25]XLR_NoRangeSheet!$DQ$9</definedName>
    <definedName name="STAT_1_STUFF_A" hidden="1">[25]XLR_NoRangeSheet!$S$10</definedName>
    <definedName name="STAT_1_STUFF_B" hidden="1">[25]XLR_NoRangeSheet!$T$10</definedName>
    <definedName name="STAT_19_POK4_2" hidden="1">[26]XLR_NoRangeSheet!$J$62</definedName>
    <definedName name="STAT_19_POK4_3" hidden="1">[26]XLR_NoRangeSheet!$K$62</definedName>
    <definedName name="STAT_21_POK1_2" hidden="1">[26]XLR_NoRangeSheet!$D$68</definedName>
    <definedName name="STAT_21_POK1_3" hidden="1">[26]XLR_NoRangeSheet!$E$68</definedName>
    <definedName name="STAT_21_POK2_2" hidden="1">[26]XLR_NoRangeSheet!$F$68</definedName>
    <definedName name="STAT_21_POK2_3" hidden="1">[26]XLR_NoRangeSheet!$G$68</definedName>
    <definedName name="STAT_22_POK4_2" hidden="1">[26]XLR_NoRangeSheet!$J$71</definedName>
    <definedName name="STAT_22_POK4_3" hidden="1">[26]XLR_NoRangeSheet!$K$71</definedName>
    <definedName name="STAT_23_POK4_2" hidden="1">[26]XLR_NoRangeSheet!$J$74</definedName>
    <definedName name="STAT_23_POK4_3" hidden="1">[26]XLR_NoRangeSheet!$K$74</definedName>
    <definedName name="STAT_24_POK3_2" hidden="1">[26]XLR_NoRangeSheet!$H$77</definedName>
    <definedName name="STAT_24_POK3_3" hidden="1">[26]XLR_NoRangeSheet!$I$77</definedName>
    <definedName name="STAT_25_POK4_2" hidden="1">[26]XLR_NoRangeSheet!$J$80</definedName>
    <definedName name="STAT_25_POK4_3" hidden="1">[26]XLR_NoRangeSheet!$K$80</definedName>
    <definedName name="STAT_26_POK4_2" hidden="1">[26]XLR_NoRangeSheet!$J$83</definedName>
    <definedName name="STAT_26_POK4_3" hidden="1">[26]XLR_NoRangeSheet!$K$83</definedName>
    <definedName name="STAT_27_POK4_2" hidden="1">[26]XLR_NoRangeSheet!$J$86</definedName>
    <definedName name="STAT_27_POK4_3" hidden="1">[26]XLR_NoRangeSheet!$K$86</definedName>
    <definedName name="STAT_28_POK3_2" hidden="1">[27]XLR_NoRangeSheet!$H$89</definedName>
    <definedName name="STAT_28_POK3_3" hidden="1">[27]XLR_NoRangeSheet!$I$89</definedName>
    <definedName name="STAT_28_POK4_2" hidden="1">[26]XLR_NoRangeSheet!$J$89</definedName>
    <definedName name="STAT_28_POK4_3" hidden="1">[26]XLR_NoRangeSheet!$K$89</definedName>
    <definedName name="STAT_29_POK4_2" hidden="1">[26]XLR_NoRangeSheet!$J$92</definedName>
    <definedName name="STAT_29_POK4_3" hidden="1">[26]XLR_NoRangeSheet!$K$92</definedName>
    <definedName name="STAT_30_POK4_2" hidden="1">[26]XLR_NoRangeSheet!$J$95</definedName>
    <definedName name="STAT_30_POK4_3" hidden="1">[26]XLR_NoRangeSheet!$K$95</definedName>
    <definedName name="stella" hidden="1">{"det (May)",#N/A,FALSE,"June";"sum (MAY YTD)",#N/A,FALSE,"June YTD"}</definedName>
    <definedName name="Strategicplanning" hidden="1">[4]Matrix!#REF!</definedName>
    <definedName name="SVOD_SUM1" hidden="1">[28]XLR_NoRangeSheet!$B$8</definedName>
    <definedName name="SVOD_SUM1_1" hidden="1">[28]XLR_NoRangeSheet!$C$8</definedName>
    <definedName name="SVOD_SUM10" hidden="1">[28]XLR_NoRangeSheet!$W$8</definedName>
    <definedName name="SVOD_SUM11" hidden="1">[28]XLR_NoRangeSheet!$X$8</definedName>
    <definedName name="SVOD_SUM12" hidden="1">[28]XLR_NoRangeSheet!$Y$8</definedName>
    <definedName name="SVOD_SUM13" hidden="1">[28]XLR_NoRangeSheet!$Z$8</definedName>
    <definedName name="SVOD_SUM2" hidden="1">[28]XLR_NoRangeSheet!$D$8</definedName>
    <definedName name="SVOD_SUM2_1" hidden="1">[28]XLR_NoRangeSheet!$E$8</definedName>
    <definedName name="SVOD_SUM2_2" hidden="1">[28]XLR_NoRangeSheet!$F$8</definedName>
    <definedName name="SVOD_SUM2_3" hidden="1">[28]XLR_NoRangeSheet!$G$8</definedName>
    <definedName name="SVOD_SUM3" hidden="1">[28]XLR_NoRangeSheet!$H$8</definedName>
    <definedName name="SVOD_SUM3_1" hidden="1">[28]XLR_NoRangeSheet!$I$8</definedName>
    <definedName name="SVOD_SUM3_2" hidden="1">[28]XLR_NoRangeSheet!$J$8</definedName>
    <definedName name="SVOD_SUM3_3" hidden="1">[28]XLR_NoRangeSheet!$K$8</definedName>
    <definedName name="SVOD_SUM3_4" hidden="1">[28]XLR_NoRangeSheet!$L$8</definedName>
    <definedName name="SVOD_SUM3_5" hidden="1">[28]XLR_NoRangeSheet!$M$8</definedName>
    <definedName name="SVOD_SUM3_6" hidden="1">[28]XLR_NoRangeSheet!$N$8</definedName>
    <definedName name="SVOD_SUM3_7" hidden="1">[28]XLR_NoRangeSheet!$O$8</definedName>
    <definedName name="SVOD_SUM4" hidden="1">[28]XLR_NoRangeSheet!$P$8</definedName>
    <definedName name="SVOD_SUM5" hidden="1">[28]XLR_NoRangeSheet!$Q$8</definedName>
    <definedName name="SVOD_SUM6" hidden="1">[28]XLR_NoRangeSheet!$R$8</definedName>
    <definedName name="SVOD_SUM6_1" hidden="1">[28]XLR_NoRangeSheet!$S$8</definedName>
    <definedName name="SVOD_SUM7" hidden="1">[28]XLR_NoRangeSheet!$T$8</definedName>
    <definedName name="SVOD_SUM8" hidden="1">[28]XLR_NoRangeSheet!$U$8</definedName>
    <definedName name="SVOD_SUM9" hidden="1">[28]XLR_NoRangeSheet!$V$8</definedName>
    <definedName name="SVOD26_POG_FL_BN_RUB" hidden="1">[13]XLR_NoRangeSheet!$P$8</definedName>
    <definedName name="SVOD26_POG_FL_PROSROC_RUB" hidden="1">[13]XLR_NoRangeSheet!$I$8</definedName>
    <definedName name="SVOD26_POG_FL_RUB" hidden="1">[13]XLR_NoRangeSheet!$L$8</definedName>
    <definedName name="SVOD26_POG_FL_SROC_RUB" hidden="1">[13]XLR_NoRangeSheet!$H$8</definedName>
    <definedName name="SVOD26_POG_FL_USD" hidden="1">[13]XLR_NoRangeSheet!$M$8</definedName>
    <definedName name="SVOD26_POG_UL_BN_RUB" hidden="1">[13]XLR_NoRangeSheet!$Q$8</definedName>
    <definedName name="SVOD26_POG_UL_PROSROC_RUB" hidden="1">[13]XLR_NoRangeSheet!$K$8</definedName>
    <definedName name="SVOD26_POG_UL_RUB" hidden="1">[13]XLR_NoRangeSheet!$N$8</definedName>
    <definedName name="SVOD26_POG_UL_SROC_RUB" hidden="1">[13]XLR_NoRangeSheet!$J$8</definedName>
    <definedName name="SVOD26_POG_UL_USD" hidden="1">[13]XLR_NoRangeSheet!$O$8</definedName>
    <definedName name="SVOD26_VYD_FL_RUB" hidden="1">[13]XLR_NoRangeSheet!$B$8</definedName>
    <definedName name="SVOD26_VYD_FL_USD" hidden="1">[13]XLR_NoRangeSheet!$C$8</definedName>
    <definedName name="SVOD26_VYD_MB_RUB" hidden="1">[13]XLR_NoRangeSheet!$F$8</definedName>
    <definedName name="SVOD26_VYD_MB_USD" hidden="1">[13]XLR_NoRangeSheet!$G$8</definedName>
    <definedName name="SVOD26_VYD_UL_RUB" hidden="1">[13]XLR_NoRangeSheet!$D$8</definedName>
    <definedName name="SVOD26_VYD_UL_USD" hidden="1">[13]XLR_NoRangeSheet!$E$8</definedName>
    <definedName name="SVOD27_SSUD_FL_RUB01" hidden="1">[13]XLR_NoRangeSheet!$B$9</definedName>
    <definedName name="SVOD27_SSUD_FL_RUB02" hidden="1">[13]XLR_NoRangeSheet!$D$9</definedName>
    <definedName name="SVOD27_SSUD_FL_RUB03" hidden="1">[13]XLR_NoRangeSheet!$F$9</definedName>
    <definedName name="SVOD27_SSUD_FL_RUB04" hidden="1">[13]XLR_NoRangeSheet!$H$9</definedName>
    <definedName name="SVOD27_SSUD_FL_RUB05" hidden="1">[13]XLR_NoRangeSheet!$J$9</definedName>
    <definedName name="SVOD27_SSUD_FL_RUB06" hidden="1">[13]XLR_NoRangeSheet!$L$9</definedName>
    <definedName name="SVOD27_SSUD_FL_RUB07" hidden="1">[13]XLR_NoRangeSheet!$N$9</definedName>
    <definedName name="SVOD27_SSUD_FL_RUB08" hidden="1">[13]XLR_NoRangeSheet!$P$9</definedName>
    <definedName name="SVOD27_SSUD_FL_RUB09" hidden="1">[13]XLR_NoRangeSheet!$R$9</definedName>
    <definedName name="SVOD27_SSUD_FL_RUB10" hidden="1">[13]XLR_NoRangeSheet!$T$9</definedName>
    <definedName name="SVOD27_SSUD_FL_RUB11" hidden="1">[13]XLR_NoRangeSheet!$V$9</definedName>
    <definedName name="SVOD27_SSUD_FL_RUB12" hidden="1">[13]XLR_NoRangeSheet!$X$9</definedName>
    <definedName name="SVOD27_SSUD_FL_RUB13" hidden="1">[13]XLR_NoRangeSheet!$Z$9</definedName>
    <definedName name="SVOD27_SSUD_FL_USD01" hidden="1">[13]XLR_NoRangeSheet!$C$9</definedName>
    <definedName name="SVOD27_SSUD_FL_USD02" hidden="1">[13]XLR_NoRangeSheet!$E$9</definedName>
    <definedName name="SVOD27_SSUD_FL_USD03" hidden="1">[13]XLR_NoRangeSheet!$G$9</definedName>
    <definedName name="SVOD27_SSUD_FL_USD04" hidden="1">[13]XLR_NoRangeSheet!$I$9</definedName>
    <definedName name="SVOD27_SSUD_FL_USD05" hidden="1">[13]XLR_NoRangeSheet!$K$9</definedName>
    <definedName name="SVOD27_SSUD_FL_USD06" hidden="1">[13]XLR_NoRangeSheet!$M$9</definedName>
    <definedName name="SVOD27_SSUD_FL_USD07" hidden="1">[13]XLR_NoRangeSheet!$O$9</definedName>
    <definedName name="SVOD27_SSUD_FL_USD08" hidden="1">[13]XLR_NoRangeSheet!$Q$9</definedName>
    <definedName name="SVOD27_SSUD_FL_USD09" hidden="1">[13]XLR_NoRangeSheet!$S$9</definedName>
    <definedName name="SVOD27_SSUD_FL_USD10" hidden="1">[13]XLR_NoRangeSheet!$U$9</definedName>
    <definedName name="SVOD27_SSUD_FL_USD11" hidden="1">[13]XLR_NoRangeSheet!$W$9</definedName>
    <definedName name="SVOD27_SSUD_FL_USD12" hidden="1">[13]XLR_NoRangeSheet!$Y$9</definedName>
    <definedName name="SVOD27_SSUD_FL_USD13" hidden="1">[13]XLR_NoRangeSheet!$AA$9</definedName>
    <definedName name="SVOD27_SSUD_MB_RUB01" hidden="1">[13]XLR_NoRangeSheet!$BB$9</definedName>
    <definedName name="SVOD27_SSUD_MB_RUB02" hidden="1">[13]XLR_NoRangeSheet!$BD$9</definedName>
    <definedName name="SVOD27_SSUD_MB_RUB03" hidden="1">[13]XLR_NoRangeSheet!$BF$9</definedName>
    <definedName name="SVOD27_SSUD_MB_RUB04" hidden="1">[13]XLR_NoRangeSheet!$BH$9</definedName>
    <definedName name="SVOD27_SSUD_MB_RUB05" hidden="1">[13]XLR_NoRangeSheet!$BJ$9</definedName>
    <definedName name="SVOD27_SSUD_MB_RUB06" hidden="1">[13]XLR_NoRangeSheet!$BL$9</definedName>
    <definedName name="SVOD27_SSUD_MB_RUB07" hidden="1">[13]XLR_NoRangeSheet!$BN$9</definedName>
    <definedName name="SVOD27_SSUD_MB_RUB08" hidden="1">[13]XLR_NoRangeSheet!$BP$9</definedName>
    <definedName name="SVOD27_SSUD_MB_RUB09" hidden="1">[13]XLR_NoRangeSheet!$BR$9</definedName>
    <definedName name="SVOD27_SSUD_MB_RUB10" hidden="1">[13]XLR_NoRangeSheet!$BT$9</definedName>
    <definedName name="SVOD27_SSUD_MB_RUB11" hidden="1">[13]XLR_NoRangeSheet!$BV$9</definedName>
    <definedName name="SVOD27_SSUD_MB_RUB12" hidden="1">[13]XLR_NoRangeSheet!$BX$9</definedName>
    <definedName name="SVOD27_SSUD_MB_RUB13" hidden="1">[13]XLR_NoRangeSheet!$BZ$9</definedName>
    <definedName name="SVOD27_SSUD_MB_USD01" hidden="1">[13]XLR_NoRangeSheet!$BC$9</definedName>
    <definedName name="SVOD27_SSUD_MB_USD02" hidden="1">[13]XLR_NoRangeSheet!$BE$9</definedName>
    <definedName name="SVOD27_SSUD_MB_USD03" hidden="1">[13]XLR_NoRangeSheet!$BG$9</definedName>
    <definedName name="SVOD27_SSUD_MB_USD04" hidden="1">[13]XLR_NoRangeSheet!$BI$9</definedName>
    <definedName name="SVOD27_SSUD_MB_USD05" hidden="1">[13]XLR_NoRangeSheet!$BK$9</definedName>
    <definedName name="SVOD27_SSUD_MB_USD06" hidden="1">[13]XLR_NoRangeSheet!$BM$9</definedName>
    <definedName name="SVOD27_SSUD_MB_USD07" hidden="1">[13]XLR_NoRangeSheet!$BO$9</definedName>
    <definedName name="SVOD27_SSUD_MB_USD08" hidden="1">[13]XLR_NoRangeSheet!$BQ$9</definedName>
    <definedName name="SVOD27_SSUD_MB_USD09" hidden="1">[13]XLR_NoRangeSheet!$BS$9</definedName>
    <definedName name="SVOD27_SSUD_MB_USD10" hidden="1">[13]XLR_NoRangeSheet!$BU$9</definedName>
    <definedName name="SVOD27_SSUD_MB_USD11" hidden="1">[13]XLR_NoRangeSheet!$BW$9</definedName>
    <definedName name="SVOD27_SSUD_MB_USD12" hidden="1">[13]XLR_NoRangeSheet!$BY$9</definedName>
    <definedName name="SVOD27_SSUD_MB_USD13" hidden="1">[13]XLR_NoRangeSheet!$CA$9</definedName>
    <definedName name="SVOD27_SSUD_UL_RUB01" hidden="1">[13]XLR_NoRangeSheet!$AB$9</definedName>
    <definedName name="SVOD27_SSUD_UL_RUB02" hidden="1">[13]XLR_NoRangeSheet!$AD$9</definedName>
    <definedName name="SVOD27_SSUD_UL_RUB03" hidden="1">[13]XLR_NoRangeSheet!$AF$9</definedName>
    <definedName name="SVOD27_SSUD_UL_RUB04" hidden="1">[13]XLR_NoRangeSheet!$AH$9</definedName>
    <definedName name="SVOD27_SSUD_UL_RUB05" hidden="1">[13]XLR_NoRangeSheet!$AJ$9</definedName>
    <definedName name="SVOD27_SSUD_UL_RUB06" hidden="1">[13]XLR_NoRangeSheet!$AL$9</definedName>
    <definedName name="SVOD27_SSUD_UL_RUB07" hidden="1">[13]XLR_NoRangeSheet!$AN$9</definedName>
    <definedName name="SVOD27_SSUD_UL_RUB08" hidden="1">[13]XLR_NoRangeSheet!$AP$9</definedName>
    <definedName name="SVOD27_SSUD_UL_RUB09" hidden="1">[13]XLR_NoRangeSheet!$AR$9</definedName>
    <definedName name="SVOD27_SSUD_UL_RUB10" hidden="1">[13]XLR_NoRangeSheet!$AT$9</definedName>
    <definedName name="SVOD27_SSUD_UL_RUB11" hidden="1">[13]XLR_NoRangeSheet!$AV$9</definedName>
    <definedName name="SVOD27_SSUD_UL_RUB12" hidden="1">[13]XLR_NoRangeSheet!$AX$9</definedName>
    <definedName name="SVOD27_SSUD_UL_RUB13" hidden="1">[13]XLR_NoRangeSheet!$AZ$9</definedName>
    <definedName name="SVOD27_SSUD_UL_USD01" hidden="1">[13]XLR_NoRangeSheet!$AC$9</definedName>
    <definedName name="SVOD27_SSUD_UL_USD02" hidden="1">[13]XLR_NoRangeSheet!$AE$9</definedName>
    <definedName name="SVOD27_SSUD_UL_USD03" hidden="1">[13]XLR_NoRangeSheet!$AG$9</definedName>
    <definedName name="SVOD27_SSUD_UL_USD04" hidden="1">[13]XLR_NoRangeSheet!$AI$9</definedName>
    <definedName name="SVOD27_SSUD_UL_USD05" hidden="1">[13]XLR_NoRangeSheet!$AK$9</definedName>
    <definedName name="SVOD27_SSUD_UL_USD06" hidden="1">[13]XLR_NoRangeSheet!$AM$9</definedName>
    <definedName name="SVOD27_SSUD_UL_USD07" hidden="1">[13]XLR_NoRangeSheet!$AO$9</definedName>
    <definedName name="SVOD27_SSUD_UL_USD08" hidden="1">[13]XLR_NoRangeSheet!$AQ$9</definedName>
    <definedName name="SVOD27_SSUD_UL_USD09" hidden="1">[13]XLR_NoRangeSheet!$AS$9</definedName>
    <definedName name="SVOD27_SSUD_UL_USD10" hidden="1">[13]XLR_NoRangeSheet!$AU$9</definedName>
    <definedName name="SVOD27_SSUD_UL_USD11" hidden="1">[13]XLR_NoRangeSheet!$AW$9</definedName>
    <definedName name="SVOD27_SSUD_UL_USD12" hidden="1">[13]XLR_NoRangeSheet!$AY$9</definedName>
    <definedName name="SVOD27_SSUD_UL_USD13" hidden="1">[13]XLR_NoRangeSheet!$BA$9</definedName>
    <definedName name="SVOD28_PROS_FL_RUB01" hidden="1">[13]XLR_NoRangeSheet!$B$10</definedName>
    <definedName name="SVOD28_PROS_FL_RUB02" hidden="1">[13]XLR_NoRangeSheet!$D$10</definedName>
    <definedName name="SVOD28_PROS_FL_RUB03" hidden="1">[13]XLR_NoRangeSheet!$F$10</definedName>
    <definedName name="SVOD28_PROS_FL_RUB04" hidden="1">[13]XLR_NoRangeSheet!$H$10</definedName>
    <definedName name="SVOD28_PROS_FL_RUB05" hidden="1">[13]XLR_NoRangeSheet!$J$10</definedName>
    <definedName name="SVOD28_PROS_FL_RUB06" hidden="1">[13]XLR_NoRangeSheet!$L$10</definedName>
    <definedName name="SVOD28_PROS_FL_RUB07" hidden="1">[13]XLR_NoRangeSheet!$N$10</definedName>
    <definedName name="SVOD28_PROS_FL_RUB08" hidden="1">[13]XLR_NoRangeSheet!$P$10</definedName>
    <definedName name="SVOD28_PROS_FL_RUB09" hidden="1">[13]XLR_NoRangeSheet!$R$10</definedName>
    <definedName name="SVOD28_PROS_FL_RUB10" hidden="1">[13]XLR_NoRangeSheet!$T$10</definedName>
    <definedName name="SVOD28_PROS_FL_RUB11" hidden="1">[13]XLR_NoRangeSheet!$V$10</definedName>
    <definedName name="SVOD28_PROS_FL_RUB12" hidden="1">[13]XLR_NoRangeSheet!$X$10</definedName>
    <definedName name="SVOD28_PROS_FL_RUB13" hidden="1">[13]XLR_NoRangeSheet!$Z$10</definedName>
    <definedName name="SVOD28_PROS_FL_USD01" hidden="1">[13]XLR_NoRangeSheet!$C$10</definedName>
    <definedName name="SVOD28_PROS_FL_USD02" hidden="1">[13]XLR_NoRangeSheet!$E$10</definedName>
    <definedName name="SVOD28_PROS_FL_USD03" hidden="1">[13]XLR_NoRangeSheet!$G$10</definedName>
    <definedName name="SVOD28_PROS_FL_USD04" hidden="1">[13]XLR_NoRangeSheet!$I$10</definedName>
    <definedName name="SVOD28_PROS_FL_USD05" hidden="1">[13]XLR_NoRangeSheet!$K$10</definedName>
    <definedName name="SVOD28_PROS_FL_USD06" hidden="1">[13]XLR_NoRangeSheet!$M$10</definedName>
    <definedName name="SVOD28_PROS_FL_USD07" hidden="1">[13]XLR_NoRangeSheet!$O$10</definedName>
    <definedName name="SVOD28_PROS_FL_USD08" hidden="1">[13]XLR_NoRangeSheet!$Q$10</definedName>
    <definedName name="SVOD28_PROS_FL_USD09" hidden="1">[13]XLR_NoRangeSheet!$S$10</definedName>
    <definedName name="SVOD28_PROS_FL_USD10" hidden="1">[13]XLR_NoRangeSheet!$U$10</definedName>
    <definedName name="SVOD28_PROS_FL_USD11" hidden="1">[13]XLR_NoRangeSheet!$W$10</definedName>
    <definedName name="SVOD28_PROS_FL_USD12" hidden="1">[13]XLR_NoRangeSheet!$Y$10</definedName>
    <definedName name="SVOD28_PROS_FL_USD13" hidden="1">[13]XLR_NoRangeSheet!$AA$10</definedName>
    <definedName name="SVOD28_PROS_MB_RUB01" hidden="1">[13]XLR_NoRangeSheet!$BB$10</definedName>
    <definedName name="SVOD28_PROS_MB_RUB02" hidden="1">[13]XLR_NoRangeSheet!$BD$10</definedName>
    <definedName name="SVOD28_PROS_MB_RUB03" hidden="1">[13]XLR_NoRangeSheet!$BF$10</definedName>
    <definedName name="SVOD28_PROS_MB_RUB04" hidden="1">[13]XLR_NoRangeSheet!$BH$10</definedName>
    <definedName name="SVOD28_PROS_MB_RUB05" hidden="1">[13]XLR_NoRangeSheet!$BJ$10</definedName>
    <definedName name="SVOD28_PROS_MB_RUB06" hidden="1">[13]XLR_NoRangeSheet!$BL$10</definedName>
    <definedName name="SVOD28_PROS_MB_RUB07" hidden="1">[13]XLR_NoRangeSheet!$BN$10</definedName>
    <definedName name="SVOD28_PROS_MB_RUB08" hidden="1">[13]XLR_NoRangeSheet!$BP$10</definedName>
    <definedName name="SVOD28_PROS_MB_RUB09" hidden="1">[13]XLR_NoRangeSheet!$BR$10</definedName>
    <definedName name="SVOD28_PROS_MB_RUB10" hidden="1">[13]XLR_NoRangeSheet!$BT$10</definedName>
    <definedName name="SVOD28_PROS_MB_RUB11" hidden="1">[13]XLR_NoRangeSheet!$BV$10</definedName>
    <definedName name="SVOD28_PROS_MB_RUB12" hidden="1">[13]XLR_NoRangeSheet!$BX$10</definedName>
    <definedName name="SVOD28_PROS_MB_RUB13" hidden="1">[13]XLR_NoRangeSheet!$BZ$10</definedName>
    <definedName name="SVOD28_PROS_MB_USD01" hidden="1">[13]XLR_NoRangeSheet!$BC$10</definedName>
    <definedName name="SVOD28_PROS_MB_USD02" hidden="1">[13]XLR_NoRangeSheet!$BE$10</definedName>
    <definedName name="SVOD28_PROS_MB_USD03" hidden="1">[13]XLR_NoRangeSheet!$BG$10</definedName>
    <definedName name="SVOD28_PROS_MB_USD04" hidden="1">[13]XLR_NoRangeSheet!$BI$10</definedName>
    <definedName name="SVOD28_PROS_MB_USD05" hidden="1">[13]XLR_NoRangeSheet!$BK$10</definedName>
    <definedName name="SVOD28_PROS_MB_USD06" hidden="1">[13]XLR_NoRangeSheet!$BM$10</definedName>
    <definedName name="SVOD28_PROS_MB_USD07" hidden="1">[13]XLR_NoRangeSheet!$BO$10</definedName>
    <definedName name="SVOD28_PROS_MB_USD08" hidden="1">[13]XLR_NoRangeSheet!$BQ$10</definedName>
    <definedName name="SVOD28_PROS_MB_USD09" hidden="1">[13]XLR_NoRangeSheet!$BS$10</definedName>
    <definedName name="SVOD28_PROS_MB_USD10" hidden="1">[13]XLR_NoRangeSheet!$BU$10</definedName>
    <definedName name="SVOD28_PROS_MB_USD11" hidden="1">[13]XLR_NoRangeSheet!$BW$10</definedName>
    <definedName name="SVOD28_PROS_MB_USD12" hidden="1">[13]XLR_NoRangeSheet!$BY$10</definedName>
    <definedName name="SVOD28_PROS_MB_USD13" hidden="1">[13]XLR_NoRangeSheet!$CA$10</definedName>
    <definedName name="SVOD28_PROS_UL_RUB01" hidden="1">[13]XLR_NoRangeSheet!$AB$10</definedName>
    <definedName name="SVOD28_PROS_UL_RUB02" hidden="1">[13]XLR_NoRangeSheet!$AD$10</definedName>
    <definedName name="SVOD28_PROS_UL_RUB03" hidden="1">[13]XLR_NoRangeSheet!$AF$10</definedName>
    <definedName name="SVOD28_PROS_UL_RUB04" hidden="1">[13]XLR_NoRangeSheet!$AH$10</definedName>
    <definedName name="SVOD28_PROS_UL_RUB05" hidden="1">[13]XLR_NoRangeSheet!$AJ$10</definedName>
    <definedName name="SVOD28_PROS_UL_RUB06" hidden="1">[13]XLR_NoRangeSheet!$AL$10</definedName>
    <definedName name="SVOD28_PROS_UL_RUB07" hidden="1">[13]XLR_NoRangeSheet!$AN$10</definedName>
    <definedName name="SVOD28_PROS_UL_RUB08" hidden="1">[13]XLR_NoRangeSheet!$AP$10</definedName>
    <definedName name="SVOD28_PROS_UL_RUB09" hidden="1">[13]XLR_NoRangeSheet!$AR$10</definedName>
    <definedName name="SVOD28_PROS_UL_RUB10" hidden="1">[13]XLR_NoRangeSheet!$AT$10</definedName>
    <definedName name="SVOD28_PROS_UL_RUB11" hidden="1">[13]XLR_NoRangeSheet!$AV$10</definedName>
    <definedName name="SVOD28_PROS_UL_RUB12" hidden="1">[13]XLR_NoRangeSheet!$AX$10</definedName>
    <definedName name="SVOD28_PROS_UL_RUB13" hidden="1">[13]XLR_NoRangeSheet!$AZ$10</definedName>
    <definedName name="SVOD28_PROS_UL_USD01" hidden="1">[13]XLR_NoRangeSheet!$AC$10</definedName>
    <definedName name="SVOD28_PROS_UL_USD02" hidden="1">[13]XLR_NoRangeSheet!$AE$10</definedName>
    <definedName name="SVOD28_PROS_UL_USD03" hidden="1">[13]XLR_NoRangeSheet!$AG$10</definedName>
    <definedName name="SVOD28_PROS_UL_USD04" hidden="1">[13]XLR_NoRangeSheet!$AI$10</definedName>
    <definedName name="SVOD28_PROS_UL_USD05" hidden="1">[13]XLR_NoRangeSheet!$AK$10</definedName>
    <definedName name="SVOD28_PROS_UL_USD06" hidden="1">[13]XLR_NoRangeSheet!$AM$10</definedName>
    <definedName name="SVOD28_PROS_UL_USD07" hidden="1">[13]XLR_NoRangeSheet!$AO$10</definedName>
    <definedName name="SVOD28_PROS_UL_USD08" hidden="1">[13]XLR_NoRangeSheet!$AQ$10</definedName>
    <definedName name="SVOD28_PROS_UL_USD09" hidden="1">[13]XLR_NoRangeSheet!$AS$10</definedName>
    <definedName name="SVOD28_PROS_UL_USD10" hidden="1">[13]XLR_NoRangeSheet!$AU$10</definedName>
    <definedName name="SVOD28_PROS_UL_USD11" hidden="1">[13]XLR_NoRangeSheet!$AW$10</definedName>
    <definedName name="SVOD28_PROS_UL_USD12" hidden="1">[13]XLR_NoRangeSheet!$AY$10</definedName>
    <definedName name="SVOD28_PROS_UL_USD13" hidden="1">[13]XLR_NoRangeSheet!$BA$10</definedName>
    <definedName name="SVOD35_SUM01_2_1" hidden="1">[29]XLR_NoRangeSheet!$D$11</definedName>
    <definedName name="SVOD35_SUM01_2_2" hidden="1">[29]XLR_NoRangeSheet!$E$11</definedName>
    <definedName name="SVOD35_SUM01_2_3" hidden="1">[29]XLR_NoRangeSheet!$F$11</definedName>
    <definedName name="SVOD35_SUM01_3_2" hidden="1">[29]XLR_NoRangeSheet!$I$11</definedName>
    <definedName name="SVOD35_SUM01_3_4" hidden="1">[29]XLR_NoRangeSheet!$K$11</definedName>
    <definedName name="SVOD35_SUM02_1" hidden="1">[13]XLR_NoRangeSheet!$B$11</definedName>
    <definedName name="SVOD35_SUM02_10" hidden="1">[13]XLR_NoRangeSheet!$V$11</definedName>
    <definedName name="SVOD35_SUM02_11" hidden="1">[13]XLR_NoRangeSheet!$W$11</definedName>
    <definedName name="SVOD35_SUM02_12" hidden="1">[13]XLR_NoRangeSheet!$X$11</definedName>
    <definedName name="SVOD35_SUM02_13" hidden="1">[30]XLR_NoRangeSheet!$Y$11</definedName>
    <definedName name="SVOD35_SUM02_2" hidden="1">[13]XLR_NoRangeSheet!$C$11</definedName>
    <definedName name="SVOD35_SUM02_2_1" hidden="1">[13]XLR_NoRangeSheet!$D$11</definedName>
    <definedName name="SVOD35_SUM02_2_2" hidden="1">[13]XLR_NoRangeSheet!$E$11</definedName>
    <definedName name="SVOD35_SUM02_2_3" hidden="1">[13]XLR_NoRangeSheet!$F$11</definedName>
    <definedName name="SVOD35_SUM02_3" hidden="1">[13]XLR_NoRangeSheet!$G$11</definedName>
    <definedName name="SVOD35_SUM02_3_1" hidden="1">[13]XLR_NoRangeSheet!$H$11</definedName>
    <definedName name="SVOD35_SUM02_3_2" hidden="1">[13]XLR_NoRangeSheet!$I$11</definedName>
    <definedName name="SVOD35_SUM02_3_3" hidden="1">[13]XLR_NoRangeSheet!$J$11</definedName>
    <definedName name="SVOD35_SUM02_3_4" hidden="1">[13]XLR_NoRangeSheet!$K$11</definedName>
    <definedName name="SVOD35_SUM02_3_5" hidden="1">[13]XLR_NoRangeSheet!$L$11</definedName>
    <definedName name="SVOD35_SUM02_3_6" hidden="1">[13]XLR_NoRangeSheet!$M$11</definedName>
    <definedName name="SVOD35_SUM02_3_7" hidden="1">[13]XLR_NoRangeSheet!$N$11</definedName>
    <definedName name="SVOD35_SUM02_4" hidden="1">[13]XLR_NoRangeSheet!$O$11</definedName>
    <definedName name="SVOD35_SUM02_5" hidden="1">[13]XLR_NoRangeSheet!$P$11</definedName>
    <definedName name="SVOD35_SUM02_6" hidden="1">[13]XLR_NoRangeSheet!$Q$11</definedName>
    <definedName name="SVOD35_SUM02_6_1" hidden="1">[13]XLR_NoRangeSheet!$R$11</definedName>
    <definedName name="SVOD35_SUM02_7" hidden="1">[13]XLR_NoRangeSheet!$S$11</definedName>
    <definedName name="SVOD35_SUM02_8" hidden="1">[13]XLR_NoRangeSheet!$T$11</definedName>
    <definedName name="SVOD35_SUM02_9" hidden="1">[13]XLR_NoRangeSheet!$U$11</definedName>
    <definedName name="SVOD35_SUM03_1" hidden="1">[13]XLR_NoRangeSheet!$Y$11</definedName>
    <definedName name="SVOD35_SUM03_10" hidden="1">[13]XLR_NoRangeSheet!$AS$11</definedName>
    <definedName name="SVOD35_SUM03_11" hidden="1">[13]XLR_NoRangeSheet!$AT$11</definedName>
    <definedName name="SVOD35_SUM03_12" hidden="1">[13]XLR_NoRangeSheet!$AU$11</definedName>
    <definedName name="SVOD35_SUM03_13" hidden="1">[30]XLR_NoRangeSheet!$AW$11</definedName>
    <definedName name="SVOD35_SUM03_2" hidden="1">[13]XLR_NoRangeSheet!$Z$11</definedName>
    <definedName name="SVOD35_SUM03_2_1" hidden="1">[13]XLR_NoRangeSheet!$AA$11</definedName>
    <definedName name="SVOD35_SUM03_2_2" hidden="1">[13]XLR_NoRangeSheet!$AB$11</definedName>
    <definedName name="SVOD35_SUM03_2_3" hidden="1">[13]XLR_NoRangeSheet!$AC$11</definedName>
    <definedName name="SVOD35_SUM03_3" hidden="1">[13]XLR_NoRangeSheet!$AD$11</definedName>
    <definedName name="SVOD35_SUM03_3_1" hidden="1">[13]XLR_NoRangeSheet!$AE$11</definedName>
    <definedName name="SVOD35_SUM03_3_2" hidden="1">[13]XLR_NoRangeSheet!$AF$11</definedName>
    <definedName name="SVOD35_SUM03_3_3" hidden="1">[13]XLR_NoRangeSheet!$AG$11</definedName>
    <definedName name="SVOD35_SUM03_3_4" hidden="1">[13]XLR_NoRangeSheet!$AH$11</definedName>
    <definedName name="SVOD35_SUM03_3_5" hidden="1">[13]XLR_NoRangeSheet!$AI$11</definedName>
    <definedName name="SVOD35_SUM03_3_6" hidden="1">[13]XLR_NoRangeSheet!$AJ$11</definedName>
    <definedName name="SVOD35_SUM03_3_7" hidden="1">[13]XLR_NoRangeSheet!$AK$11</definedName>
    <definedName name="SVOD35_SUM03_4" hidden="1">[13]XLR_NoRangeSheet!$AL$11</definedName>
    <definedName name="SVOD35_SUM03_5" hidden="1">[13]XLR_NoRangeSheet!$AM$11</definedName>
    <definedName name="SVOD35_SUM03_6" hidden="1">[13]XLR_NoRangeSheet!$AN$11</definedName>
    <definedName name="SVOD35_SUM03_6_1" hidden="1">[13]XLR_NoRangeSheet!$AO$11</definedName>
    <definedName name="SVOD35_SUM03_7" hidden="1">[13]XLR_NoRangeSheet!$AP$11</definedName>
    <definedName name="SVOD35_SUM03_8" hidden="1">[13]XLR_NoRangeSheet!$AQ$11</definedName>
    <definedName name="SVOD35_SUM03_9" hidden="1">[13]XLR_NoRangeSheet!$AR$11</definedName>
    <definedName name="SVOD35_SUM04_1" hidden="1">[13]XLR_NoRangeSheet!$AV$11</definedName>
    <definedName name="SVOD35_SUM04_10" hidden="1">[13]XLR_NoRangeSheet!$BP$11</definedName>
    <definedName name="SVOD35_SUM04_11" hidden="1">[13]XLR_NoRangeSheet!$BQ$11</definedName>
    <definedName name="SVOD35_SUM04_12" hidden="1">[13]XLR_NoRangeSheet!$BR$11</definedName>
    <definedName name="SVOD35_SUM04_13" hidden="1">[30]XLR_NoRangeSheet!$BU$11</definedName>
    <definedName name="SVOD35_SUM04_2" hidden="1">[13]XLR_NoRangeSheet!$AW$11</definedName>
    <definedName name="SVOD35_SUM04_2_1" hidden="1">[13]XLR_NoRangeSheet!$AX$11</definedName>
    <definedName name="SVOD35_SUM04_2_2" hidden="1">[13]XLR_NoRangeSheet!$AY$11</definedName>
    <definedName name="SVOD35_SUM04_2_3" hidden="1">[13]XLR_NoRangeSheet!$AZ$11</definedName>
    <definedName name="SVOD35_SUM04_3" hidden="1">[13]XLR_NoRangeSheet!$BA$11</definedName>
    <definedName name="SVOD35_SUM04_3_1" hidden="1">[13]XLR_NoRangeSheet!$BB$11</definedName>
    <definedName name="SVOD35_SUM04_3_2" hidden="1">[13]XLR_NoRangeSheet!$BC$11</definedName>
    <definedName name="SVOD35_SUM04_3_3" hidden="1">[13]XLR_NoRangeSheet!$BD$11</definedName>
    <definedName name="SVOD35_SUM04_3_4" hidden="1">[13]XLR_NoRangeSheet!$BE$11</definedName>
    <definedName name="SVOD35_SUM04_3_5" hidden="1">[13]XLR_NoRangeSheet!$BF$11</definedName>
    <definedName name="SVOD35_SUM04_3_6" hidden="1">[13]XLR_NoRangeSheet!$BG$11</definedName>
    <definedName name="SVOD35_SUM04_3_7" hidden="1">[13]XLR_NoRangeSheet!$BH$11</definedName>
    <definedName name="SVOD35_SUM04_4" hidden="1">[13]XLR_NoRangeSheet!$BI$11</definedName>
    <definedName name="SVOD35_SUM04_5" hidden="1">[13]XLR_NoRangeSheet!$BJ$11</definedName>
    <definedName name="SVOD35_SUM04_6" hidden="1">[13]XLR_NoRangeSheet!$BK$11</definedName>
    <definedName name="SVOD35_SUM04_6_1" hidden="1">[13]XLR_NoRangeSheet!$BL$11</definedName>
    <definedName name="SVOD35_SUM04_7" hidden="1">[13]XLR_NoRangeSheet!$BM$11</definedName>
    <definedName name="SVOD35_SUM04_8" hidden="1">[13]XLR_NoRangeSheet!$BN$11</definedName>
    <definedName name="SVOD35_SUM04_9" hidden="1">[13]XLR_NoRangeSheet!$BO$11</definedName>
    <definedName name="SVOD35_SUM05_1" hidden="1">[13]XLR_NoRangeSheet!$BS$11</definedName>
    <definedName name="SVOD35_SUM05_10" hidden="1">[13]XLR_NoRangeSheet!$CM$11</definedName>
    <definedName name="SVOD35_SUM05_11" hidden="1">[13]XLR_NoRangeSheet!$CN$11</definedName>
    <definedName name="SVOD35_SUM05_12" hidden="1">[13]XLR_NoRangeSheet!$CO$11</definedName>
    <definedName name="SVOD35_SUM05_13" hidden="1">[30]XLR_NoRangeSheet!$CS$11</definedName>
    <definedName name="SVOD35_SUM05_2" hidden="1">[13]XLR_NoRangeSheet!$BT$11</definedName>
    <definedName name="SVOD35_SUM05_2_1" hidden="1">[13]XLR_NoRangeSheet!$BU$11</definedName>
    <definedName name="SVOD35_SUM05_2_2" hidden="1">[13]XLR_NoRangeSheet!$BV$11</definedName>
    <definedName name="SVOD35_SUM05_2_3" hidden="1">[13]XLR_NoRangeSheet!$BW$11</definedName>
    <definedName name="SVOD35_SUM05_3" hidden="1">[13]XLR_NoRangeSheet!$BX$11</definedName>
    <definedName name="SVOD35_SUM05_3_1" hidden="1">[13]XLR_NoRangeSheet!$BY$11</definedName>
    <definedName name="SVOD35_SUM05_3_2" hidden="1">[13]XLR_NoRangeSheet!$BZ$11</definedName>
    <definedName name="SVOD35_SUM05_3_3" hidden="1">[13]XLR_NoRangeSheet!$CA$11</definedName>
    <definedName name="SVOD35_SUM05_3_4" hidden="1">[13]XLR_NoRangeSheet!$CB$11</definedName>
    <definedName name="SVOD35_SUM05_3_5" hidden="1">[13]XLR_NoRangeSheet!$CC$11</definedName>
    <definedName name="SVOD35_SUM05_3_6" hidden="1">[13]XLR_NoRangeSheet!$CD$11</definedName>
    <definedName name="SVOD35_SUM05_3_7" hidden="1">[13]XLR_NoRangeSheet!$CE$11</definedName>
    <definedName name="SVOD35_SUM05_4" hidden="1">[13]XLR_NoRangeSheet!$CF$11</definedName>
    <definedName name="SVOD35_SUM05_5" hidden="1">[13]XLR_NoRangeSheet!$CG$11</definedName>
    <definedName name="SVOD35_SUM05_6" hidden="1">[13]XLR_NoRangeSheet!$CH$11</definedName>
    <definedName name="SVOD35_SUM05_6_1" hidden="1">[13]XLR_NoRangeSheet!$CI$11</definedName>
    <definedName name="SVOD35_SUM05_7" hidden="1">[13]XLR_NoRangeSheet!$CJ$11</definedName>
    <definedName name="SVOD35_SUM05_8" hidden="1">[13]XLR_NoRangeSheet!$CK$11</definedName>
    <definedName name="SVOD35_SUM05_9" hidden="1">[13]XLR_NoRangeSheet!$CL$11</definedName>
    <definedName name="SVOD36_RUB01_1" hidden="1">[13]XLR_NoRangeSheet!$B$12</definedName>
    <definedName name="SVOD36_RUB01_2" hidden="1">[13]XLR_NoRangeSheet!$C$12</definedName>
    <definedName name="SVOD36_RUB01_3" hidden="1">[13]XLR_NoRangeSheet!$D$12</definedName>
    <definedName name="SVOD36_RUB01_4" hidden="1">[13]XLR_NoRangeSheet!$E$12</definedName>
    <definedName name="SVOD36_RUB01_5" hidden="1">[13]XLR_NoRangeSheet!$F$12</definedName>
    <definedName name="SVOD36_RUB01_6" hidden="1">[13]XLR_NoRangeSheet!$G$12</definedName>
    <definedName name="SVOD36_RUB01_7" hidden="1">[13]XLR_NoRangeSheet!$H$12</definedName>
    <definedName name="SVOD36_RUB02_1" hidden="1">[13]XLR_NoRangeSheet!$I$12</definedName>
    <definedName name="SVOD36_RUB02_2" hidden="1">[13]XLR_NoRangeSheet!$J$12</definedName>
    <definedName name="SVOD36_RUB02_3" hidden="1">[13]XLR_NoRangeSheet!$K$12</definedName>
    <definedName name="SVOD36_RUB02_4" hidden="1">[13]XLR_NoRangeSheet!$L$12</definedName>
    <definedName name="SVOD36_RUB02_5" hidden="1">[13]XLR_NoRangeSheet!$M$12</definedName>
    <definedName name="SVOD36_RUB02_6" hidden="1">[13]XLR_NoRangeSheet!$N$12</definedName>
    <definedName name="SVOD36_RUB02_7" hidden="1">[13]XLR_NoRangeSheet!$O$12</definedName>
    <definedName name="SVOD36_RUB03_1" hidden="1">[13]XLR_NoRangeSheet!$P$12</definedName>
    <definedName name="SVOD36_RUB03_2" hidden="1">[13]XLR_NoRangeSheet!$Q$12</definedName>
    <definedName name="SVOD36_RUB03_3" hidden="1">[13]XLR_NoRangeSheet!$R$12</definedName>
    <definedName name="SVOD36_RUB03_4" hidden="1">[13]XLR_NoRangeSheet!$S$12</definedName>
    <definedName name="SVOD36_RUB03_5" hidden="1">[13]XLR_NoRangeSheet!$T$12</definedName>
    <definedName name="SVOD36_RUB03_6" hidden="1">[13]XLR_NoRangeSheet!$U$12</definedName>
    <definedName name="SVOD36_RUB03_7" hidden="1">[13]XLR_NoRangeSheet!$V$12</definedName>
    <definedName name="SVOD36_RUB04_1" hidden="1">[13]XLR_NoRangeSheet!$W$12</definedName>
    <definedName name="SVOD36_RUB04_2" hidden="1">[13]XLR_NoRangeSheet!$X$12</definedName>
    <definedName name="SVOD36_RUB04_3" hidden="1">[13]XLR_NoRangeSheet!$Y$12</definedName>
    <definedName name="SVOD36_RUB04_4" hidden="1">[13]XLR_NoRangeSheet!$Z$12</definedName>
    <definedName name="SVOD36_RUB04_5" hidden="1">[13]XLR_NoRangeSheet!$AA$12</definedName>
    <definedName name="SVOD36_RUB04_6" hidden="1">[13]XLR_NoRangeSheet!$AB$12</definedName>
    <definedName name="SVOD36_RUB04_7" hidden="1">[13]XLR_NoRangeSheet!$AC$12</definedName>
    <definedName name="SVOD36_RUB05_1" hidden="1">[13]XLR_NoRangeSheet!$AD$12</definedName>
    <definedName name="SVOD36_RUB05_2" hidden="1">[13]XLR_NoRangeSheet!$AE$12</definedName>
    <definedName name="SVOD36_RUB05_3" hidden="1">[13]XLR_NoRangeSheet!$AF$12</definedName>
    <definedName name="SVOD36_RUB05_4" hidden="1">[13]XLR_NoRangeSheet!$AG$12</definedName>
    <definedName name="SVOD36_RUB05_5" hidden="1">[13]XLR_NoRangeSheet!$AH$12</definedName>
    <definedName name="SVOD36_RUB05_6" hidden="1">[13]XLR_NoRangeSheet!$AI$12</definedName>
    <definedName name="SVOD36_RUB05_7" hidden="1">[13]XLR_NoRangeSheet!$AJ$12</definedName>
    <definedName name="SVOD37_RUB01_1" hidden="1">[13]XLR_NoRangeSheet!$B$13</definedName>
    <definedName name="SVOD37_RUB01_2" hidden="1">[13]XLR_NoRangeSheet!$D$13</definedName>
    <definedName name="SVOD37_RUB01_3" hidden="1">[13]XLR_NoRangeSheet!$F$13</definedName>
    <definedName name="SVOD37_RUB01_4" hidden="1">[13]XLR_NoRangeSheet!$H$13</definedName>
    <definedName name="SVOD37_RUB01_5" hidden="1">[13]XLR_NoRangeSheet!$J$13</definedName>
    <definedName name="SVOD37_RUB01_6" hidden="1">[13]XLR_NoRangeSheet!$L$13</definedName>
    <definedName name="SVOD37_RUB01_7" hidden="1">[30]XLR_NoRangeSheet!$N$13</definedName>
    <definedName name="SVOD37_RUB02_1" hidden="1">[13]XLR_NoRangeSheet!$N$13</definedName>
    <definedName name="SVOD37_RUB02_2" hidden="1">[13]XLR_NoRangeSheet!$P$13</definedName>
    <definedName name="SVOD37_RUB02_3" hidden="1">[13]XLR_NoRangeSheet!$R$13</definedName>
    <definedName name="SVOD37_RUB02_4" hidden="1">[13]XLR_NoRangeSheet!$T$13</definedName>
    <definedName name="SVOD37_RUB02_5" hidden="1">[13]XLR_NoRangeSheet!$V$13</definedName>
    <definedName name="SVOD37_RUB02_6" hidden="1">[13]XLR_NoRangeSheet!$X$13</definedName>
    <definedName name="SVOD37_RUB02_7" hidden="1">[30]XLR_NoRangeSheet!$AB$13</definedName>
    <definedName name="SVOD37_RUB03_1" hidden="1">[13]XLR_NoRangeSheet!$Z$13</definedName>
    <definedName name="SVOD37_RUB03_2" hidden="1">[13]XLR_NoRangeSheet!$AB$13</definedName>
    <definedName name="SVOD37_RUB03_3" hidden="1">[13]XLR_NoRangeSheet!$AD$13</definedName>
    <definedName name="SVOD37_RUB03_4" hidden="1">[13]XLR_NoRangeSheet!$AF$13</definedName>
    <definedName name="SVOD37_RUB03_5" hidden="1">[13]XLR_NoRangeSheet!$AH$13</definedName>
    <definedName name="SVOD37_RUB03_6" hidden="1">[13]XLR_NoRangeSheet!$AJ$13</definedName>
    <definedName name="SVOD37_RUB03_7" hidden="1">[30]XLR_NoRangeSheet!$AP$13</definedName>
    <definedName name="SVOD37_RUB04_1" hidden="1">[13]XLR_NoRangeSheet!$AL$13</definedName>
    <definedName name="SVOD37_RUB04_2" hidden="1">[13]XLR_NoRangeSheet!$AN$13</definedName>
    <definedName name="SVOD37_RUB04_3" hidden="1">[13]XLR_NoRangeSheet!$AP$13</definedName>
    <definedName name="SVOD37_RUB04_4" hidden="1">[13]XLR_NoRangeSheet!$AR$13</definedName>
    <definedName name="SVOD37_RUB04_5" hidden="1">[13]XLR_NoRangeSheet!$AT$13</definedName>
    <definedName name="SVOD37_RUB04_6" hidden="1">[13]XLR_NoRangeSheet!$AV$13</definedName>
    <definedName name="SVOD37_RUB04_7" hidden="1">[30]XLR_NoRangeSheet!$BD$13</definedName>
    <definedName name="SVOD37_RUB05_1" hidden="1">[13]XLR_NoRangeSheet!$AX$13</definedName>
    <definedName name="SVOD37_RUB05_2" hidden="1">[13]XLR_NoRangeSheet!$AZ$13</definedName>
    <definedName name="SVOD37_RUB05_3" hidden="1">[13]XLR_NoRangeSheet!$BB$13</definedName>
    <definedName name="SVOD37_RUB05_4" hidden="1">[13]XLR_NoRangeSheet!$BD$13</definedName>
    <definedName name="SVOD37_RUB05_5" hidden="1">[13]XLR_NoRangeSheet!$BF$13</definedName>
    <definedName name="SVOD37_RUB05_6" hidden="1">[13]XLR_NoRangeSheet!$BH$13</definedName>
    <definedName name="SVOD37_RUB05_7" hidden="1">[30]XLR_NoRangeSheet!$BR$13</definedName>
    <definedName name="SVOD37_USD01_1" hidden="1">[13]XLR_NoRangeSheet!$C$13</definedName>
    <definedName name="SVOD37_USD01_2" hidden="1">[13]XLR_NoRangeSheet!$E$13</definedName>
    <definedName name="SVOD37_USD01_3" hidden="1">[13]XLR_NoRangeSheet!$G$13</definedName>
    <definedName name="SVOD37_USD01_4" hidden="1">[13]XLR_NoRangeSheet!$I$13</definedName>
    <definedName name="SVOD37_USD01_5" hidden="1">[13]XLR_NoRangeSheet!$K$13</definedName>
    <definedName name="SVOD37_USD01_6" hidden="1">[13]XLR_NoRangeSheet!$M$13</definedName>
    <definedName name="SVOD37_USD01_7" hidden="1">[30]XLR_NoRangeSheet!$O$13</definedName>
    <definedName name="SVOD37_USD02_1" hidden="1">[13]XLR_NoRangeSheet!$O$13</definedName>
    <definedName name="SVOD37_USD02_2" hidden="1">[13]XLR_NoRangeSheet!$Q$13</definedName>
    <definedName name="SVOD37_USD02_3" hidden="1">[13]XLR_NoRangeSheet!$S$13</definedName>
    <definedName name="SVOD37_USD02_4" hidden="1">[13]XLR_NoRangeSheet!$U$13</definedName>
    <definedName name="SVOD37_USD02_5" hidden="1">[13]XLR_NoRangeSheet!$W$13</definedName>
    <definedName name="SVOD37_USD02_6" hidden="1">[13]XLR_NoRangeSheet!$Y$13</definedName>
    <definedName name="SVOD37_USD02_7" hidden="1">[30]XLR_NoRangeSheet!$AC$13</definedName>
    <definedName name="SVOD37_USD03_1" hidden="1">[13]XLR_NoRangeSheet!$AA$13</definedName>
    <definedName name="SVOD37_USD03_2" hidden="1">[13]XLR_NoRangeSheet!$AC$13</definedName>
    <definedName name="SVOD37_USD03_3" hidden="1">[13]XLR_NoRangeSheet!$AE$13</definedName>
    <definedName name="SVOD37_USD03_4" hidden="1">[13]XLR_NoRangeSheet!$AG$13</definedName>
    <definedName name="SVOD37_USD03_5" hidden="1">[13]XLR_NoRangeSheet!$AI$13</definedName>
    <definedName name="SVOD37_USD03_6" hidden="1">[13]XLR_NoRangeSheet!$AK$13</definedName>
    <definedName name="SVOD37_USD03_7" hidden="1">[30]XLR_NoRangeSheet!$AQ$13</definedName>
    <definedName name="SVOD37_USD04_1" hidden="1">[13]XLR_NoRangeSheet!$AM$13</definedName>
    <definedName name="SVOD37_USD04_2" hidden="1">[13]XLR_NoRangeSheet!$AO$13</definedName>
    <definedName name="SVOD37_USD04_3" hidden="1">[13]XLR_NoRangeSheet!$AQ$13</definedName>
    <definedName name="SVOD37_USD04_4" hidden="1">[13]XLR_NoRangeSheet!$AS$13</definedName>
    <definedName name="SVOD37_USD04_5" hidden="1">[13]XLR_NoRangeSheet!$AU$13</definedName>
    <definedName name="SVOD37_USD04_6" hidden="1">[13]XLR_NoRangeSheet!$AW$13</definedName>
    <definedName name="SVOD37_USD04_7" hidden="1">[30]XLR_NoRangeSheet!$BE$13</definedName>
    <definedName name="SVOD37_USD05_1" hidden="1">[13]XLR_NoRangeSheet!$AY$13</definedName>
    <definedName name="SVOD37_USD05_2" hidden="1">[13]XLR_NoRangeSheet!$BA$13</definedName>
    <definedName name="SVOD37_USD05_3" hidden="1">[13]XLR_NoRangeSheet!$BC$13</definedName>
    <definedName name="SVOD37_USD05_4" hidden="1">[13]XLR_NoRangeSheet!$BE$13</definedName>
    <definedName name="SVOD37_USD05_5" hidden="1">[13]XLR_NoRangeSheet!$BG$13</definedName>
    <definedName name="SVOD37_USD05_6" hidden="1">[13]XLR_NoRangeSheet!$BI$13</definedName>
    <definedName name="SVOD37_USD05_7" hidden="1">[30]XLR_NoRangeSheet!$BS$13</definedName>
    <definedName name="SVODD_POK01_1" hidden="1">[15]XLR_NoRangeSheet!$D$14</definedName>
    <definedName name="SVODD_POK01_10" hidden="1">[15]XLR_NoRangeSheet!$M$14</definedName>
    <definedName name="SVODD_POK01_11" hidden="1">[15]XLR_NoRangeSheet!$N$14</definedName>
    <definedName name="SVODD_POK01_12" hidden="1">[15]XLR_NoRangeSheet!$O$14</definedName>
    <definedName name="SVODD_POK01_13" hidden="1">[15]XLR_NoRangeSheet!$P$14</definedName>
    <definedName name="SVODD_POK01_14" hidden="1">[15]XLR_NoRangeSheet!$Q$14</definedName>
    <definedName name="SVODD_POK01_15" hidden="1">[15]XLR_NoRangeSheet!$R$14</definedName>
    <definedName name="SVODD_POK01_16" hidden="1">[15]XLR_NoRangeSheet!$S$14</definedName>
    <definedName name="SVODD_POK01_17" hidden="1">[15]XLR_NoRangeSheet!$T$14</definedName>
    <definedName name="SVODD_POK01_18" hidden="1">[15]XLR_NoRangeSheet!$U$14</definedName>
    <definedName name="SVODD_POK01_19" hidden="1">[15]XLR_NoRangeSheet!$V$14</definedName>
    <definedName name="SVODD_POK01_2" hidden="1">[15]XLR_NoRangeSheet!$E$14</definedName>
    <definedName name="SVODD_POK01_20" hidden="1">[15]XLR_NoRangeSheet!$W$14</definedName>
    <definedName name="SVODD_POK01_21" hidden="1">[15]XLR_NoRangeSheet!$X$14</definedName>
    <definedName name="SVODD_POK01_22" hidden="1">[15]XLR_NoRangeSheet!$Y$14</definedName>
    <definedName name="SVODD_POK01_23" hidden="1">[15]XLR_NoRangeSheet!$Z$14</definedName>
    <definedName name="SVODD_POK01_3" hidden="1">[15]XLR_NoRangeSheet!$F$14</definedName>
    <definedName name="SVODD_POK01_4" hidden="1">[15]XLR_NoRangeSheet!$G$14</definedName>
    <definedName name="SVODD_POK01_5" hidden="1">[15]XLR_NoRangeSheet!$H$14</definedName>
    <definedName name="SVODD_POK01_6" hidden="1">[15]XLR_NoRangeSheet!$I$14</definedName>
    <definedName name="SVODD_POK01_7" hidden="1">[15]XLR_NoRangeSheet!$J$14</definedName>
    <definedName name="SVODD_POK01_8" hidden="1">[15]XLR_NoRangeSheet!$K$14</definedName>
    <definedName name="SVODD_POK01_9" hidden="1">[15]XLR_NoRangeSheet!$L$14</definedName>
    <definedName name="SVODD_POK02_1" hidden="1">[15]XLR_NoRangeSheet!$AA$14</definedName>
    <definedName name="SVODD_POK02_10" hidden="1">[15]XLR_NoRangeSheet!$AJ$14</definedName>
    <definedName name="SVODD_POK02_11" hidden="1">[15]XLR_NoRangeSheet!$AK$14</definedName>
    <definedName name="SVODD_POK02_12" hidden="1">[15]XLR_NoRangeSheet!$AL$14</definedName>
    <definedName name="SVODD_POK02_13" hidden="1">[15]XLR_NoRangeSheet!$AM$14</definedName>
    <definedName name="SVODD_POK02_14" hidden="1">[15]XLR_NoRangeSheet!$AN$14</definedName>
    <definedName name="SVODD_POK02_15" hidden="1">[15]XLR_NoRangeSheet!$AO$14</definedName>
    <definedName name="SVODD_POK02_16" hidden="1">[15]XLR_NoRangeSheet!$AP$14</definedName>
    <definedName name="SVODD_POK02_17" hidden="1">[15]XLR_NoRangeSheet!$AQ$14</definedName>
    <definedName name="SVODD_POK02_18" hidden="1">[15]XLR_NoRangeSheet!$AR$14</definedName>
    <definedName name="SVODD_POK02_19" hidden="1">[15]XLR_NoRangeSheet!$AS$14</definedName>
    <definedName name="SVODD_POK02_2" hidden="1">[15]XLR_NoRangeSheet!$AB$14</definedName>
    <definedName name="SVODD_POK02_20" hidden="1">[15]XLR_NoRangeSheet!$AT$14</definedName>
    <definedName name="SVODD_POK02_21" hidden="1">[15]XLR_NoRangeSheet!$AU$14</definedName>
    <definedName name="SVODD_POK02_22" hidden="1">[15]XLR_NoRangeSheet!$AV$14</definedName>
    <definedName name="SVODD_POK02_23" hidden="1">[15]XLR_NoRangeSheet!$AW$14</definedName>
    <definedName name="SVODD_POK02_3" hidden="1">[15]XLR_NoRangeSheet!$AC$14</definedName>
    <definedName name="SVODD_POK02_4" hidden="1">[15]XLR_NoRangeSheet!$AD$14</definedName>
    <definedName name="SVODD_POK02_5" hidden="1">[15]XLR_NoRangeSheet!$AE$14</definedName>
    <definedName name="SVODD_POK02_6" hidden="1">[15]XLR_NoRangeSheet!$AF$14</definedName>
    <definedName name="SVODD_POK02_7" hidden="1">[15]XLR_NoRangeSheet!$AG$14</definedName>
    <definedName name="SVODD_POK02_8" hidden="1">[15]XLR_NoRangeSheet!$AH$14</definedName>
    <definedName name="SVODD_POK02_9" hidden="1">[15]XLR_NoRangeSheet!$AI$14</definedName>
    <definedName name="SVODD_POK03_1" hidden="1">[15]XLR_NoRangeSheet!$AX$14</definedName>
    <definedName name="SVODD_POK03_10" hidden="1">[15]XLR_NoRangeSheet!$BG$14</definedName>
    <definedName name="SVODD_POK03_11" hidden="1">[15]XLR_NoRangeSheet!$BH$14</definedName>
    <definedName name="SVODD_POK03_12" hidden="1">[15]XLR_NoRangeSheet!$BI$14</definedName>
    <definedName name="SVODD_POK03_13" hidden="1">[15]XLR_NoRangeSheet!$BJ$14</definedName>
    <definedName name="SVODD_POK03_14" hidden="1">[15]XLR_NoRangeSheet!$BK$14</definedName>
    <definedName name="SVODD_POK03_15" hidden="1">[15]XLR_NoRangeSheet!$BL$14</definedName>
    <definedName name="SVODD_POK03_16" hidden="1">[15]XLR_NoRangeSheet!$BM$14</definedName>
    <definedName name="SVODD_POK03_17" hidden="1">[15]XLR_NoRangeSheet!$BN$14</definedName>
    <definedName name="SVODD_POK03_18" hidden="1">[15]XLR_NoRangeSheet!$BO$14</definedName>
    <definedName name="SVODD_POK03_19" hidden="1">[15]XLR_NoRangeSheet!$BP$14</definedName>
    <definedName name="SVODD_POK03_2" hidden="1">[15]XLR_NoRangeSheet!$AY$14</definedName>
    <definedName name="SVODD_POK03_20" hidden="1">[15]XLR_NoRangeSheet!$BQ$14</definedName>
    <definedName name="SVODD_POK03_21" hidden="1">[15]XLR_NoRangeSheet!$BR$14</definedName>
    <definedName name="SVODD_POK03_22" hidden="1">[15]XLR_NoRangeSheet!$BS$14</definedName>
    <definedName name="SVODD_POK03_23" hidden="1">[15]XLR_NoRangeSheet!$BT$14</definedName>
    <definedName name="SVODD_POK03_3" hidden="1">[15]XLR_NoRangeSheet!$AZ$14</definedName>
    <definedName name="SVODD_POK03_4" hidden="1">[15]XLR_NoRangeSheet!$BA$14</definedName>
    <definedName name="SVODD_POK03_5" hidden="1">[15]XLR_NoRangeSheet!$BB$14</definedName>
    <definedName name="SVODD_POK03_6" hidden="1">[15]XLR_NoRangeSheet!$BC$14</definedName>
    <definedName name="SVODD_POK03_7" hidden="1">[15]XLR_NoRangeSheet!$BD$14</definedName>
    <definedName name="SVODD_POK03_8" hidden="1">[15]XLR_NoRangeSheet!$BE$14</definedName>
    <definedName name="SVODD_POK03_9" hidden="1">[15]XLR_NoRangeSheet!$BF$14</definedName>
    <definedName name="SVODD_POK04_1" hidden="1">[15]XLR_NoRangeSheet!$BU$14</definedName>
    <definedName name="SVODD_POK04_10" hidden="1">[15]XLR_NoRangeSheet!$CD$14</definedName>
    <definedName name="SVODD_POK04_11" hidden="1">[15]XLR_NoRangeSheet!$CE$14</definedName>
    <definedName name="SVODD_POK04_12" hidden="1">[15]XLR_NoRangeSheet!$CF$14</definedName>
    <definedName name="SVODD_POK04_13" hidden="1">[15]XLR_NoRangeSheet!$CG$14</definedName>
    <definedName name="SVODD_POK04_14" hidden="1">[15]XLR_NoRangeSheet!$CH$14</definedName>
    <definedName name="SVODD_POK04_15" hidden="1">[15]XLR_NoRangeSheet!$CI$14</definedName>
    <definedName name="SVODD_POK04_16" hidden="1">[15]XLR_NoRangeSheet!$CJ$14</definedName>
    <definedName name="SVODD_POK04_17" hidden="1">[15]XLR_NoRangeSheet!$CK$14</definedName>
    <definedName name="SVODD_POK04_18" hidden="1">[15]XLR_NoRangeSheet!$CL$14</definedName>
    <definedName name="SVODD_POK04_19" hidden="1">[15]XLR_NoRangeSheet!$CM$14</definedName>
    <definedName name="SVODD_POK04_2" hidden="1">[15]XLR_NoRangeSheet!$BV$14</definedName>
    <definedName name="SVODD_POK04_20" hidden="1">[15]XLR_NoRangeSheet!$CN$14</definedName>
    <definedName name="SVODD_POK04_21" hidden="1">[15]XLR_NoRangeSheet!$CO$14</definedName>
    <definedName name="SVODD_POK04_22" hidden="1">[15]XLR_NoRangeSheet!$CP$14</definedName>
    <definedName name="SVODD_POK04_23" hidden="1">[15]XLR_NoRangeSheet!$CQ$14</definedName>
    <definedName name="SVODD_POK04_3" hidden="1">[15]XLR_NoRangeSheet!$BW$14</definedName>
    <definedName name="SVODD_POK04_4" hidden="1">[15]XLR_NoRangeSheet!$BX$14</definedName>
    <definedName name="SVODD_POK04_5" hidden="1">[15]XLR_NoRangeSheet!$BY$14</definedName>
    <definedName name="SVODD_POK04_6" hidden="1">[15]XLR_NoRangeSheet!$BZ$14</definedName>
    <definedName name="SVODD_POK04_7" hidden="1">[15]XLR_NoRangeSheet!$CA$14</definedName>
    <definedName name="SVODD_POK04_8" hidden="1">[15]XLR_NoRangeSheet!$CB$14</definedName>
    <definedName name="SVODD_POK04_9" hidden="1">[15]XLR_NoRangeSheet!$CC$14</definedName>
    <definedName name="SVODD_POK05_1" hidden="1">[15]XLR_NoRangeSheet!$CR$14</definedName>
    <definedName name="SVODD_POK05_10" hidden="1">[15]XLR_NoRangeSheet!$DA$14</definedName>
    <definedName name="SVODD_POK05_11" hidden="1">[15]XLR_NoRangeSheet!$DB$14</definedName>
    <definedName name="SVODD_POK05_12" hidden="1">[15]XLR_NoRangeSheet!$DC$14</definedName>
    <definedName name="SVODD_POK05_13" hidden="1">[15]XLR_NoRangeSheet!$DD$14</definedName>
    <definedName name="SVODD_POK05_14" hidden="1">[15]XLR_NoRangeSheet!$DE$14</definedName>
    <definedName name="SVODD_POK05_15" hidden="1">[15]XLR_NoRangeSheet!$DF$14</definedName>
    <definedName name="SVODD_POK05_16" hidden="1">[15]XLR_NoRangeSheet!$DG$14</definedName>
    <definedName name="SVODD_POK05_17" hidden="1">[15]XLR_NoRangeSheet!$DH$14</definedName>
    <definedName name="SVODD_POK05_18" hidden="1">[15]XLR_NoRangeSheet!$DI$14</definedName>
    <definedName name="SVODD_POK05_19" hidden="1">[15]XLR_NoRangeSheet!$DJ$14</definedName>
    <definedName name="SVODD_POK05_2" hidden="1">[15]XLR_NoRangeSheet!$CS$14</definedName>
    <definedName name="SVODD_POK05_20" hidden="1">[15]XLR_NoRangeSheet!$DK$14</definedName>
    <definedName name="SVODD_POK05_21" hidden="1">[15]XLR_NoRangeSheet!$DL$14</definedName>
    <definedName name="SVODD_POK05_22" hidden="1">[15]XLR_NoRangeSheet!$DM$14</definedName>
    <definedName name="SVODD_POK05_23" hidden="1">[15]XLR_NoRangeSheet!$DN$14</definedName>
    <definedName name="SVODD_POK05_3" hidden="1">[15]XLR_NoRangeSheet!$CT$14</definedName>
    <definedName name="SVODD_POK05_4" hidden="1">[15]XLR_NoRangeSheet!$CU$14</definedName>
    <definedName name="SVODD_POK05_5" hidden="1">[15]XLR_NoRangeSheet!$CV$14</definedName>
    <definedName name="SVODD_POK05_6" hidden="1">[15]XLR_NoRangeSheet!$CW$14</definedName>
    <definedName name="SVODD_POK05_7" hidden="1">[15]XLR_NoRangeSheet!$CX$14</definedName>
    <definedName name="SVODD_POK05_8" hidden="1">[15]XLR_NoRangeSheet!$CY$14</definedName>
    <definedName name="SVODD_POK05_9" hidden="1">[15]XLR_NoRangeSheet!$CZ$14</definedName>
    <definedName name="SVODD_POK06_1" hidden="1">[15]XLR_NoRangeSheet!$DO$14</definedName>
    <definedName name="SVODD_POK06_10" hidden="1">[15]XLR_NoRangeSheet!$DX$14</definedName>
    <definedName name="SVODD_POK06_11" hidden="1">[15]XLR_NoRangeSheet!$DY$14</definedName>
    <definedName name="SVODD_POK06_12" hidden="1">[15]XLR_NoRangeSheet!$DZ$14</definedName>
    <definedName name="SVODD_POK06_13" hidden="1">[15]XLR_NoRangeSheet!$EA$14</definedName>
    <definedName name="SVODD_POK06_14" hidden="1">[15]XLR_NoRangeSheet!$EB$14</definedName>
    <definedName name="SVODD_POK06_15" hidden="1">[15]XLR_NoRangeSheet!$EC$14</definedName>
    <definedName name="SVODD_POK06_16" hidden="1">[15]XLR_NoRangeSheet!$ED$14</definedName>
    <definedName name="SVODD_POK06_17" hidden="1">[15]XLR_NoRangeSheet!$EE$14</definedName>
    <definedName name="SVODD_POK06_18" hidden="1">[15]XLR_NoRangeSheet!$EF$14</definedName>
    <definedName name="SVODD_POK06_19" hidden="1">[15]XLR_NoRangeSheet!$EG$14</definedName>
    <definedName name="SVODD_POK06_2" hidden="1">[15]XLR_NoRangeSheet!$DP$14</definedName>
    <definedName name="SVODD_POK06_20" hidden="1">[15]XLR_NoRangeSheet!$EH$14</definedName>
    <definedName name="SVODD_POK06_21" hidden="1">[15]XLR_NoRangeSheet!$EI$14</definedName>
    <definedName name="SVODD_POK06_22" hidden="1">[15]XLR_NoRangeSheet!$EJ$14</definedName>
    <definedName name="SVODD_POK06_23" hidden="1">[15]XLR_NoRangeSheet!$EK$14</definedName>
    <definedName name="SVODD_POK06_3" hidden="1">[15]XLR_NoRangeSheet!$DQ$14</definedName>
    <definedName name="SVODD_POK06_4" hidden="1">[15]XLR_NoRangeSheet!$DR$14</definedName>
    <definedName name="SVODD_POK06_5" hidden="1">[15]XLR_NoRangeSheet!$DS$14</definedName>
    <definedName name="SVODD_POK06_6" hidden="1">[15]XLR_NoRangeSheet!$DT$14</definedName>
    <definedName name="SVODD_POK06_7" hidden="1">[15]XLR_NoRangeSheet!$DU$14</definedName>
    <definedName name="SVODD_POK06_8" hidden="1">[15]XLR_NoRangeSheet!$DV$14</definedName>
    <definedName name="SVODD_POK06_9" hidden="1">[15]XLR_NoRangeSheet!$DW$14</definedName>
    <definedName name="SVODD_POK07_1" hidden="1">[15]XLR_NoRangeSheet!$EL$14</definedName>
    <definedName name="SVODD_POK07_10" hidden="1">[15]XLR_NoRangeSheet!$EU$14</definedName>
    <definedName name="SVODD_POK07_11" hidden="1">[15]XLR_NoRangeSheet!$EV$14</definedName>
    <definedName name="SVODD_POK07_12" hidden="1">[15]XLR_NoRangeSheet!$EW$14</definedName>
    <definedName name="SVODD_POK07_13" hidden="1">[15]XLR_NoRangeSheet!$EX$14</definedName>
    <definedName name="SVODD_POK07_14" hidden="1">[15]XLR_NoRangeSheet!$EY$14</definedName>
    <definedName name="SVODD_POK07_15" hidden="1">[15]XLR_NoRangeSheet!$EZ$14</definedName>
    <definedName name="SVODD_POK07_16" hidden="1">[15]XLR_NoRangeSheet!$FA$14</definedName>
    <definedName name="SVODD_POK07_17" hidden="1">[15]XLR_NoRangeSheet!$FB$14</definedName>
    <definedName name="SVODD_POK07_18" hidden="1">[15]XLR_NoRangeSheet!$FC$14</definedName>
    <definedName name="SVODD_POK07_19" hidden="1">[15]XLR_NoRangeSheet!$FD$14</definedName>
    <definedName name="SVODD_POK07_2" hidden="1">[15]XLR_NoRangeSheet!$EM$14</definedName>
    <definedName name="SVODD_POK07_20" hidden="1">[15]XLR_NoRangeSheet!$FE$14</definedName>
    <definedName name="SVODD_POK07_21" hidden="1">[15]XLR_NoRangeSheet!$FF$14</definedName>
    <definedName name="SVODD_POK07_22" hidden="1">[15]XLR_NoRangeSheet!$FG$14</definedName>
    <definedName name="SVODD_POK07_23" hidden="1">[15]XLR_NoRangeSheet!$FH$14</definedName>
    <definedName name="SVODD_POK07_3" hidden="1">[15]XLR_NoRangeSheet!$EN$14</definedName>
    <definedName name="SVODD_POK07_4" hidden="1">[15]XLR_NoRangeSheet!$EO$14</definedName>
    <definedName name="SVODD_POK07_5" hidden="1">[15]XLR_NoRangeSheet!$EP$14</definedName>
    <definedName name="SVODD_POK07_6" hidden="1">[15]XLR_NoRangeSheet!$EQ$14</definedName>
    <definedName name="SVODD_POK07_7" hidden="1">[15]XLR_NoRangeSheet!$ER$14</definedName>
    <definedName name="SVODD_POK07_8" hidden="1">[15]XLR_NoRangeSheet!$ES$14</definedName>
    <definedName name="SVODD_POK07_9" hidden="1">[15]XLR_NoRangeSheet!$ET$14</definedName>
    <definedName name="SVODD_POK08_1" hidden="1">[15]XLR_NoRangeSheet!$FI$14</definedName>
    <definedName name="SVODD_POK08_10" hidden="1">[15]XLR_NoRangeSheet!$FR$14</definedName>
    <definedName name="SVODD_POK08_11" hidden="1">[15]XLR_NoRangeSheet!$FS$14</definedName>
    <definedName name="SVODD_POK08_12" hidden="1">[15]XLR_NoRangeSheet!$FT$14</definedName>
    <definedName name="SVODD_POK08_13" hidden="1">[15]XLR_NoRangeSheet!$FU$14</definedName>
    <definedName name="SVODD_POK08_14" hidden="1">[15]XLR_NoRangeSheet!$FV$14</definedName>
    <definedName name="SVODD_POK08_15" hidden="1">[15]XLR_NoRangeSheet!$FW$14</definedName>
    <definedName name="SVODD_POK08_16" hidden="1">[15]XLR_NoRangeSheet!$FX$14</definedName>
    <definedName name="SVODD_POK08_17" hidden="1">[15]XLR_NoRangeSheet!$FY$14</definedName>
    <definedName name="SVODD_POK08_18" hidden="1">[15]XLR_NoRangeSheet!$FZ$14</definedName>
    <definedName name="SVODD_POK08_19" hidden="1">[15]XLR_NoRangeSheet!$GA$14</definedName>
    <definedName name="SVODD_POK08_2" hidden="1">[15]XLR_NoRangeSheet!$FJ$14</definedName>
    <definedName name="SVODD_POK08_20" hidden="1">[15]XLR_NoRangeSheet!$GB$14</definedName>
    <definedName name="SVODD_POK08_21" hidden="1">[15]XLR_NoRangeSheet!$GC$14</definedName>
    <definedName name="SVODD_POK08_22" hidden="1">[15]XLR_NoRangeSheet!$GD$14</definedName>
    <definedName name="SVODD_POK08_23" hidden="1">[15]XLR_NoRangeSheet!$GE$14</definedName>
    <definedName name="SVODD_POK08_3" hidden="1">[15]XLR_NoRangeSheet!$FK$14</definedName>
    <definedName name="SVODD_POK08_4" hidden="1">[15]XLR_NoRangeSheet!$FL$14</definedName>
    <definedName name="SVODD_POK08_5" hidden="1">[15]XLR_NoRangeSheet!$FM$14</definedName>
    <definedName name="SVODD_POK08_6" hidden="1">[15]XLR_NoRangeSheet!$FN$14</definedName>
    <definedName name="SVODD_POK08_7" hidden="1">[15]XLR_NoRangeSheet!$FO$14</definedName>
    <definedName name="SVODD_POK08_8" hidden="1">[15]XLR_NoRangeSheet!$FP$14</definedName>
    <definedName name="SVODD_POK08_9" hidden="1">[15]XLR_NoRangeSheet!$FQ$14</definedName>
    <definedName name="SVODD_POK09_1" hidden="1">[15]XLR_NoRangeSheet!$GF$14</definedName>
    <definedName name="SVODD_POK09_10" hidden="1">[15]XLR_NoRangeSheet!$GO$14</definedName>
    <definedName name="SVODD_POK09_11" hidden="1">[15]XLR_NoRangeSheet!$GP$14</definedName>
    <definedName name="SVODD_POK09_12" hidden="1">[15]XLR_NoRangeSheet!$GQ$14</definedName>
    <definedName name="SVODD_POK09_13" hidden="1">[15]XLR_NoRangeSheet!$GR$14</definedName>
    <definedName name="SVODD_POK09_14" hidden="1">[15]XLR_NoRangeSheet!$GS$14</definedName>
    <definedName name="SVODD_POK09_15" hidden="1">[15]XLR_NoRangeSheet!$GT$14</definedName>
    <definedName name="SVODD_POK09_16" hidden="1">[15]XLR_NoRangeSheet!$GU$14</definedName>
    <definedName name="SVODD_POK09_17" hidden="1">[15]XLR_NoRangeSheet!$GV$14</definedName>
    <definedName name="SVODD_POK09_18" hidden="1">[15]XLR_NoRangeSheet!$GW$14</definedName>
    <definedName name="SVODD_POK09_19" hidden="1">[15]XLR_NoRangeSheet!$GX$14</definedName>
    <definedName name="SVODD_POK09_2" hidden="1">[15]XLR_NoRangeSheet!$GG$14</definedName>
    <definedName name="SVODD_POK09_20" hidden="1">[15]XLR_NoRangeSheet!$GY$14</definedName>
    <definedName name="SVODD_POK09_21" hidden="1">[15]XLR_NoRangeSheet!$GZ$14</definedName>
    <definedName name="SVODD_POK09_22" hidden="1">[15]XLR_NoRangeSheet!$HA$14</definedName>
    <definedName name="SVODD_POK09_23" hidden="1">[15]XLR_NoRangeSheet!$HB$14</definedName>
    <definedName name="SVODD_POK09_3" hidden="1">[15]XLR_NoRangeSheet!$GH$14</definedName>
    <definedName name="SVODD_POK09_4" hidden="1">[15]XLR_NoRangeSheet!$GI$14</definedName>
    <definedName name="SVODD_POK09_5" hidden="1">[15]XLR_NoRangeSheet!$GJ$14</definedName>
    <definedName name="SVODD_POK09_6" hidden="1">[15]XLR_NoRangeSheet!$GK$14</definedName>
    <definedName name="SVODD_POK09_7" hidden="1">[15]XLR_NoRangeSheet!$GL$14</definedName>
    <definedName name="SVODD_POK09_8" hidden="1">[15]XLR_NoRangeSheet!$GM$14</definedName>
    <definedName name="SVODD_POK09_9" hidden="1">[15]XLR_NoRangeSheet!$GN$14</definedName>
    <definedName name="SVODD_POK10_1" hidden="1">[15]XLR_NoRangeSheet!$HC$14</definedName>
    <definedName name="SVODD_POK10_10" hidden="1">[15]XLR_NoRangeSheet!$HL$14</definedName>
    <definedName name="SVODD_POK10_11" hidden="1">[15]XLR_NoRangeSheet!$HM$14</definedName>
    <definedName name="SVODD_POK10_12" hidden="1">[15]XLR_NoRangeSheet!$HN$14</definedName>
    <definedName name="SVODD_POK10_13" hidden="1">[15]XLR_NoRangeSheet!$HO$14</definedName>
    <definedName name="SVODD_POK10_14" hidden="1">[15]XLR_NoRangeSheet!$HP$14</definedName>
    <definedName name="SVODD_POK10_15" hidden="1">[15]XLR_NoRangeSheet!$HQ$14</definedName>
    <definedName name="SVODD_POK10_16" hidden="1">[15]XLR_NoRangeSheet!$HR$14</definedName>
    <definedName name="SVODD_POK10_17" hidden="1">[15]XLR_NoRangeSheet!$HS$14</definedName>
    <definedName name="SVODD_POK10_18" hidden="1">[15]XLR_NoRangeSheet!$HT$14</definedName>
    <definedName name="SVODD_POK10_19" hidden="1">[15]XLR_NoRangeSheet!$HU$14</definedName>
    <definedName name="SVODD_POK10_2" hidden="1">[15]XLR_NoRangeSheet!$HD$14</definedName>
    <definedName name="SVODD_POK10_20" hidden="1">[15]XLR_NoRangeSheet!$HV$14</definedName>
    <definedName name="SVODD_POK10_21" hidden="1">[15]XLR_NoRangeSheet!$HW$14</definedName>
    <definedName name="SVODD_POK10_22" hidden="1">[15]XLR_NoRangeSheet!$HX$14</definedName>
    <definedName name="SVODD_POK10_23" hidden="1">[15]XLR_NoRangeSheet!$HY$14</definedName>
    <definedName name="SVODD_POK10_3" hidden="1">[15]XLR_NoRangeSheet!$HE$14</definedName>
    <definedName name="SVODD_POK10_4" hidden="1">[15]XLR_NoRangeSheet!$HF$14</definedName>
    <definedName name="SVODD_POK10_5" hidden="1">[15]XLR_NoRangeSheet!$HG$14</definedName>
    <definedName name="SVODD_POK10_6" hidden="1">[15]XLR_NoRangeSheet!$HH$14</definedName>
    <definedName name="SVODD_POK10_7" hidden="1">[15]XLR_NoRangeSheet!$HI$14</definedName>
    <definedName name="SVODD_POK10_8" hidden="1">[15]XLR_NoRangeSheet!$HJ$14</definedName>
    <definedName name="SVODD_POK10_9" hidden="1">[15]XLR_NoRangeSheet!$HK$14</definedName>
    <definedName name="SVODD_POK11_1" hidden="1">[15]XLR_NoRangeSheet!$HZ$14</definedName>
    <definedName name="SVODD_POK11_10" hidden="1">[15]XLR_NoRangeSheet!$II$14</definedName>
    <definedName name="SVODD_POK11_11" hidden="1">[15]XLR_NoRangeSheet!$IJ$14</definedName>
    <definedName name="SVODD_POK11_12" hidden="1">[15]XLR_NoRangeSheet!$IK$14</definedName>
    <definedName name="SVODD_POK11_13" hidden="1">[15]XLR_NoRangeSheet!$IL$14</definedName>
    <definedName name="SVODD_POK11_14" hidden="1">[15]XLR_NoRangeSheet!$IM$14</definedName>
    <definedName name="SVODD_POK11_15" hidden="1">[15]XLR_NoRangeSheet!$IN$14</definedName>
    <definedName name="SVODD_POK11_16" hidden="1">[15]XLR_NoRangeSheet!$IO$14</definedName>
    <definedName name="SVODD_POK11_17" hidden="1">[15]XLR_NoRangeSheet!$IP$14</definedName>
    <definedName name="SVODD_POK11_18" hidden="1">[15]XLR_NoRangeSheet!$B$15</definedName>
    <definedName name="SVODD_POK11_19" hidden="1">[15]XLR_NoRangeSheet!$C$15</definedName>
    <definedName name="SVODD_POK11_2" hidden="1">[15]XLR_NoRangeSheet!$IA$14</definedName>
    <definedName name="SVODD_POK11_20" hidden="1">[15]XLR_NoRangeSheet!$D$15</definedName>
    <definedName name="SVODD_POK11_21" hidden="1">[15]XLR_NoRangeSheet!$E$15</definedName>
    <definedName name="SVODD_POK11_22" hidden="1">[15]XLR_NoRangeSheet!$F$15</definedName>
    <definedName name="SVODD_POK11_23" hidden="1">[15]XLR_NoRangeSheet!$G$15</definedName>
    <definedName name="SVODD_POK11_3" hidden="1">[15]XLR_NoRangeSheet!$IB$14</definedName>
    <definedName name="SVODD_POK11_4" hidden="1">[15]XLR_NoRangeSheet!$IC$14</definedName>
    <definedName name="SVODD_POK11_5" hidden="1">[15]XLR_NoRangeSheet!$ID$14</definedName>
    <definedName name="SVODD_POK11_6" hidden="1">[15]XLR_NoRangeSheet!$IE$14</definedName>
    <definedName name="SVODD_POK11_7" hidden="1">[15]XLR_NoRangeSheet!$IF$14</definedName>
    <definedName name="SVODD_POK11_8" hidden="1">[15]XLR_NoRangeSheet!$IG$14</definedName>
    <definedName name="SVODD_POK11_9" hidden="1">[15]XLR_NoRangeSheet!$IH$14</definedName>
    <definedName name="SVODD_POK12_1" hidden="1">[15]XLR_NoRangeSheet!$H$15</definedName>
    <definedName name="SVODD_POK12_10" hidden="1">[15]XLR_NoRangeSheet!$Q$15</definedName>
    <definedName name="SVODD_POK12_11" hidden="1">[15]XLR_NoRangeSheet!$R$15</definedName>
    <definedName name="SVODD_POK12_12" hidden="1">[15]XLR_NoRangeSheet!$S$15</definedName>
    <definedName name="SVODD_POK12_13" hidden="1">[15]XLR_NoRangeSheet!$T$15</definedName>
    <definedName name="SVODD_POK12_14" hidden="1">[15]XLR_NoRangeSheet!$U$15</definedName>
    <definedName name="SVODD_POK12_15" hidden="1">[15]XLR_NoRangeSheet!$V$15</definedName>
    <definedName name="SVODD_POK12_16" hidden="1">[15]XLR_NoRangeSheet!$W$15</definedName>
    <definedName name="SVODD_POK12_17" hidden="1">[15]XLR_NoRangeSheet!$X$15</definedName>
    <definedName name="SVODD_POK12_18" hidden="1">[15]XLR_NoRangeSheet!$Y$15</definedName>
    <definedName name="SVODD_POK12_19" hidden="1">[15]XLR_NoRangeSheet!$Z$15</definedName>
    <definedName name="SVODD_POK12_2" hidden="1">[15]XLR_NoRangeSheet!$I$15</definedName>
    <definedName name="SVODD_POK12_20" hidden="1">[15]XLR_NoRangeSheet!$AA$15</definedName>
    <definedName name="SVODD_POK12_21" hidden="1">[15]XLR_NoRangeSheet!$AB$15</definedName>
    <definedName name="SVODD_POK12_22" hidden="1">[15]XLR_NoRangeSheet!$AC$15</definedName>
    <definedName name="SVODD_POK12_23" hidden="1">[15]XLR_NoRangeSheet!$AD$15</definedName>
    <definedName name="SVODD_POK12_3" hidden="1">[15]XLR_NoRangeSheet!$J$15</definedName>
    <definedName name="SVODD_POK12_4" hidden="1">[15]XLR_NoRangeSheet!$K$15</definedName>
    <definedName name="SVODD_POK12_5" hidden="1">[15]XLR_NoRangeSheet!$L$15</definedName>
    <definedName name="SVODD_POK12_6" hidden="1">[15]XLR_NoRangeSheet!$M$15</definedName>
    <definedName name="SVODD_POK12_7" hidden="1">[15]XLR_NoRangeSheet!$N$15</definedName>
    <definedName name="SVODD_POK12_8" hidden="1">[15]XLR_NoRangeSheet!$O$15</definedName>
    <definedName name="SVODD_POK12_9" hidden="1">[15]XLR_NoRangeSheet!$P$15</definedName>
    <definedName name="SVODD_POK13_1" hidden="1">[15]XLR_NoRangeSheet!$AE$15</definedName>
    <definedName name="SVODD_POK13_10" hidden="1">[15]XLR_NoRangeSheet!$AN$15</definedName>
    <definedName name="SVODD_POK13_11" hidden="1">[15]XLR_NoRangeSheet!$AO$15</definedName>
    <definedName name="SVODD_POK13_12" hidden="1">[15]XLR_NoRangeSheet!$AP$15</definedName>
    <definedName name="SVODD_POK13_13" hidden="1">[15]XLR_NoRangeSheet!$AQ$15</definedName>
    <definedName name="SVODD_POK13_14" hidden="1">[15]XLR_NoRangeSheet!$AR$15</definedName>
    <definedName name="SVODD_POK13_15" hidden="1">[15]XLR_NoRangeSheet!$AS$15</definedName>
    <definedName name="SVODD_POK13_16" hidden="1">[15]XLR_NoRangeSheet!$AT$15</definedName>
    <definedName name="SVODD_POK13_17" hidden="1">[15]XLR_NoRangeSheet!$AU$15</definedName>
    <definedName name="SVODD_POK13_18" hidden="1">[15]XLR_NoRangeSheet!$AV$15</definedName>
    <definedName name="SVODD_POK13_19" hidden="1">[15]XLR_NoRangeSheet!$AW$15</definedName>
    <definedName name="SVODD_POK13_2" hidden="1">[15]XLR_NoRangeSheet!$AF$15</definedName>
    <definedName name="SVODD_POK13_20" hidden="1">[15]XLR_NoRangeSheet!$AX$15</definedName>
    <definedName name="SVODD_POK13_21" hidden="1">[15]XLR_NoRangeSheet!$AY$15</definedName>
    <definedName name="SVODD_POK13_22" hidden="1">[15]XLR_NoRangeSheet!$AZ$15</definedName>
    <definedName name="SVODD_POK13_23" hidden="1">[15]XLR_NoRangeSheet!$BA$15</definedName>
    <definedName name="SVODD_POK13_3" hidden="1">[15]XLR_NoRangeSheet!$AG$15</definedName>
    <definedName name="SVODD_POK13_4" hidden="1">[15]XLR_NoRangeSheet!$AH$15</definedName>
    <definedName name="SVODD_POK13_5" hidden="1">[15]XLR_NoRangeSheet!$AI$15</definedName>
    <definedName name="SVODD_POK13_6" hidden="1">[15]XLR_NoRangeSheet!$AJ$15</definedName>
    <definedName name="SVODD_POK13_7" hidden="1">[15]XLR_NoRangeSheet!$AK$15</definedName>
    <definedName name="SVODD_POK13_8" hidden="1">[15]XLR_NoRangeSheet!$AL$15</definedName>
    <definedName name="SVODD_POK13_9" hidden="1">[15]XLR_NoRangeSheet!$AM$15</definedName>
    <definedName name="SVODE_POK01_1" hidden="1">[15]XLR_NoRangeSheet!$D$16</definedName>
    <definedName name="SVODE_POK01_10" hidden="1">[15]XLR_NoRangeSheet!$M$16</definedName>
    <definedName name="SVODE_POK01_11" hidden="1">[15]XLR_NoRangeSheet!$N$16</definedName>
    <definedName name="SVODE_POK01_12" hidden="1">[15]XLR_NoRangeSheet!$O$16</definedName>
    <definedName name="SVODE_POK01_13" hidden="1">[15]XLR_NoRangeSheet!$P$16</definedName>
    <definedName name="SVODE_POK01_14" hidden="1">[15]XLR_NoRangeSheet!$Q$16</definedName>
    <definedName name="SVODE_POK01_15" hidden="1">[15]XLR_NoRangeSheet!$R$16</definedName>
    <definedName name="SVODE_POK01_16" hidden="1">[15]XLR_NoRangeSheet!$S$16</definedName>
    <definedName name="SVODE_POK01_17" hidden="1">[15]XLR_NoRangeSheet!$T$16</definedName>
    <definedName name="SVODE_POK01_18" hidden="1">[15]XLR_NoRangeSheet!$U$16</definedName>
    <definedName name="SVODE_POK01_19" hidden="1">[15]XLR_NoRangeSheet!$V$16</definedName>
    <definedName name="SVODE_POK01_2" hidden="1">[15]XLR_NoRangeSheet!$E$16</definedName>
    <definedName name="SVODE_POK01_3" hidden="1">[15]XLR_NoRangeSheet!$F$16</definedName>
    <definedName name="SVODE_POK01_4" hidden="1">[15]XLR_NoRangeSheet!$G$16</definedName>
    <definedName name="SVODE_POK01_5" hidden="1">[15]XLR_NoRangeSheet!$H$16</definedName>
    <definedName name="SVODE_POK01_6" hidden="1">[15]XLR_NoRangeSheet!$I$16</definedName>
    <definedName name="SVODE_POK01_7" hidden="1">[15]XLR_NoRangeSheet!$J$16</definedName>
    <definedName name="SVODE_POK01_8" hidden="1">[15]XLR_NoRangeSheet!$K$16</definedName>
    <definedName name="SVODE_POK01_9" hidden="1">[15]XLR_NoRangeSheet!$L$16</definedName>
    <definedName name="SVODE_POK02_1" hidden="1">[15]XLR_NoRangeSheet!$W$16</definedName>
    <definedName name="SVODE_POK02_10" hidden="1">[15]XLR_NoRangeSheet!$AF$16</definedName>
    <definedName name="SVODE_POK02_11" hidden="1">[15]XLR_NoRangeSheet!$AG$16</definedName>
    <definedName name="SVODE_POK02_12" hidden="1">[15]XLR_NoRangeSheet!$AH$16</definedName>
    <definedName name="SVODE_POK02_13" hidden="1">[15]XLR_NoRangeSheet!$AI$16</definedName>
    <definedName name="SVODE_POK02_14" hidden="1">[15]XLR_NoRangeSheet!$AJ$16</definedName>
    <definedName name="SVODE_POK02_15" hidden="1">[15]XLR_NoRangeSheet!$AK$16</definedName>
    <definedName name="SVODE_POK02_16" hidden="1">[15]XLR_NoRangeSheet!$AL$16</definedName>
    <definedName name="SVODE_POK02_17" hidden="1">[15]XLR_NoRangeSheet!$AM$16</definedName>
    <definedName name="SVODE_POK02_18" hidden="1">[15]XLR_NoRangeSheet!$AN$16</definedName>
    <definedName name="SVODE_POK02_19" hidden="1">[15]XLR_NoRangeSheet!$AO$16</definedName>
    <definedName name="SVODE_POK02_2" hidden="1">[15]XLR_NoRangeSheet!$X$16</definedName>
    <definedName name="SVODE_POK02_3" hidden="1">[15]XLR_NoRangeSheet!$Y$16</definedName>
    <definedName name="SVODE_POK02_4" hidden="1">[15]XLR_NoRangeSheet!$Z$16</definedName>
    <definedName name="SVODE_POK02_5" hidden="1">[15]XLR_NoRangeSheet!$AA$16</definedName>
    <definedName name="SVODE_POK02_6" hidden="1">[15]XLR_NoRangeSheet!$AB$16</definedName>
    <definedName name="SVODE_POK02_7" hidden="1">[15]XLR_NoRangeSheet!$AC$16</definedName>
    <definedName name="SVODE_POK02_8" hidden="1">[15]XLR_NoRangeSheet!$AD$16</definedName>
    <definedName name="SVODE_POK02_9" hidden="1">[15]XLR_NoRangeSheet!$AE$16</definedName>
    <definedName name="SVODE_POK03_1" hidden="1">[15]XLR_NoRangeSheet!$AP$16</definedName>
    <definedName name="SVODE_POK03_10" hidden="1">[15]XLR_NoRangeSheet!$AY$16</definedName>
    <definedName name="SVODE_POK03_11" hidden="1">[15]XLR_NoRangeSheet!$AZ$16</definedName>
    <definedName name="SVODE_POK03_12" hidden="1">[15]XLR_NoRangeSheet!$BA$16</definedName>
    <definedName name="SVODE_POK03_13" hidden="1">[15]XLR_NoRangeSheet!$BB$16</definedName>
    <definedName name="SVODE_POK03_14" hidden="1">[15]XLR_NoRangeSheet!$BC$16</definedName>
    <definedName name="SVODE_POK03_15" hidden="1">[15]XLR_NoRangeSheet!$BD$16</definedName>
    <definedName name="SVODE_POK03_16" hidden="1">[15]XLR_NoRangeSheet!$BE$16</definedName>
    <definedName name="SVODE_POK03_17" hidden="1">[15]XLR_NoRangeSheet!$BF$16</definedName>
    <definedName name="SVODE_POK03_18" hidden="1">[15]XLR_NoRangeSheet!$BG$16</definedName>
    <definedName name="SVODE_POK03_19" hidden="1">[15]XLR_NoRangeSheet!$BH$16</definedName>
    <definedName name="SVODE_POK03_2" hidden="1">[15]XLR_NoRangeSheet!$AQ$16</definedName>
    <definedName name="SVODE_POK03_3" hidden="1">[15]XLR_NoRangeSheet!$AR$16</definedName>
    <definedName name="SVODE_POK03_4" hidden="1">[15]XLR_NoRangeSheet!$AS$16</definedName>
    <definedName name="SVODE_POK03_5" hidden="1">[15]XLR_NoRangeSheet!$AT$16</definedName>
    <definedName name="SVODE_POK03_6" hidden="1">[15]XLR_NoRangeSheet!$AU$16</definedName>
    <definedName name="SVODE_POK03_7" hidden="1">[15]XLR_NoRangeSheet!$AV$16</definedName>
    <definedName name="SVODE_POK03_8" hidden="1">[15]XLR_NoRangeSheet!$AW$16</definedName>
    <definedName name="SVODE_POK03_9" hidden="1">[15]XLR_NoRangeSheet!$AX$16</definedName>
    <definedName name="SVODE_POK04_1" hidden="1">[15]XLR_NoRangeSheet!$BI$16</definedName>
    <definedName name="SVODE_POK04_10" hidden="1">[15]XLR_NoRangeSheet!$BR$16</definedName>
    <definedName name="SVODE_POK04_11" hidden="1">[15]XLR_NoRangeSheet!$BS$16</definedName>
    <definedName name="SVODE_POK04_12" hidden="1">[15]XLR_NoRangeSheet!$BT$16</definedName>
    <definedName name="SVODE_POK04_13" hidden="1">[15]XLR_NoRangeSheet!$BU$16</definedName>
    <definedName name="SVODE_POK04_14" hidden="1">[15]XLR_NoRangeSheet!$BV$16</definedName>
    <definedName name="SVODE_POK04_15" hidden="1">[15]XLR_NoRangeSheet!$BW$16</definedName>
    <definedName name="SVODE_POK04_16" hidden="1">[15]XLR_NoRangeSheet!$BX$16</definedName>
    <definedName name="SVODE_POK04_17" hidden="1">[15]XLR_NoRangeSheet!$BY$16</definedName>
    <definedName name="SVODE_POK04_18" hidden="1">[15]XLR_NoRangeSheet!$BZ$16</definedName>
    <definedName name="SVODE_POK04_19" hidden="1">[15]XLR_NoRangeSheet!$CA$16</definedName>
    <definedName name="SVODE_POK04_2" hidden="1">[15]XLR_NoRangeSheet!$BJ$16</definedName>
    <definedName name="SVODE_POK04_3" hidden="1">[15]XLR_NoRangeSheet!$BK$16</definedName>
    <definedName name="SVODE_POK04_4" hidden="1">[15]XLR_NoRangeSheet!$BL$16</definedName>
    <definedName name="SVODE_POK04_5" hidden="1">[15]XLR_NoRangeSheet!$BM$16</definedName>
    <definedName name="SVODE_POK04_6" hidden="1">[15]XLR_NoRangeSheet!$BN$16</definedName>
    <definedName name="SVODE_POK04_7" hidden="1">[15]XLR_NoRangeSheet!$BO$16</definedName>
    <definedName name="SVODE_POK04_8" hidden="1">[15]XLR_NoRangeSheet!$BP$16</definedName>
    <definedName name="SVODE_POK04_9" hidden="1">[15]XLR_NoRangeSheet!$BQ$16</definedName>
    <definedName name="SVODE_POK05_1" hidden="1">[15]XLR_NoRangeSheet!$CB$16</definedName>
    <definedName name="SVODE_POK05_10" hidden="1">[15]XLR_NoRangeSheet!$CK$16</definedName>
    <definedName name="SVODE_POK05_11" hidden="1">[15]XLR_NoRangeSheet!$CL$16</definedName>
    <definedName name="SVODE_POK05_12" hidden="1">[15]XLR_NoRangeSheet!$CM$16</definedName>
    <definedName name="SVODE_POK05_13" hidden="1">[15]XLR_NoRangeSheet!$CN$16</definedName>
    <definedName name="SVODE_POK05_14" hidden="1">[15]XLR_NoRangeSheet!$CO$16</definedName>
    <definedName name="SVODE_POK05_15" hidden="1">[15]XLR_NoRangeSheet!$CP$16</definedName>
    <definedName name="SVODE_POK05_16" hidden="1">[15]XLR_NoRangeSheet!$CQ$16</definedName>
    <definedName name="SVODE_POK05_17" hidden="1">[15]XLR_NoRangeSheet!$CR$16</definedName>
    <definedName name="SVODE_POK05_18" hidden="1">[15]XLR_NoRangeSheet!$CS$16</definedName>
    <definedName name="SVODE_POK05_19" hidden="1">[15]XLR_NoRangeSheet!$CT$16</definedName>
    <definedName name="SVODE_POK05_2" hidden="1">[15]XLR_NoRangeSheet!$CC$16</definedName>
    <definedName name="SVODE_POK05_3" hidden="1">[15]XLR_NoRangeSheet!$CD$16</definedName>
    <definedName name="SVODE_POK05_4" hidden="1">[15]XLR_NoRangeSheet!$CE$16</definedName>
    <definedName name="SVODE_POK05_5" hidden="1">[15]XLR_NoRangeSheet!$CF$16</definedName>
    <definedName name="SVODE_POK05_6" hidden="1">[15]XLR_NoRangeSheet!$CG$16</definedName>
    <definedName name="SVODE_POK05_7" hidden="1">[15]XLR_NoRangeSheet!$CH$16</definedName>
    <definedName name="SVODE_POK05_8" hidden="1">[15]XLR_NoRangeSheet!$CI$16</definedName>
    <definedName name="SVODE_POK05_9" hidden="1">[15]XLR_NoRangeSheet!$CJ$16</definedName>
    <definedName name="SVODE_POK06_1" hidden="1">[15]XLR_NoRangeSheet!$CU$16</definedName>
    <definedName name="SVODE_POK06_10" hidden="1">[15]XLR_NoRangeSheet!$DD$16</definedName>
    <definedName name="SVODE_POK06_11" hidden="1">[15]XLR_NoRangeSheet!$DE$16</definedName>
    <definedName name="SVODE_POK06_12" hidden="1">[15]XLR_NoRangeSheet!$DF$16</definedName>
    <definedName name="SVODE_POK06_13" hidden="1">[15]XLR_NoRangeSheet!$DG$16</definedName>
    <definedName name="SVODE_POK06_14" hidden="1">[15]XLR_NoRangeSheet!$DH$16</definedName>
    <definedName name="SVODE_POK06_15" hidden="1">[15]XLR_NoRangeSheet!$DI$16</definedName>
    <definedName name="SVODE_POK06_16" hidden="1">[15]XLR_NoRangeSheet!$DJ$16</definedName>
    <definedName name="SVODE_POK06_17" hidden="1">[15]XLR_NoRangeSheet!$DK$16</definedName>
    <definedName name="SVODE_POK06_18" hidden="1">[15]XLR_NoRangeSheet!$DL$16</definedName>
    <definedName name="SVODE_POK06_19" hidden="1">[15]XLR_NoRangeSheet!$DM$16</definedName>
    <definedName name="SVODE_POK06_2" hidden="1">[15]XLR_NoRangeSheet!$CV$16</definedName>
    <definedName name="SVODE_POK06_3" hidden="1">[15]XLR_NoRangeSheet!$CW$16</definedName>
    <definedName name="SVODE_POK06_4" hidden="1">[15]XLR_NoRangeSheet!$CX$16</definedName>
    <definedName name="SVODE_POK06_5" hidden="1">[15]XLR_NoRangeSheet!$CY$16</definedName>
    <definedName name="SVODE_POK06_6" hidden="1">[15]XLR_NoRangeSheet!$CZ$16</definedName>
    <definedName name="SVODE_POK06_7" hidden="1">[15]XLR_NoRangeSheet!$DA$16</definedName>
    <definedName name="SVODE_POK06_8" hidden="1">[15]XLR_NoRangeSheet!$DB$16</definedName>
    <definedName name="SVODE_POK06_9" hidden="1">[15]XLR_NoRangeSheet!$DC$16</definedName>
    <definedName name="SVODE_POK07_1" hidden="1">[15]XLR_NoRangeSheet!$DN$16</definedName>
    <definedName name="SVODE_POK07_10" hidden="1">[15]XLR_NoRangeSheet!$DW$16</definedName>
    <definedName name="SVODE_POK07_11" hidden="1">[15]XLR_NoRangeSheet!$DX$16</definedName>
    <definedName name="SVODE_POK07_12" hidden="1">[15]XLR_NoRangeSheet!$DY$16</definedName>
    <definedName name="SVODE_POK07_13" hidden="1">[15]XLR_NoRangeSheet!$DZ$16</definedName>
    <definedName name="SVODE_POK07_14" hidden="1">[15]XLR_NoRangeSheet!$EA$16</definedName>
    <definedName name="SVODE_POK07_15" hidden="1">[15]XLR_NoRangeSheet!$EB$16</definedName>
    <definedName name="SVODE_POK07_16" hidden="1">[15]XLR_NoRangeSheet!$EC$16</definedName>
    <definedName name="SVODE_POK07_17" hidden="1">[15]XLR_NoRangeSheet!$ED$16</definedName>
    <definedName name="SVODE_POK07_18" hidden="1">[15]XLR_NoRangeSheet!$EE$16</definedName>
    <definedName name="SVODE_POK07_19" hidden="1">[15]XLR_NoRangeSheet!$EF$16</definedName>
    <definedName name="SVODE_POK07_2" hidden="1">[15]XLR_NoRangeSheet!$DO$16</definedName>
    <definedName name="SVODE_POK07_3" hidden="1">[15]XLR_NoRangeSheet!$DP$16</definedName>
    <definedName name="SVODE_POK07_4" hidden="1">[15]XLR_NoRangeSheet!$DQ$16</definedName>
    <definedName name="SVODE_POK07_5" hidden="1">[15]XLR_NoRangeSheet!$DR$16</definedName>
    <definedName name="SVODE_POK07_6" hidden="1">[15]XLR_NoRangeSheet!$DS$16</definedName>
    <definedName name="SVODE_POK07_7" hidden="1">[15]XLR_NoRangeSheet!$DT$16</definedName>
    <definedName name="SVODE_POK07_8" hidden="1">[15]XLR_NoRangeSheet!$DU$16</definedName>
    <definedName name="SVODE_POK07_9" hidden="1">[15]XLR_NoRangeSheet!$DV$16</definedName>
    <definedName name="SVODE_POK08_1" hidden="1">[15]XLR_NoRangeSheet!$EG$16</definedName>
    <definedName name="SVODE_POK08_10" hidden="1">[15]XLR_NoRangeSheet!$EP$16</definedName>
    <definedName name="SVODE_POK08_11" hidden="1">[15]XLR_NoRangeSheet!$EQ$16</definedName>
    <definedName name="SVODE_POK08_12" hidden="1">[15]XLR_NoRangeSheet!$ER$16</definedName>
    <definedName name="SVODE_POK08_13" hidden="1">[15]XLR_NoRangeSheet!$ES$16</definedName>
    <definedName name="SVODE_POK08_14" hidden="1">[15]XLR_NoRangeSheet!$ET$16</definedName>
    <definedName name="SVODE_POK08_15" hidden="1">[15]XLR_NoRangeSheet!$EU$16</definedName>
    <definedName name="SVODE_POK08_16" hidden="1">[15]XLR_NoRangeSheet!$EV$16</definedName>
    <definedName name="SVODE_POK08_17" hidden="1">[15]XLR_NoRangeSheet!$EW$16</definedName>
    <definedName name="SVODE_POK08_18" hidden="1">[15]XLR_NoRangeSheet!$EX$16</definedName>
    <definedName name="SVODE_POK08_19" hidden="1">[15]XLR_NoRangeSheet!$EY$16</definedName>
    <definedName name="SVODE_POK08_2" hidden="1">[15]XLR_NoRangeSheet!$EH$16</definedName>
    <definedName name="SVODE_POK08_3" hidden="1">[15]XLR_NoRangeSheet!$EI$16</definedName>
    <definedName name="SVODE_POK08_4" hidden="1">[15]XLR_NoRangeSheet!$EJ$16</definedName>
    <definedName name="SVODE_POK08_5" hidden="1">[15]XLR_NoRangeSheet!$EK$16</definedName>
    <definedName name="SVODE_POK08_6" hidden="1">[15]XLR_NoRangeSheet!$EL$16</definedName>
    <definedName name="SVODE_POK08_7" hidden="1">[15]XLR_NoRangeSheet!$EM$16</definedName>
    <definedName name="SVODE_POK08_8" hidden="1">[15]XLR_NoRangeSheet!$EN$16</definedName>
    <definedName name="SVODE_POK08_9" hidden="1">[15]XLR_NoRangeSheet!$EO$16</definedName>
    <definedName name="SVODE_POK09_1" hidden="1">[15]XLR_NoRangeSheet!$EZ$16</definedName>
    <definedName name="SVODE_POK09_10" hidden="1">[15]XLR_NoRangeSheet!$FI$16</definedName>
    <definedName name="SVODE_POK09_11" hidden="1">[15]XLR_NoRangeSheet!$FJ$16</definedName>
    <definedName name="SVODE_POK09_12" hidden="1">[15]XLR_NoRangeSheet!$FK$16</definedName>
    <definedName name="SVODE_POK09_13" hidden="1">[15]XLR_NoRangeSheet!$FL$16</definedName>
    <definedName name="SVODE_POK09_14" hidden="1">[15]XLR_NoRangeSheet!$FM$16</definedName>
    <definedName name="SVODE_POK09_15" hidden="1">[15]XLR_NoRangeSheet!$FN$16</definedName>
    <definedName name="SVODE_POK09_16" hidden="1">[15]XLR_NoRangeSheet!$FO$16</definedName>
    <definedName name="SVODE_POK09_17" hidden="1">[15]XLR_NoRangeSheet!$FP$16</definedName>
    <definedName name="SVODE_POK09_18" hidden="1">[15]XLR_NoRangeSheet!$FQ$16</definedName>
    <definedName name="SVODE_POK09_19" hidden="1">[15]XLR_NoRangeSheet!$FR$16</definedName>
    <definedName name="SVODE_POK09_2" hidden="1">[15]XLR_NoRangeSheet!$FA$16</definedName>
    <definedName name="SVODE_POK09_3" hidden="1">[15]XLR_NoRangeSheet!$FB$16</definedName>
    <definedName name="SVODE_POK09_4" hidden="1">[15]XLR_NoRangeSheet!$FC$16</definedName>
    <definedName name="SVODE_POK09_5" hidden="1">[15]XLR_NoRangeSheet!$FD$16</definedName>
    <definedName name="SVODE_POK09_6" hidden="1">[15]XLR_NoRangeSheet!$FE$16</definedName>
    <definedName name="SVODE_POK09_7" hidden="1">[15]XLR_NoRangeSheet!$FF$16</definedName>
    <definedName name="SVODE_POK09_8" hidden="1">[15]XLR_NoRangeSheet!$FG$16</definedName>
    <definedName name="SVODE_POK09_9" hidden="1">[15]XLR_NoRangeSheet!$FH$16</definedName>
    <definedName name="SVODE_POK10_1" hidden="1">[15]XLR_NoRangeSheet!$FS$16</definedName>
    <definedName name="SVODE_POK10_10" hidden="1">[15]XLR_NoRangeSheet!$GB$16</definedName>
    <definedName name="SVODE_POK10_11" hidden="1">[15]XLR_NoRangeSheet!$GC$16</definedName>
    <definedName name="SVODE_POK10_12" hidden="1">[15]XLR_NoRangeSheet!$GD$16</definedName>
    <definedName name="SVODE_POK10_13" hidden="1">[15]XLR_NoRangeSheet!$GE$16</definedName>
    <definedName name="SVODE_POK10_14" hidden="1">[15]XLR_NoRangeSheet!$GF$16</definedName>
    <definedName name="SVODE_POK10_15" hidden="1">[15]XLR_NoRangeSheet!$GG$16</definedName>
    <definedName name="SVODE_POK10_16" hidden="1">[15]XLR_NoRangeSheet!$GH$16</definedName>
    <definedName name="SVODE_POK10_17" hidden="1">[15]XLR_NoRangeSheet!$GI$16</definedName>
    <definedName name="SVODE_POK10_18" hidden="1">[15]XLR_NoRangeSheet!$GJ$16</definedName>
    <definedName name="SVODE_POK10_19" hidden="1">[15]XLR_NoRangeSheet!$GK$16</definedName>
    <definedName name="SVODE_POK10_2" hidden="1">[15]XLR_NoRangeSheet!$FT$16</definedName>
    <definedName name="SVODE_POK10_3" hidden="1">[15]XLR_NoRangeSheet!$FU$16</definedName>
    <definedName name="SVODE_POK10_4" hidden="1">[15]XLR_NoRangeSheet!$FV$16</definedName>
    <definedName name="SVODE_POK10_5" hidden="1">[15]XLR_NoRangeSheet!$FW$16</definedName>
    <definedName name="SVODE_POK10_6" hidden="1">[15]XLR_NoRangeSheet!$FX$16</definedName>
    <definedName name="SVODE_POK10_7" hidden="1">[15]XLR_NoRangeSheet!$FY$16</definedName>
    <definedName name="SVODE_POK10_8" hidden="1">[15]XLR_NoRangeSheet!$FZ$16</definedName>
    <definedName name="SVODE_POK10_9" hidden="1">[15]XLR_NoRangeSheet!$GA$16</definedName>
    <definedName name="SVODE_POK11_1" hidden="1">[15]XLR_NoRangeSheet!$GL$16</definedName>
    <definedName name="SVODE_POK11_10" hidden="1">[15]XLR_NoRangeSheet!$GU$16</definedName>
    <definedName name="SVODE_POK11_11" hidden="1">[15]XLR_NoRangeSheet!$GV$16</definedName>
    <definedName name="SVODE_POK11_12" hidden="1">[15]XLR_NoRangeSheet!$GW$16</definedName>
    <definedName name="SVODE_POK11_13" hidden="1">[15]XLR_NoRangeSheet!$GX$16</definedName>
    <definedName name="SVODE_POK11_14" hidden="1">[15]XLR_NoRangeSheet!$GY$16</definedName>
    <definedName name="SVODE_POK11_15" hidden="1">[15]XLR_NoRangeSheet!$GZ$16</definedName>
    <definedName name="SVODE_POK11_16" hidden="1">[15]XLR_NoRangeSheet!$HA$16</definedName>
    <definedName name="SVODE_POK11_17" hidden="1">[15]XLR_NoRangeSheet!$HB$16</definedName>
    <definedName name="SVODE_POK11_18" hidden="1">[15]XLR_NoRangeSheet!$HC$16</definedName>
    <definedName name="SVODE_POK11_19" hidden="1">[15]XLR_NoRangeSheet!$HD$16</definedName>
    <definedName name="SVODE_POK11_2" hidden="1">[15]XLR_NoRangeSheet!$GM$16</definedName>
    <definedName name="SVODE_POK11_3" hidden="1">[15]XLR_NoRangeSheet!$GN$16</definedName>
    <definedName name="SVODE_POK11_4" hidden="1">[15]XLR_NoRangeSheet!$GO$16</definedName>
    <definedName name="SVODE_POK11_5" hidden="1">[15]XLR_NoRangeSheet!$GP$16</definedName>
    <definedName name="SVODE_POK11_6" hidden="1">[15]XLR_NoRangeSheet!$GQ$16</definedName>
    <definedName name="SVODE_POK11_7" hidden="1">[15]XLR_NoRangeSheet!$GR$16</definedName>
    <definedName name="SVODE_POK11_8" hidden="1">[15]XLR_NoRangeSheet!$GS$16</definedName>
    <definedName name="SVODE_POK11_9" hidden="1">[15]XLR_NoRangeSheet!$GT$16</definedName>
    <definedName name="SVODE_POK12_1" hidden="1">[15]XLR_NoRangeSheet!$HE$16</definedName>
    <definedName name="SVODE_POK12_10" hidden="1">[15]XLR_NoRangeSheet!$HN$16</definedName>
    <definedName name="SVODE_POK12_11" hidden="1">[15]XLR_NoRangeSheet!$HO$16</definedName>
    <definedName name="SVODE_POK12_12" hidden="1">[15]XLR_NoRangeSheet!$HP$16</definedName>
    <definedName name="SVODE_POK12_13" hidden="1">[15]XLR_NoRangeSheet!$HQ$16</definedName>
    <definedName name="SVODE_POK12_14" hidden="1">[15]XLR_NoRangeSheet!$HR$16</definedName>
    <definedName name="SVODE_POK12_15" hidden="1">[15]XLR_NoRangeSheet!$HS$16</definedName>
    <definedName name="SVODE_POK12_16" hidden="1">[15]XLR_NoRangeSheet!$HT$16</definedName>
    <definedName name="SVODE_POK12_17" hidden="1">[15]XLR_NoRangeSheet!$HU$16</definedName>
    <definedName name="SVODE_POK12_18" hidden="1">[15]XLR_NoRangeSheet!$HV$16</definedName>
    <definedName name="SVODE_POK12_19" hidden="1">[15]XLR_NoRangeSheet!$HW$16</definedName>
    <definedName name="SVODE_POK12_2" hidden="1">[15]XLR_NoRangeSheet!$HF$16</definedName>
    <definedName name="SVODE_POK12_3" hidden="1">[15]XLR_NoRangeSheet!$HG$16</definedName>
    <definedName name="SVODE_POK12_4" hidden="1">[15]XLR_NoRangeSheet!$HH$16</definedName>
    <definedName name="SVODE_POK12_5" hidden="1">[15]XLR_NoRangeSheet!$HI$16</definedName>
    <definedName name="SVODE_POK12_6" hidden="1">[15]XLR_NoRangeSheet!$HJ$16</definedName>
    <definedName name="SVODE_POK12_7" hidden="1">[15]XLR_NoRangeSheet!$HK$16</definedName>
    <definedName name="SVODE_POK12_8" hidden="1">[15]XLR_NoRangeSheet!$HL$16</definedName>
    <definedName name="SVODE_POK12_9" hidden="1">[15]XLR_NoRangeSheet!$HM$16</definedName>
    <definedName name="SVODE_POK13_1" hidden="1">[15]XLR_NoRangeSheet!$HX$16</definedName>
    <definedName name="SVODE_POK13_10" hidden="1">[15]XLR_NoRangeSheet!$IG$16</definedName>
    <definedName name="SVODE_POK13_11" hidden="1">[15]XLR_NoRangeSheet!$IH$16</definedName>
    <definedName name="SVODE_POK13_12" hidden="1">[15]XLR_NoRangeSheet!$II$16</definedName>
    <definedName name="SVODE_POK13_13" hidden="1">[15]XLR_NoRangeSheet!$IJ$16</definedName>
    <definedName name="SVODE_POK13_14" hidden="1">[15]XLR_NoRangeSheet!$IK$16</definedName>
    <definedName name="SVODE_POK13_15" hidden="1">[15]XLR_NoRangeSheet!$IL$16</definedName>
    <definedName name="SVODE_POK13_16" hidden="1">[15]XLR_NoRangeSheet!$IM$16</definedName>
    <definedName name="SVODE_POK13_17" hidden="1">[15]XLR_NoRangeSheet!$IN$16</definedName>
    <definedName name="SVODE_POK13_18" hidden="1">[15]XLR_NoRangeSheet!$IO$16</definedName>
    <definedName name="SVODE_POK13_19" hidden="1">[15]XLR_NoRangeSheet!$IP$16</definedName>
    <definedName name="SVODE_POK13_2" hidden="1">[15]XLR_NoRangeSheet!$HY$16</definedName>
    <definedName name="SVODE_POK13_3" hidden="1">[15]XLR_NoRangeSheet!$HZ$16</definedName>
    <definedName name="SVODE_POK13_4" hidden="1">[15]XLR_NoRangeSheet!$IA$16</definedName>
    <definedName name="SVODE_POK13_5" hidden="1">[15]XLR_NoRangeSheet!$IB$16</definedName>
    <definedName name="SVODE_POK13_6" hidden="1">[15]XLR_NoRangeSheet!$IC$16</definedName>
    <definedName name="SVODE_POK13_7" hidden="1">[15]XLR_NoRangeSheet!$ID$16</definedName>
    <definedName name="SVODE_POK13_8" hidden="1">[15]XLR_NoRangeSheet!$IE$16</definedName>
    <definedName name="SVODE_POK13_9" hidden="1">[15]XLR_NoRangeSheet!$IF$16</definedName>
    <definedName name="SVODR_POK01_1" hidden="1">[15]XLR_NoRangeSheet!$D$18</definedName>
    <definedName name="SVODR_POK01_10" hidden="1">[15]XLR_NoRangeSheet!$M$18</definedName>
    <definedName name="SVODR_POK01_11" hidden="1">[15]XLR_NoRangeSheet!$N$18</definedName>
    <definedName name="SVODR_POK01_12" hidden="1">[15]XLR_NoRangeSheet!$O$18</definedName>
    <definedName name="SVODR_POK01_13" hidden="1">[15]XLR_NoRangeSheet!$P$18</definedName>
    <definedName name="SVODR_POK01_14" hidden="1">[15]XLR_NoRangeSheet!$Q$18</definedName>
    <definedName name="SVODR_POK01_15" hidden="1">[15]XLR_NoRangeSheet!$R$18</definedName>
    <definedName name="SVODR_POK01_16" hidden="1">[15]XLR_NoRangeSheet!$S$18</definedName>
    <definedName name="SVODR_POK01_17" hidden="1">[15]XLR_NoRangeSheet!$T$18</definedName>
    <definedName name="SVODR_POK01_18" hidden="1">[15]XLR_NoRangeSheet!$U$18</definedName>
    <definedName name="SVODR_POK01_19" hidden="1">[15]XLR_NoRangeSheet!$V$18</definedName>
    <definedName name="SVODR_POK01_2" hidden="1">[15]XLR_NoRangeSheet!$E$18</definedName>
    <definedName name="SVODR_POK01_20" hidden="1">[15]XLR_NoRangeSheet!$W$18</definedName>
    <definedName name="SVODR_POK01_21" hidden="1">[15]XLR_NoRangeSheet!$X$18</definedName>
    <definedName name="SVODR_POK01_22" hidden="1">[15]XLR_NoRangeSheet!$Y$18</definedName>
    <definedName name="SVODR_POK01_23" hidden="1">[15]XLR_NoRangeSheet!$Z$18</definedName>
    <definedName name="SVODR_POK01_24" hidden="1">[15]XLR_NoRangeSheet!$AA$18</definedName>
    <definedName name="SVODR_POK01_25" hidden="1">[15]XLR_NoRangeSheet!$AB$18</definedName>
    <definedName name="SVODR_POK01_26" hidden="1">[15]XLR_NoRangeSheet!$AC$18</definedName>
    <definedName name="SVODR_POK01_27" hidden="1">[15]XLR_NoRangeSheet!$AD$18</definedName>
    <definedName name="SVODR_POK01_28" hidden="1">[15]XLR_NoRangeSheet!$AE$18</definedName>
    <definedName name="SVODR_POK01_29" hidden="1">[15]XLR_NoRangeSheet!$AF$18</definedName>
    <definedName name="SVODR_POK01_3" hidden="1">[15]XLR_NoRangeSheet!$F$18</definedName>
    <definedName name="SVODR_POK01_30" hidden="1">[15]XLR_NoRangeSheet!$AG$18</definedName>
    <definedName name="SVODR_POK01_31" hidden="1">[15]XLR_NoRangeSheet!$AH$18</definedName>
    <definedName name="SVODR_POK01_32" hidden="1">[15]XLR_NoRangeSheet!$AI$18</definedName>
    <definedName name="SVODR_POK01_33" hidden="1">[15]XLR_NoRangeSheet!$AJ$18</definedName>
    <definedName name="SVODR_POK01_34" hidden="1">[15]XLR_NoRangeSheet!$AK$18</definedName>
    <definedName name="SVODR_POK01_4" hidden="1">[15]XLR_NoRangeSheet!$G$18</definedName>
    <definedName name="SVODR_POK01_5" hidden="1">[15]XLR_NoRangeSheet!$H$18</definedName>
    <definedName name="SVODR_POK01_6" hidden="1">[15]XLR_NoRangeSheet!$I$18</definedName>
    <definedName name="SVODR_POK01_7" hidden="1">[15]XLR_NoRangeSheet!$J$18</definedName>
    <definedName name="SVODR_POK01_8" hidden="1">[15]XLR_NoRangeSheet!$K$18</definedName>
    <definedName name="SVODR_POK01_9" hidden="1">[15]XLR_NoRangeSheet!$L$18</definedName>
    <definedName name="SVODR_POK02_1" hidden="1">[15]XLR_NoRangeSheet!$AL$18</definedName>
    <definedName name="SVODR_POK02_10" hidden="1">[15]XLR_NoRangeSheet!$AU$18</definedName>
    <definedName name="SVODR_POK02_11" hidden="1">[15]XLR_NoRangeSheet!$AV$18</definedName>
    <definedName name="SVODR_POK02_12" hidden="1">[15]XLR_NoRangeSheet!$AW$18</definedName>
    <definedName name="SVODR_POK02_13" hidden="1">[15]XLR_NoRangeSheet!$AX$18</definedName>
    <definedName name="SVODR_POK02_14" hidden="1">[15]XLR_NoRangeSheet!$AY$18</definedName>
    <definedName name="SVODR_POK02_15" hidden="1">[15]XLR_NoRangeSheet!$AZ$18</definedName>
    <definedName name="SVODR_POK02_16" hidden="1">[15]XLR_NoRangeSheet!$BA$18</definedName>
    <definedName name="SVODR_POK02_17" hidden="1">[15]XLR_NoRangeSheet!$BB$18</definedName>
    <definedName name="SVODR_POK02_18" hidden="1">[15]XLR_NoRangeSheet!$BC$18</definedName>
    <definedName name="SVODR_POK02_19" hidden="1">[15]XLR_NoRangeSheet!$BD$18</definedName>
    <definedName name="SVODR_POK02_2" hidden="1">[15]XLR_NoRangeSheet!$AM$18</definedName>
    <definedName name="SVODR_POK02_20" hidden="1">[15]XLR_NoRangeSheet!$BE$18</definedName>
    <definedName name="SVODR_POK02_21" hidden="1">[15]XLR_NoRangeSheet!$BF$18</definedName>
    <definedName name="SVODR_POK02_22" hidden="1">[15]XLR_NoRangeSheet!$BG$18</definedName>
    <definedName name="SVODR_POK02_23" hidden="1">[15]XLR_NoRangeSheet!$BH$18</definedName>
    <definedName name="SVODR_POK02_24" hidden="1">[15]XLR_NoRangeSheet!$BI$18</definedName>
    <definedName name="SVODR_POK02_25" hidden="1">[15]XLR_NoRangeSheet!$BJ$18</definedName>
    <definedName name="SVODR_POK02_26" hidden="1">[15]XLR_NoRangeSheet!$BK$18</definedName>
    <definedName name="SVODR_POK02_27" hidden="1">[15]XLR_NoRangeSheet!$BL$18</definedName>
    <definedName name="SVODR_POK02_28" hidden="1">[15]XLR_NoRangeSheet!$BM$18</definedName>
    <definedName name="SVODR_POK02_29" hidden="1">[15]XLR_NoRangeSheet!$BN$18</definedName>
    <definedName name="SVODR_POK02_3" hidden="1">[15]XLR_NoRangeSheet!$AN$18</definedName>
    <definedName name="SVODR_POK02_30" hidden="1">[15]XLR_NoRangeSheet!$BO$18</definedName>
    <definedName name="SVODR_POK02_31" hidden="1">[15]XLR_NoRangeSheet!$BP$18</definedName>
    <definedName name="SVODR_POK02_32" hidden="1">[15]XLR_NoRangeSheet!$BQ$18</definedName>
    <definedName name="SVODR_POK02_33" hidden="1">[15]XLR_NoRangeSheet!$BR$18</definedName>
    <definedName name="SVODR_POK02_34" hidden="1">[15]XLR_NoRangeSheet!$BS$18</definedName>
    <definedName name="SVODR_POK02_4" hidden="1">[15]XLR_NoRangeSheet!$AO$18</definedName>
    <definedName name="SVODR_POK02_5" hidden="1">[15]XLR_NoRangeSheet!$AP$18</definedName>
    <definedName name="SVODR_POK02_6" hidden="1">[15]XLR_NoRangeSheet!$AQ$18</definedName>
    <definedName name="SVODR_POK02_7" hidden="1">[15]XLR_NoRangeSheet!$AR$18</definedName>
    <definedName name="SVODR_POK02_8" hidden="1">[15]XLR_NoRangeSheet!$AS$18</definedName>
    <definedName name="SVODR_POK02_9" hidden="1">[15]XLR_NoRangeSheet!$AT$18</definedName>
    <definedName name="SVODR_POK03_1" hidden="1">[15]XLR_NoRangeSheet!$BT$18</definedName>
    <definedName name="SVODR_POK03_10" hidden="1">[15]XLR_NoRangeSheet!$CC$18</definedName>
    <definedName name="SVODR_POK03_11" hidden="1">[15]XLR_NoRangeSheet!$CD$18</definedName>
    <definedName name="SVODR_POK03_12" hidden="1">[15]XLR_NoRangeSheet!$CE$18</definedName>
    <definedName name="SVODR_POK03_13" hidden="1">[15]XLR_NoRangeSheet!$CF$18</definedName>
    <definedName name="SVODR_POK03_14" hidden="1">[15]XLR_NoRangeSheet!$CG$18</definedName>
    <definedName name="SVODR_POK03_15" hidden="1">[15]XLR_NoRangeSheet!$CH$18</definedName>
    <definedName name="SVODR_POK03_16" hidden="1">[15]XLR_NoRangeSheet!$CI$18</definedName>
    <definedName name="SVODR_POK03_17" hidden="1">[15]XLR_NoRangeSheet!$CJ$18</definedName>
    <definedName name="SVODR_POK03_18" hidden="1">[15]XLR_NoRangeSheet!$CK$18</definedName>
    <definedName name="SVODR_POK03_19" hidden="1">[15]XLR_NoRangeSheet!$CL$18</definedName>
    <definedName name="SVODR_POK03_2" hidden="1">[15]XLR_NoRangeSheet!$BU$18</definedName>
    <definedName name="SVODR_POK03_20" hidden="1">[15]XLR_NoRangeSheet!$CM$18</definedName>
    <definedName name="SVODR_POK03_21" hidden="1">[15]XLR_NoRangeSheet!$CN$18</definedName>
    <definedName name="SVODR_POK03_22" hidden="1">[15]XLR_NoRangeSheet!$CO$18</definedName>
    <definedName name="SVODR_POK03_23" hidden="1">[15]XLR_NoRangeSheet!$CP$18</definedName>
    <definedName name="SVODR_POK03_24" hidden="1">[15]XLR_NoRangeSheet!$CQ$18</definedName>
    <definedName name="SVODR_POK03_25" hidden="1">[15]XLR_NoRangeSheet!$CR$18</definedName>
    <definedName name="SVODR_POK03_26" hidden="1">[15]XLR_NoRangeSheet!$CS$18</definedName>
    <definedName name="SVODR_POK03_27" hidden="1">[15]XLR_NoRangeSheet!$CT$18</definedName>
    <definedName name="SVODR_POK03_28" hidden="1">[15]XLR_NoRangeSheet!$CU$18</definedName>
    <definedName name="SVODR_POK03_29" hidden="1">[15]XLR_NoRangeSheet!$CV$18</definedName>
    <definedName name="SVODR_POK03_3" hidden="1">[15]XLR_NoRangeSheet!$BV$18</definedName>
    <definedName name="SVODR_POK03_30" hidden="1">[15]XLR_NoRangeSheet!$CW$18</definedName>
    <definedName name="SVODR_POK03_31" hidden="1">[15]XLR_NoRangeSheet!$CX$18</definedName>
    <definedName name="SVODR_POK03_32" hidden="1">[15]XLR_NoRangeSheet!$CY$18</definedName>
    <definedName name="SVODR_POK03_33" hidden="1">[15]XLR_NoRangeSheet!$CZ$18</definedName>
    <definedName name="SVODR_POK03_34" hidden="1">[15]XLR_NoRangeSheet!$DA$18</definedName>
    <definedName name="SVODR_POK03_4" hidden="1">[15]XLR_NoRangeSheet!$BW$18</definedName>
    <definedName name="SVODR_POK03_5" hidden="1">[15]XLR_NoRangeSheet!$BX$18</definedName>
    <definedName name="SVODR_POK03_6" hidden="1">[15]XLR_NoRangeSheet!$BY$18</definedName>
    <definedName name="SVODR_POK03_7" hidden="1">[15]XLR_NoRangeSheet!$BZ$18</definedName>
    <definedName name="SVODR_POK03_8" hidden="1">[15]XLR_NoRangeSheet!$CA$18</definedName>
    <definedName name="SVODR_POK03_9" hidden="1">[15]XLR_NoRangeSheet!$CB$18</definedName>
    <definedName name="SVODR_POK04_1" hidden="1">[15]XLR_NoRangeSheet!$DB$18</definedName>
    <definedName name="SVODR_POK04_10" hidden="1">[15]XLR_NoRangeSheet!$DK$18</definedName>
    <definedName name="SVODR_POK04_11" hidden="1">[15]XLR_NoRangeSheet!$DL$18</definedName>
    <definedName name="SVODR_POK04_12" hidden="1">[15]XLR_NoRangeSheet!$DM$18</definedName>
    <definedName name="SVODR_POK04_13" hidden="1">[15]XLR_NoRangeSheet!$DN$18</definedName>
    <definedName name="SVODR_POK04_14" hidden="1">[15]XLR_NoRangeSheet!$DO$18</definedName>
    <definedName name="SVODR_POK04_15" hidden="1">[15]XLR_NoRangeSheet!$DP$18</definedName>
    <definedName name="SVODR_POK04_16" hidden="1">[15]XLR_NoRangeSheet!$DQ$18</definedName>
    <definedName name="SVODR_POK04_17" hidden="1">[15]XLR_NoRangeSheet!$DR$18</definedName>
    <definedName name="SVODR_POK04_18" hidden="1">[15]XLR_NoRangeSheet!$DS$18</definedName>
    <definedName name="SVODR_POK04_19" hidden="1">[15]XLR_NoRangeSheet!$DT$18</definedName>
    <definedName name="SVODR_POK04_2" hidden="1">[15]XLR_NoRangeSheet!$DC$18</definedName>
    <definedName name="SVODR_POK04_20" hidden="1">[15]XLR_NoRangeSheet!$DU$18</definedName>
    <definedName name="SVODR_POK04_21" hidden="1">[15]XLR_NoRangeSheet!$DV$18</definedName>
    <definedName name="SVODR_POK04_22" hidden="1">[15]XLR_NoRangeSheet!$DW$18</definedName>
    <definedName name="SVODR_POK04_23" hidden="1">[15]XLR_NoRangeSheet!$DX$18</definedName>
    <definedName name="SVODR_POK04_24" hidden="1">[15]XLR_NoRangeSheet!$DY$18</definedName>
    <definedName name="SVODR_POK04_25" hidden="1">[15]XLR_NoRangeSheet!$DZ$18</definedName>
    <definedName name="SVODR_POK04_26" hidden="1">[15]XLR_NoRangeSheet!$EA$18</definedName>
    <definedName name="SVODR_POK04_27" hidden="1">[15]XLR_NoRangeSheet!$EB$18</definedName>
    <definedName name="SVODR_POK04_28" hidden="1">[15]XLR_NoRangeSheet!$EC$18</definedName>
    <definedName name="SVODR_POK04_29" hidden="1">[15]XLR_NoRangeSheet!$ED$18</definedName>
    <definedName name="SVODR_POK04_3" hidden="1">[15]XLR_NoRangeSheet!$DD$18</definedName>
    <definedName name="SVODR_POK04_30" hidden="1">[15]XLR_NoRangeSheet!$EE$18</definedName>
    <definedName name="SVODR_POK04_31" hidden="1">[15]XLR_NoRangeSheet!$EF$18</definedName>
    <definedName name="SVODR_POK04_32" hidden="1">[15]XLR_NoRangeSheet!$EG$18</definedName>
    <definedName name="SVODR_POK04_33" hidden="1">[15]XLR_NoRangeSheet!$EH$18</definedName>
    <definedName name="SVODR_POK04_34" hidden="1">[15]XLR_NoRangeSheet!$EI$18</definedName>
    <definedName name="SVODR_POK04_4" hidden="1">[15]XLR_NoRangeSheet!$DE$18</definedName>
    <definedName name="SVODR_POK04_5" hidden="1">[15]XLR_NoRangeSheet!$DF$18</definedName>
    <definedName name="SVODR_POK04_6" hidden="1">[15]XLR_NoRangeSheet!$DG$18</definedName>
    <definedName name="SVODR_POK04_7" hidden="1">[15]XLR_NoRangeSheet!$DH$18</definedName>
    <definedName name="SVODR_POK04_8" hidden="1">[15]XLR_NoRangeSheet!$DI$18</definedName>
    <definedName name="SVODR_POK04_9" hidden="1">[15]XLR_NoRangeSheet!$DJ$18</definedName>
    <definedName name="SVODR_POK05_1" hidden="1">[15]XLR_NoRangeSheet!$EJ$18</definedName>
    <definedName name="SVODR_POK05_10" hidden="1">[15]XLR_NoRangeSheet!$ES$18</definedName>
    <definedName name="SVODR_POK05_11" hidden="1">[15]XLR_NoRangeSheet!$ET$18</definedName>
    <definedName name="SVODR_POK05_12" hidden="1">[15]XLR_NoRangeSheet!$EU$18</definedName>
    <definedName name="SVODR_POK05_13" hidden="1">[15]XLR_NoRangeSheet!$EV$18</definedName>
    <definedName name="SVODR_POK05_14" hidden="1">[15]XLR_NoRangeSheet!$EW$18</definedName>
    <definedName name="SVODR_POK05_15" hidden="1">[15]XLR_NoRangeSheet!$EX$18</definedName>
    <definedName name="SVODR_POK05_16" hidden="1">[15]XLR_NoRangeSheet!$EY$18</definedName>
    <definedName name="SVODR_POK05_17" hidden="1">[15]XLR_NoRangeSheet!$EZ$18</definedName>
    <definedName name="SVODR_POK05_18" hidden="1">[15]XLR_NoRangeSheet!$FA$18</definedName>
    <definedName name="SVODR_POK05_19" hidden="1">[15]XLR_NoRangeSheet!$FB$18</definedName>
    <definedName name="SVODR_POK05_2" hidden="1">[15]XLR_NoRangeSheet!$EK$18</definedName>
    <definedName name="SVODR_POK05_20" hidden="1">[15]XLR_NoRangeSheet!$FC$18</definedName>
    <definedName name="SVODR_POK05_21" hidden="1">[15]XLR_NoRangeSheet!$FD$18</definedName>
    <definedName name="SVODR_POK05_22" hidden="1">[15]XLR_NoRangeSheet!$FE$18</definedName>
    <definedName name="SVODR_POK05_23" hidden="1">[15]XLR_NoRangeSheet!$FF$18</definedName>
    <definedName name="SVODR_POK05_24" hidden="1">[15]XLR_NoRangeSheet!$FG$18</definedName>
    <definedName name="SVODR_POK05_25" hidden="1">[15]XLR_NoRangeSheet!$FH$18</definedName>
    <definedName name="SVODR_POK05_26" hidden="1">[15]XLR_NoRangeSheet!$FI$18</definedName>
    <definedName name="SVODR_POK05_27" hidden="1">[15]XLR_NoRangeSheet!$FJ$18</definedName>
    <definedName name="SVODR_POK05_28" hidden="1">[15]XLR_NoRangeSheet!$FK$18</definedName>
    <definedName name="SVODR_POK05_29" hidden="1">[15]XLR_NoRangeSheet!$FL$18</definedName>
    <definedName name="SVODR_POK05_3" hidden="1">[15]XLR_NoRangeSheet!$EL$18</definedName>
    <definedName name="SVODR_POK05_30" hidden="1">[15]XLR_NoRangeSheet!$FM$18</definedName>
    <definedName name="SVODR_POK05_31" hidden="1">[15]XLR_NoRangeSheet!$FN$18</definedName>
    <definedName name="SVODR_POK05_32" hidden="1">[15]XLR_NoRangeSheet!$FO$18</definedName>
    <definedName name="SVODR_POK05_33" hidden="1">[15]XLR_NoRangeSheet!$FP$18</definedName>
    <definedName name="SVODR_POK05_34" hidden="1">[15]XLR_NoRangeSheet!$FQ$18</definedName>
    <definedName name="SVODR_POK05_4" hidden="1">[15]XLR_NoRangeSheet!$EM$18</definedName>
    <definedName name="SVODR_POK05_5" hidden="1">[15]XLR_NoRangeSheet!$EN$18</definedName>
    <definedName name="SVODR_POK05_6" hidden="1">[15]XLR_NoRangeSheet!$EO$18</definedName>
    <definedName name="SVODR_POK05_7" hidden="1">[15]XLR_NoRangeSheet!$EP$18</definedName>
    <definedName name="SVODR_POK05_8" hidden="1">[15]XLR_NoRangeSheet!$EQ$18</definedName>
    <definedName name="SVODR_POK05_9" hidden="1">[15]XLR_NoRangeSheet!$ER$18</definedName>
    <definedName name="SVODR_POK06_1" hidden="1">[15]XLR_NoRangeSheet!$FR$18</definedName>
    <definedName name="SVODR_POK06_10" hidden="1">[15]XLR_NoRangeSheet!$GA$18</definedName>
    <definedName name="SVODR_POK06_11" hidden="1">[15]XLR_NoRangeSheet!$GB$18</definedName>
    <definedName name="SVODR_POK06_12" hidden="1">[15]XLR_NoRangeSheet!$GC$18</definedName>
    <definedName name="SVODR_POK06_13" hidden="1">[15]XLR_NoRangeSheet!$GD$18</definedName>
    <definedName name="SVODR_POK06_14" hidden="1">[15]XLR_NoRangeSheet!$GE$18</definedName>
    <definedName name="SVODR_POK06_15" hidden="1">[15]XLR_NoRangeSheet!$GF$18</definedName>
    <definedName name="SVODR_POK06_16" hidden="1">[15]XLR_NoRangeSheet!$GG$18</definedName>
    <definedName name="SVODR_POK06_17" hidden="1">[15]XLR_NoRangeSheet!$GH$18</definedName>
    <definedName name="SVODR_POK06_18" hidden="1">[15]XLR_NoRangeSheet!$GI$18</definedName>
    <definedName name="SVODR_POK06_19" hidden="1">[15]XLR_NoRangeSheet!$GJ$18</definedName>
    <definedName name="SVODR_POK06_2" hidden="1">[15]XLR_NoRangeSheet!$FS$18</definedName>
    <definedName name="SVODR_POK06_20" hidden="1">[15]XLR_NoRangeSheet!$GK$18</definedName>
    <definedName name="SVODR_POK06_21" hidden="1">[15]XLR_NoRangeSheet!$GL$18</definedName>
    <definedName name="SVODR_POK06_22" hidden="1">[15]XLR_NoRangeSheet!$GM$18</definedName>
    <definedName name="SVODR_POK06_23" hidden="1">[15]XLR_NoRangeSheet!$GN$18</definedName>
    <definedName name="SVODR_POK06_24" hidden="1">[15]XLR_NoRangeSheet!$GO$18</definedName>
    <definedName name="SVODR_POK06_25" hidden="1">[15]XLR_NoRangeSheet!$GP$18</definedName>
    <definedName name="SVODR_POK06_26" hidden="1">[15]XLR_NoRangeSheet!$GQ$18</definedName>
    <definedName name="SVODR_POK06_27" hidden="1">[15]XLR_NoRangeSheet!$GR$18</definedName>
    <definedName name="SVODR_POK06_28" hidden="1">[15]XLR_NoRangeSheet!$GS$18</definedName>
    <definedName name="SVODR_POK06_29" hidden="1">[15]XLR_NoRangeSheet!$GT$18</definedName>
    <definedName name="SVODR_POK06_3" hidden="1">[15]XLR_NoRangeSheet!$FT$18</definedName>
    <definedName name="SVODR_POK06_30" hidden="1">[15]XLR_NoRangeSheet!$GU$18</definedName>
    <definedName name="SVODR_POK06_31" hidden="1">[15]XLR_NoRangeSheet!$GV$18</definedName>
    <definedName name="SVODR_POK06_32" hidden="1">[15]XLR_NoRangeSheet!$GW$18</definedName>
    <definedName name="SVODR_POK06_33" hidden="1">[15]XLR_NoRangeSheet!$GX$18</definedName>
    <definedName name="SVODR_POK06_34" hidden="1">[15]XLR_NoRangeSheet!$GY$18</definedName>
    <definedName name="SVODR_POK06_4" hidden="1">[15]XLR_NoRangeSheet!$FU$18</definedName>
    <definedName name="SVODR_POK06_5" hidden="1">[15]XLR_NoRangeSheet!$FV$18</definedName>
    <definedName name="SVODR_POK06_6" hidden="1">[15]XLR_NoRangeSheet!$FW$18</definedName>
    <definedName name="SVODR_POK06_7" hidden="1">[15]XLR_NoRangeSheet!$FX$18</definedName>
    <definedName name="SVODR_POK06_8" hidden="1">[15]XLR_NoRangeSheet!$FY$18</definedName>
    <definedName name="SVODR_POK06_9" hidden="1">[15]XLR_NoRangeSheet!$FZ$18</definedName>
    <definedName name="SVODR_POK07_1" hidden="1">[15]XLR_NoRangeSheet!$GZ$18</definedName>
    <definedName name="SVODR_POK07_10" hidden="1">[15]XLR_NoRangeSheet!$HI$18</definedName>
    <definedName name="SVODR_POK07_11" hidden="1">[15]XLR_NoRangeSheet!$HJ$18</definedName>
    <definedName name="SVODR_POK07_12" hidden="1">[15]XLR_NoRangeSheet!$HK$18</definedName>
    <definedName name="SVODR_POK07_13" hidden="1">[15]XLR_NoRangeSheet!$HL$18</definedName>
    <definedName name="SVODR_POK07_14" hidden="1">[15]XLR_NoRangeSheet!$HM$18</definedName>
    <definedName name="SVODR_POK07_15" hidden="1">[15]XLR_NoRangeSheet!$HN$18</definedName>
    <definedName name="SVODR_POK07_16" hidden="1">[15]XLR_NoRangeSheet!$HO$18</definedName>
    <definedName name="SVODR_POK07_17" hidden="1">[15]XLR_NoRangeSheet!$HP$18</definedName>
    <definedName name="SVODR_POK07_18" hidden="1">[15]XLR_NoRangeSheet!$HQ$18</definedName>
    <definedName name="SVODR_POK07_19" hidden="1">[15]XLR_NoRangeSheet!$HR$18</definedName>
    <definedName name="SVODR_POK07_2" hidden="1">[15]XLR_NoRangeSheet!$HA$18</definedName>
    <definedName name="SVODR_POK07_20" hidden="1">[15]XLR_NoRangeSheet!$HS$18</definedName>
    <definedName name="SVODR_POK07_21" hidden="1">[15]XLR_NoRangeSheet!$HT$18</definedName>
    <definedName name="SVODR_POK07_22" hidden="1">[15]XLR_NoRangeSheet!$HU$18</definedName>
    <definedName name="SVODR_POK07_23" hidden="1">[15]XLR_NoRangeSheet!$HV$18</definedName>
    <definedName name="SVODR_POK07_24" hidden="1">[15]XLR_NoRangeSheet!$HW$18</definedName>
    <definedName name="SVODR_POK07_25" hidden="1">[15]XLR_NoRangeSheet!$HX$18</definedName>
    <definedName name="SVODR_POK07_26" hidden="1">[15]XLR_NoRangeSheet!$HY$18</definedName>
    <definedName name="SVODR_POK07_27" hidden="1">[15]XLR_NoRangeSheet!$HZ$18</definedName>
    <definedName name="SVODR_POK07_28" hidden="1">[15]XLR_NoRangeSheet!$IA$18</definedName>
    <definedName name="SVODR_POK07_29" hidden="1">[15]XLR_NoRangeSheet!$IB$18</definedName>
    <definedName name="SVODR_POK07_3" hidden="1">[15]XLR_NoRangeSheet!$HB$18</definedName>
    <definedName name="SVODR_POK07_30" hidden="1">[15]XLR_NoRangeSheet!$IC$18</definedName>
    <definedName name="SVODR_POK07_31" hidden="1">[15]XLR_NoRangeSheet!$ID$18</definedName>
    <definedName name="SVODR_POK07_32" hidden="1">[15]XLR_NoRangeSheet!$IE$18</definedName>
    <definedName name="SVODR_POK07_33" hidden="1">[15]XLR_NoRangeSheet!$IF$18</definedName>
    <definedName name="SVODR_POK07_34" hidden="1">[15]XLR_NoRangeSheet!$IG$18</definedName>
    <definedName name="SVODR_POK07_4" hidden="1">[15]XLR_NoRangeSheet!$HC$18</definedName>
    <definedName name="SVODR_POK07_5" hidden="1">[15]XLR_NoRangeSheet!$HD$18</definedName>
    <definedName name="SVODR_POK07_6" hidden="1">[15]XLR_NoRangeSheet!$HE$18</definedName>
    <definedName name="SVODR_POK07_7" hidden="1">[15]XLR_NoRangeSheet!$HF$18</definedName>
    <definedName name="SVODR_POK07_8" hidden="1">[15]XLR_NoRangeSheet!$HG$18</definedName>
    <definedName name="SVODR_POK07_9" hidden="1">[15]XLR_NoRangeSheet!$HH$18</definedName>
    <definedName name="SVODR_POK08_1" hidden="1">[15]XLR_NoRangeSheet!$IH$18</definedName>
    <definedName name="SVODR_POK08_10" hidden="1">[15]XLR_NoRangeSheet!$B$19</definedName>
    <definedName name="SVODR_POK08_11" hidden="1">[15]XLR_NoRangeSheet!$C$19</definedName>
    <definedName name="SVODR_POK08_12" hidden="1">[15]XLR_NoRangeSheet!$D$19</definedName>
    <definedName name="SVODR_POK08_13" hidden="1">[15]XLR_NoRangeSheet!$E$19</definedName>
    <definedName name="SVODR_POK08_14" hidden="1">[15]XLR_NoRangeSheet!$F$19</definedName>
    <definedName name="SVODR_POK08_15" hidden="1">[15]XLR_NoRangeSheet!$G$19</definedName>
    <definedName name="SVODR_POK08_16" hidden="1">[15]XLR_NoRangeSheet!$H$19</definedName>
    <definedName name="SVODR_POK08_17" hidden="1">[15]XLR_NoRangeSheet!$I$19</definedName>
    <definedName name="SVODR_POK08_18" hidden="1">[15]XLR_NoRangeSheet!$J$19</definedName>
    <definedName name="SVODR_POK08_19" hidden="1">[15]XLR_NoRangeSheet!$K$19</definedName>
    <definedName name="SVODR_POK08_2" hidden="1">[15]XLR_NoRangeSheet!$II$18</definedName>
    <definedName name="SVODR_POK08_20" hidden="1">[15]XLR_NoRangeSheet!$L$19</definedName>
    <definedName name="SVODR_POK08_21" hidden="1">[15]XLR_NoRangeSheet!$M$19</definedName>
    <definedName name="SVODR_POK08_22" hidden="1">[15]XLR_NoRangeSheet!$N$19</definedName>
    <definedName name="SVODR_POK08_23" hidden="1">[15]XLR_NoRangeSheet!$O$19</definedName>
    <definedName name="SVODR_POK08_24" hidden="1">[15]XLR_NoRangeSheet!$P$19</definedName>
    <definedName name="SVODR_POK08_25" hidden="1">[15]XLR_NoRangeSheet!$Q$19</definedName>
    <definedName name="SVODR_POK08_26" hidden="1">[15]XLR_NoRangeSheet!$R$19</definedName>
    <definedName name="SVODR_POK08_27" hidden="1">[15]XLR_NoRangeSheet!$S$19</definedName>
    <definedName name="SVODR_POK08_28" hidden="1">[15]XLR_NoRangeSheet!$T$19</definedName>
    <definedName name="SVODR_POK08_29" hidden="1">[15]XLR_NoRangeSheet!$U$19</definedName>
    <definedName name="SVODR_POK08_3" hidden="1">[15]XLR_NoRangeSheet!$IJ$18</definedName>
    <definedName name="SVODR_POK08_30" hidden="1">[15]XLR_NoRangeSheet!$V$19</definedName>
    <definedName name="SVODR_POK08_31" hidden="1">[15]XLR_NoRangeSheet!$W$19</definedName>
    <definedName name="SVODR_POK08_32" hidden="1">[15]XLR_NoRangeSheet!$X$19</definedName>
    <definedName name="SVODR_POK08_33" hidden="1">[15]XLR_NoRangeSheet!$Y$19</definedName>
    <definedName name="SVODR_POK08_34" hidden="1">[15]XLR_NoRangeSheet!$Z$19</definedName>
    <definedName name="SVODR_POK08_4" hidden="1">[15]XLR_NoRangeSheet!$IK$18</definedName>
    <definedName name="SVODR_POK08_5" hidden="1">[15]XLR_NoRangeSheet!$IL$18</definedName>
    <definedName name="SVODR_POK08_6" hidden="1">[15]XLR_NoRangeSheet!$IM$18</definedName>
    <definedName name="SVODR_POK08_7" hidden="1">[15]XLR_NoRangeSheet!$IN$18</definedName>
    <definedName name="SVODR_POK08_8" hidden="1">[15]XLR_NoRangeSheet!$IO$18</definedName>
    <definedName name="SVODR_POK08_9" hidden="1">[15]XLR_NoRangeSheet!$IP$18</definedName>
    <definedName name="SVODR_POK09_1" hidden="1">[15]XLR_NoRangeSheet!$AA$19</definedName>
    <definedName name="SVODR_POK09_10" hidden="1">[15]XLR_NoRangeSheet!$AJ$19</definedName>
    <definedName name="SVODR_POK09_11" hidden="1">[15]XLR_NoRangeSheet!$AK$19</definedName>
    <definedName name="SVODR_POK09_12" hidden="1">[15]XLR_NoRangeSheet!$AL$19</definedName>
    <definedName name="SVODR_POK09_13" hidden="1">[15]XLR_NoRangeSheet!$AM$19</definedName>
    <definedName name="SVODR_POK09_14" hidden="1">[15]XLR_NoRangeSheet!$AN$19</definedName>
    <definedName name="SVODR_POK09_15" hidden="1">[15]XLR_NoRangeSheet!$AO$19</definedName>
    <definedName name="SVODR_POK09_16" hidden="1">[15]XLR_NoRangeSheet!$AP$19</definedName>
    <definedName name="SVODR_POK09_17" hidden="1">[15]XLR_NoRangeSheet!$AQ$19</definedName>
    <definedName name="SVODR_POK09_18" hidden="1">[15]XLR_NoRangeSheet!$AR$19</definedName>
    <definedName name="SVODR_POK09_19" hidden="1">[15]XLR_NoRangeSheet!$AS$19</definedName>
    <definedName name="SVODR_POK09_2" hidden="1">[15]XLR_NoRangeSheet!$AB$19</definedName>
    <definedName name="SVODR_POK09_20" hidden="1">[15]XLR_NoRangeSheet!$AT$19</definedName>
    <definedName name="SVODR_POK09_21" hidden="1">[15]XLR_NoRangeSheet!$AU$19</definedName>
    <definedName name="SVODR_POK09_22" hidden="1">[15]XLR_NoRangeSheet!$AV$19</definedName>
    <definedName name="SVODR_POK09_23" hidden="1">[15]XLR_NoRangeSheet!$AW$19</definedName>
    <definedName name="SVODR_POK09_24" hidden="1">[15]XLR_NoRangeSheet!$AX$19</definedName>
    <definedName name="SVODR_POK09_25" hidden="1">[15]XLR_NoRangeSheet!$AY$19</definedName>
    <definedName name="SVODR_POK09_26" hidden="1">[15]XLR_NoRangeSheet!$AZ$19</definedName>
    <definedName name="SVODR_POK09_27" hidden="1">[15]XLR_NoRangeSheet!$BA$19</definedName>
    <definedName name="SVODR_POK09_28" hidden="1">[15]XLR_NoRangeSheet!$BB$19</definedName>
    <definedName name="SVODR_POK09_29" hidden="1">[15]XLR_NoRangeSheet!$BC$19</definedName>
    <definedName name="SVODR_POK09_3" hidden="1">[15]XLR_NoRangeSheet!$AC$19</definedName>
    <definedName name="SVODR_POK09_30" hidden="1">[15]XLR_NoRangeSheet!$BD$19</definedName>
    <definedName name="SVODR_POK09_31" hidden="1">[15]XLR_NoRangeSheet!$BE$19</definedName>
    <definedName name="SVODR_POK09_32" hidden="1">[15]XLR_NoRangeSheet!$BF$19</definedName>
    <definedName name="SVODR_POK09_33" hidden="1">[15]XLR_NoRangeSheet!$BG$19</definedName>
    <definedName name="SVODR_POK09_34" hidden="1">[15]XLR_NoRangeSheet!$BH$19</definedName>
    <definedName name="SVODR_POK09_4" hidden="1">[15]XLR_NoRangeSheet!$AD$19</definedName>
    <definedName name="SVODR_POK09_5" hidden="1">[15]XLR_NoRangeSheet!$AE$19</definedName>
    <definedName name="SVODR_POK09_6" hidden="1">[15]XLR_NoRangeSheet!$AF$19</definedName>
    <definedName name="SVODR_POK09_7" hidden="1">[15]XLR_NoRangeSheet!$AG$19</definedName>
    <definedName name="SVODR_POK09_8" hidden="1">[15]XLR_NoRangeSheet!$AH$19</definedName>
    <definedName name="SVODR_POK09_9" hidden="1">[15]XLR_NoRangeSheet!$AI$19</definedName>
    <definedName name="SVODR_POK10_1" hidden="1">[15]XLR_NoRangeSheet!$BI$19</definedName>
    <definedName name="SVODR_POK10_10" hidden="1">[15]XLR_NoRangeSheet!$BR$19</definedName>
    <definedName name="SVODR_POK10_11" hidden="1">[15]XLR_NoRangeSheet!$BS$19</definedName>
    <definedName name="SVODR_POK10_12" hidden="1">[15]XLR_NoRangeSheet!$BT$19</definedName>
    <definedName name="SVODR_POK10_13" hidden="1">[15]XLR_NoRangeSheet!$BU$19</definedName>
    <definedName name="SVODR_POK10_14" hidden="1">[15]XLR_NoRangeSheet!$BV$19</definedName>
    <definedName name="SVODR_POK10_15" hidden="1">[15]XLR_NoRangeSheet!$BW$19</definedName>
    <definedName name="SVODR_POK10_16" hidden="1">[15]XLR_NoRangeSheet!$BX$19</definedName>
    <definedName name="SVODR_POK10_17" hidden="1">[15]XLR_NoRangeSheet!$BY$19</definedName>
    <definedName name="SVODR_POK10_18" hidden="1">[15]XLR_NoRangeSheet!$BZ$19</definedName>
    <definedName name="SVODR_POK10_19" hidden="1">[15]XLR_NoRangeSheet!$CA$19</definedName>
    <definedName name="SVODR_POK10_2" hidden="1">[15]XLR_NoRangeSheet!$BJ$19</definedName>
    <definedName name="SVODR_POK10_20" hidden="1">[15]XLR_NoRangeSheet!$CB$19</definedName>
    <definedName name="SVODR_POK10_21" hidden="1">[15]XLR_NoRangeSheet!$CC$19</definedName>
    <definedName name="SVODR_POK10_22" hidden="1">[15]XLR_NoRangeSheet!$CD$19</definedName>
    <definedName name="SVODR_POK10_23" hidden="1">[15]XLR_NoRangeSheet!$CE$19</definedName>
    <definedName name="SVODR_POK10_24" hidden="1">[15]XLR_NoRangeSheet!$CF$19</definedName>
    <definedName name="SVODR_POK10_25" hidden="1">[15]XLR_NoRangeSheet!$CG$19</definedName>
    <definedName name="SVODR_POK10_26" hidden="1">[15]XLR_NoRangeSheet!$CH$19</definedName>
    <definedName name="SVODR_POK10_27" hidden="1">[15]XLR_NoRangeSheet!$CI$19</definedName>
    <definedName name="SVODR_POK10_28" hidden="1">[15]XLR_NoRangeSheet!$CJ$19</definedName>
    <definedName name="SVODR_POK10_29" hidden="1">[15]XLR_NoRangeSheet!$CK$19</definedName>
    <definedName name="SVODR_POK10_3" hidden="1">[15]XLR_NoRangeSheet!$BK$19</definedName>
    <definedName name="SVODR_POK10_30" hidden="1">[15]XLR_NoRangeSheet!$CL$19</definedName>
    <definedName name="SVODR_POK10_31" hidden="1">[15]XLR_NoRangeSheet!$CM$19</definedName>
    <definedName name="SVODR_POK10_32" hidden="1">[15]XLR_NoRangeSheet!$CN$19</definedName>
    <definedName name="SVODR_POK10_33" hidden="1">[15]XLR_NoRangeSheet!$CO$19</definedName>
    <definedName name="SVODR_POK10_34" hidden="1">[15]XLR_NoRangeSheet!$CP$19</definedName>
    <definedName name="SVODR_POK10_4" hidden="1">[15]XLR_NoRangeSheet!$BL$19</definedName>
    <definedName name="SVODR_POK10_5" hidden="1">[15]XLR_NoRangeSheet!$BM$19</definedName>
    <definedName name="SVODR_POK10_6" hidden="1">[15]XLR_NoRangeSheet!$BN$19</definedName>
    <definedName name="SVODR_POK10_7" hidden="1">[15]XLR_NoRangeSheet!$BO$19</definedName>
    <definedName name="SVODR_POK10_8" hidden="1">[15]XLR_NoRangeSheet!$BP$19</definedName>
    <definedName name="SVODR_POK10_9" hidden="1">[15]XLR_NoRangeSheet!$BQ$19</definedName>
    <definedName name="SVODR_POK11_1" hidden="1">[15]XLR_NoRangeSheet!$CQ$19</definedName>
    <definedName name="SVODR_POK11_10" hidden="1">[15]XLR_NoRangeSheet!$CZ$19</definedName>
    <definedName name="SVODR_POK11_11" hidden="1">[15]XLR_NoRangeSheet!$DA$19</definedName>
    <definedName name="SVODR_POK11_12" hidden="1">[15]XLR_NoRangeSheet!$DB$19</definedName>
    <definedName name="SVODR_POK11_13" hidden="1">[15]XLR_NoRangeSheet!$DC$19</definedName>
    <definedName name="SVODR_POK11_14" hidden="1">[15]XLR_NoRangeSheet!$DD$19</definedName>
    <definedName name="SVODR_POK11_15" hidden="1">[15]XLR_NoRangeSheet!$DE$19</definedName>
    <definedName name="SVODR_POK11_16" hidden="1">[15]XLR_NoRangeSheet!$DF$19</definedName>
    <definedName name="SVODR_POK11_17" hidden="1">[15]XLR_NoRangeSheet!$DG$19</definedName>
    <definedName name="SVODR_POK11_18" hidden="1">[15]XLR_NoRangeSheet!$DH$19</definedName>
    <definedName name="SVODR_POK11_19" hidden="1">[15]XLR_NoRangeSheet!$DI$19</definedName>
    <definedName name="SVODR_POK11_2" hidden="1">[15]XLR_NoRangeSheet!$CR$19</definedName>
    <definedName name="SVODR_POK11_20" hidden="1">[15]XLR_NoRangeSheet!$DJ$19</definedName>
    <definedName name="SVODR_POK11_21" hidden="1">[15]XLR_NoRangeSheet!$DK$19</definedName>
    <definedName name="SVODR_POK11_22" hidden="1">[15]XLR_NoRangeSheet!$DL$19</definedName>
    <definedName name="SVODR_POK11_23" hidden="1">[15]XLR_NoRangeSheet!$DM$19</definedName>
    <definedName name="SVODR_POK11_24" hidden="1">[15]XLR_NoRangeSheet!$DN$19</definedName>
    <definedName name="SVODR_POK11_25" hidden="1">[15]XLR_NoRangeSheet!$DO$19</definedName>
    <definedName name="SVODR_POK11_26" hidden="1">[15]XLR_NoRangeSheet!$DP$19</definedName>
    <definedName name="SVODR_POK11_27" hidden="1">[15]XLR_NoRangeSheet!$DQ$19</definedName>
    <definedName name="SVODR_POK11_28" hidden="1">[15]XLR_NoRangeSheet!$DR$19</definedName>
    <definedName name="SVODR_POK11_29" hidden="1">[15]XLR_NoRangeSheet!$DS$19</definedName>
    <definedName name="SVODR_POK11_3" hidden="1">[15]XLR_NoRangeSheet!$CS$19</definedName>
    <definedName name="SVODR_POK11_30" hidden="1">[15]XLR_NoRangeSheet!$DT$19</definedName>
    <definedName name="SVODR_POK11_31" hidden="1">[15]XLR_NoRangeSheet!$DU$19</definedName>
    <definedName name="SVODR_POK11_32" hidden="1">[15]XLR_NoRangeSheet!$DV$19</definedName>
    <definedName name="SVODR_POK11_33" hidden="1">[15]XLR_NoRangeSheet!$DW$19</definedName>
    <definedName name="SVODR_POK11_34" hidden="1">[15]XLR_NoRangeSheet!$DX$19</definedName>
    <definedName name="SVODR_POK11_4" hidden="1">[15]XLR_NoRangeSheet!$CT$19</definedName>
    <definedName name="SVODR_POK11_5" hidden="1">[15]XLR_NoRangeSheet!$CU$19</definedName>
    <definedName name="SVODR_POK11_6" hidden="1">[15]XLR_NoRangeSheet!$CV$19</definedName>
    <definedName name="SVODR_POK11_7" hidden="1">[15]XLR_NoRangeSheet!$CW$19</definedName>
    <definedName name="SVODR_POK11_8" hidden="1">[15]XLR_NoRangeSheet!$CX$19</definedName>
    <definedName name="SVODR_POK11_9" hidden="1">[15]XLR_NoRangeSheet!$CY$19</definedName>
    <definedName name="SVODR_POK12_1" hidden="1">[15]XLR_NoRangeSheet!$DY$19</definedName>
    <definedName name="SVODR_POK12_10" hidden="1">[15]XLR_NoRangeSheet!$EH$19</definedName>
    <definedName name="SVODR_POK12_11" hidden="1">[15]XLR_NoRangeSheet!$EI$19</definedName>
    <definedName name="SVODR_POK12_12" hidden="1">[15]XLR_NoRangeSheet!$EJ$19</definedName>
    <definedName name="SVODR_POK12_13" hidden="1">[15]XLR_NoRangeSheet!$EK$19</definedName>
    <definedName name="SVODR_POK12_14" hidden="1">[15]XLR_NoRangeSheet!$EL$19</definedName>
    <definedName name="SVODR_POK12_15" hidden="1">[15]XLR_NoRangeSheet!$EM$19</definedName>
    <definedName name="SVODR_POK12_16" hidden="1">[15]XLR_NoRangeSheet!$EN$19</definedName>
    <definedName name="SVODR_POK12_17" hidden="1">[15]XLR_NoRangeSheet!$EO$19</definedName>
    <definedName name="SVODR_POK12_18" hidden="1">[15]XLR_NoRangeSheet!$EP$19</definedName>
    <definedName name="SVODR_POK12_19" hidden="1">[15]XLR_NoRangeSheet!$EQ$19</definedName>
    <definedName name="SVODR_POK12_2" hidden="1">[15]XLR_NoRangeSheet!$DZ$19</definedName>
    <definedName name="SVODR_POK12_20" hidden="1">[15]XLR_NoRangeSheet!$ER$19</definedName>
    <definedName name="SVODR_POK12_21" hidden="1">[15]XLR_NoRangeSheet!$ES$19</definedName>
    <definedName name="SVODR_POK12_22" hidden="1">[15]XLR_NoRangeSheet!$ET$19</definedName>
    <definedName name="SVODR_POK12_23" hidden="1">[15]XLR_NoRangeSheet!$EU$19</definedName>
    <definedName name="SVODR_POK12_24" hidden="1">[15]XLR_NoRangeSheet!$EV$19</definedName>
    <definedName name="SVODR_POK12_25" hidden="1">[15]XLR_NoRangeSheet!$EW$19</definedName>
    <definedName name="SVODR_POK12_26" hidden="1">[15]XLR_NoRangeSheet!$EX$19</definedName>
    <definedName name="SVODR_POK12_27" hidden="1">[15]XLR_NoRangeSheet!$EY$19</definedName>
    <definedName name="SVODR_POK12_28" hidden="1">[15]XLR_NoRangeSheet!$EZ$19</definedName>
    <definedName name="SVODR_POK12_29" hidden="1">[15]XLR_NoRangeSheet!$FA$19</definedName>
    <definedName name="SVODR_POK12_3" hidden="1">[15]XLR_NoRangeSheet!$EA$19</definedName>
    <definedName name="SVODR_POK12_30" hidden="1">[15]XLR_NoRangeSheet!$FB$19</definedName>
    <definedName name="SVODR_POK12_31" hidden="1">[15]XLR_NoRangeSheet!$FC$19</definedName>
    <definedName name="SVODR_POK12_32" hidden="1">[15]XLR_NoRangeSheet!$FD$19</definedName>
    <definedName name="SVODR_POK12_33" hidden="1">[15]XLR_NoRangeSheet!$FE$19</definedName>
    <definedName name="SVODR_POK12_34" hidden="1">[15]XLR_NoRangeSheet!$FF$19</definedName>
    <definedName name="SVODR_POK12_4" hidden="1">[15]XLR_NoRangeSheet!$EB$19</definedName>
    <definedName name="SVODR_POK12_5" hidden="1">[15]XLR_NoRangeSheet!$EC$19</definedName>
    <definedName name="SVODR_POK12_6" hidden="1">[15]XLR_NoRangeSheet!$ED$19</definedName>
    <definedName name="SVODR_POK12_7" hidden="1">[15]XLR_NoRangeSheet!$EE$19</definedName>
    <definedName name="SVODR_POK12_8" hidden="1">[15]XLR_NoRangeSheet!$EF$19</definedName>
    <definedName name="SVODR_POK12_9" hidden="1">[15]XLR_NoRangeSheet!$EG$19</definedName>
    <definedName name="SVODR_POK13_1" hidden="1">[15]XLR_NoRangeSheet!$FG$19</definedName>
    <definedName name="SVODR_POK13_10" hidden="1">[15]XLR_NoRangeSheet!$FP$19</definedName>
    <definedName name="SVODR_POK13_11" hidden="1">[15]XLR_NoRangeSheet!$FQ$19</definedName>
    <definedName name="SVODR_POK13_12" hidden="1">[15]XLR_NoRangeSheet!$FR$19</definedName>
    <definedName name="SVODR_POK13_13" hidden="1">[15]XLR_NoRangeSheet!$FS$19</definedName>
    <definedName name="SVODR_POK13_14" hidden="1">[15]XLR_NoRangeSheet!$FT$19</definedName>
    <definedName name="SVODR_POK13_15" hidden="1">[15]XLR_NoRangeSheet!$FU$19</definedName>
    <definedName name="SVODR_POK13_16" hidden="1">[15]XLR_NoRangeSheet!$FV$19</definedName>
    <definedName name="SVODR_POK13_17" hidden="1">[15]XLR_NoRangeSheet!$FW$19</definedName>
    <definedName name="SVODR_POK13_18" hidden="1">[15]XLR_NoRangeSheet!$FX$19</definedName>
    <definedName name="SVODR_POK13_19" hidden="1">[15]XLR_NoRangeSheet!$FY$19</definedName>
    <definedName name="SVODR_POK13_2" hidden="1">[15]XLR_NoRangeSheet!$FH$19</definedName>
    <definedName name="SVODR_POK13_20" hidden="1">[15]XLR_NoRangeSheet!$FZ$19</definedName>
    <definedName name="SVODR_POK13_21" hidden="1">[15]XLR_NoRangeSheet!$GA$19</definedName>
    <definedName name="SVODR_POK13_22" hidden="1">[15]XLR_NoRangeSheet!$GB$19</definedName>
    <definedName name="SVODR_POK13_23" hidden="1">[15]XLR_NoRangeSheet!$GC$19</definedName>
    <definedName name="SVODR_POK13_24" hidden="1">[15]XLR_NoRangeSheet!$GD$19</definedName>
    <definedName name="SVODR_POK13_25" hidden="1">[15]XLR_NoRangeSheet!$GE$19</definedName>
    <definedName name="SVODR_POK13_26" hidden="1">[15]XLR_NoRangeSheet!$GF$19</definedName>
    <definedName name="SVODR_POK13_27" hidden="1">[15]XLR_NoRangeSheet!$GG$19</definedName>
    <definedName name="SVODR_POK13_28" hidden="1">[15]XLR_NoRangeSheet!$GH$19</definedName>
    <definedName name="SVODR_POK13_29" hidden="1">[15]XLR_NoRangeSheet!$GI$19</definedName>
    <definedName name="SVODR_POK13_3" hidden="1">[15]XLR_NoRangeSheet!$FI$19</definedName>
    <definedName name="SVODR_POK13_30" hidden="1">[15]XLR_NoRangeSheet!$GJ$19</definedName>
    <definedName name="SVODR_POK13_31" hidden="1">[15]XLR_NoRangeSheet!$GK$19</definedName>
    <definedName name="SVODR_POK13_32" hidden="1">[15]XLR_NoRangeSheet!$GL$19</definedName>
    <definedName name="SVODR_POK13_33" hidden="1">[15]XLR_NoRangeSheet!$GM$19</definedName>
    <definedName name="SVODR_POK13_34" hidden="1">[15]XLR_NoRangeSheet!$GN$19</definedName>
    <definedName name="SVODR_POK13_4" hidden="1">[15]XLR_NoRangeSheet!$FJ$19</definedName>
    <definedName name="SVODR_POK13_5" hidden="1">[15]XLR_NoRangeSheet!$FK$19</definedName>
    <definedName name="SVODR_POK13_6" hidden="1">[15]XLR_NoRangeSheet!$FL$19</definedName>
    <definedName name="SVODR_POK13_7" hidden="1">[15]XLR_NoRangeSheet!$FM$19</definedName>
    <definedName name="SVODR_POK13_8" hidden="1">[15]XLR_NoRangeSheet!$FN$19</definedName>
    <definedName name="SVODR_POK13_9" hidden="1">[15]XLR_NoRangeSheet!$FO$19</definedName>
    <definedName name="SVODV_POK03_15" hidden="1">[31]XLR_NoRangeSheet!$CX$9</definedName>
    <definedName name="SVODV_POK03_16" hidden="1">[31]XLR_NoRangeSheet!$CY$9</definedName>
    <definedName name="SVODV_POK03_17" hidden="1">[31]XLR_NoRangeSheet!$CZ$9</definedName>
    <definedName name="SVODV_POK03_18" hidden="1">[31]XLR_NoRangeSheet!$DA$9</definedName>
    <definedName name="SVODV_POK03_19" hidden="1">[31]XLR_NoRangeSheet!$DB$9</definedName>
    <definedName name="SVODV_POK03_20" hidden="1">[31]XLR_NoRangeSheet!$DC$9</definedName>
    <definedName name="SVODV_POK03_21" hidden="1">[31]XLR_NoRangeSheet!$DD$9</definedName>
    <definedName name="SVODV_POK03_22" hidden="1">[31]XLR_NoRangeSheet!$DE$9</definedName>
    <definedName name="SVODV_POK04_15" hidden="1">[31]XLR_NoRangeSheet!$EN$9</definedName>
    <definedName name="SVODV_POK04_16" hidden="1">[31]XLR_NoRangeSheet!$EO$9</definedName>
    <definedName name="SVODV_POK04_17" hidden="1">[31]XLR_NoRangeSheet!$EP$9</definedName>
    <definedName name="SVODV_POK04_18" hidden="1">[31]XLR_NoRangeSheet!$EQ$9</definedName>
    <definedName name="SVODV_POK04_19" hidden="1">[31]XLR_NoRangeSheet!$ER$9</definedName>
    <definedName name="SVODV_POK04_20" hidden="1">[31]XLR_NoRangeSheet!$ES$9</definedName>
    <definedName name="SVODV_POK04_21" hidden="1">[31]XLR_NoRangeSheet!$ET$9</definedName>
    <definedName name="SVODV_POK04_22" hidden="1">[31]XLR_NoRangeSheet!$EU$9</definedName>
    <definedName name="SVODV_POK05_15" hidden="1">[31]XLR_NoRangeSheet!$GD$9</definedName>
    <definedName name="SVODV_POK05_16" hidden="1">[31]XLR_NoRangeSheet!$GE$9</definedName>
    <definedName name="SVODV_POK05_17" hidden="1">[31]XLR_NoRangeSheet!$GF$9</definedName>
    <definedName name="SVODV_POK05_18" hidden="1">[31]XLR_NoRangeSheet!$GG$9</definedName>
    <definedName name="SVODV_POK05_19" hidden="1">[31]XLR_NoRangeSheet!$GH$9</definedName>
    <definedName name="SVODV_POK05_20" hidden="1">[31]XLR_NoRangeSheet!$GI$9</definedName>
    <definedName name="SVODV_POK05_21" hidden="1">[31]XLR_NoRangeSheet!$GJ$9</definedName>
    <definedName name="SVODV_POK05_22" hidden="1">[31]XLR_NoRangeSheet!$GK$9</definedName>
    <definedName name="Swvu.Для._.И.М.." hidden="1">[5]кредпортф!#REF!</definedName>
    <definedName name="TextRefCopyRangeCount" hidden="1">16</definedName>
    <definedName name="tmp" hidden="1">{#N/A,#N/A,FALSE,"NBU rates 1999"}</definedName>
    <definedName name="TradefinanceDocumentaryoperations" hidden="1">[4]Matrix!#REF!</definedName>
    <definedName name="TURN" hidden="1">#REF!</definedName>
    <definedName name="uu" hidden="1">{#N/A,#N/A,TRUE,"Engineering Dept";#N/A,#N/A,TRUE,"Sales Dept";#N/A,#N/A,TRUE,"Marketing Dept";#N/A,#N/A,TRUE,"Admin Dept"}</definedName>
    <definedName name="v" hidden="1">[4]Matrix!#REF!</definedName>
    <definedName name="wert" hidden="1">{#N/A,#N/A,FALSE,"Sheet1"}</definedName>
    <definedName name="wertw" hidden="1">{"'CVB-Zinssatz Akt'!$A$2:$M$10","'CVB Ist'!$C$35:$O$37"}</definedName>
    <definedName name="wqwe" hidden="1">{"'CVB-Zinssatz Akt'!$A$2:$M$10","'CVB Ist'!$C$35:$O$37"}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ug" hidden="1">{"det (May)",#N/A,FALSE,"June";"sum (MAY YTD)",#N/A,FALSE,"June YTD"}</definedName>
    <definedName name="wrn.augyt" hidden="1">{"det (May)",#N/A,FALSE,"June";"sum (MAY YTD)",#N/A,FALSE,"June YTD"}</definedName>
    <definedName name="wrn.augYTD" hidden="1">{"det (May)",#N/A,FALSE,"June";"sum (MAY YTD)",#N/A,FALSE,"June YTD"}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ision._.Criteria._.Profile." hidden="1">{#N/A,#N/A,FALSE,"Database"}</definedName>
    <definedName name="wrn.Departmentals." hidden="1">{#N/A,#N/A,TRUE,"Engineering Dept";#N/A,#N/A,TRUE,"Sales Dept";#N/A,#N/A,TRUE,"Marketing Dept";#N/A,#N/A,TRUE,"Admin Dept"}</definedName>
    <definedName name="wrn.Departments." hidden="1">{#N/A,#N/A,FALSE,"Engineering Dept";#N/A,#N/A,FALSE,"Sales Dept";#N/A,#N/A,FALSE,"Marketing Dept";#N/A,#N/A,FALSE,"Admin Dept";#N/A,#N/A,FALSE,"Total Operating Expenses"}</definedName>
    <definedName name="wrn.ex." hidden="1">{#N/A,#N/A,FALSE,"NBU rates 1999"}</definedName>
    <definedName name="wrn.Extended.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Financials." hidden="1">{#N/A,#N/A,TRUE,"Balance Sheet";#N/A,#N/A,TRUE,"Income Statement";#N/A,#N/A,TRUE,"Statement of Cash Flows";#N/A,#N/A,TRUE,"Key Indicators"}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une." hidden="1">{"det (May)",#N/A,FALSE,"June";"sum (MAY YTD)",#N/A,FALSE,"June YTD"}</definedName>
    <definedName name="wrn.ManagementInfo." hidden="1">{"Cover",#N/A,FALSE,"Cover";#N/A,#N/A,FALSE,"Kommentar";"GuV1",#N/A,FALSE,"Eingabe_Daten_GuV_Sonstiges";"Kennzahlen",#N/A,FALSE,"Eingabe_Daten_GuV_Sonstiges";"Eckdaten1",#N/A,FALSE,"Eckdaten_Versand"}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Original.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PL._.Report." hidden="1">{"Page1",#N/A,TRUE,"P&amp;LREP";"PAge 2",#N/A,TRUE,"P&amp;LREP";"Page3",#N/A,TRUE,"P&amp;LREP";"Page4",#N/A,TRUE,"P&amp;LREP"}</definedName>
    <definedName name="wrn.Presentační._.sestava." hidden="1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ISIFE40." hidden="1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wrn.Tab02." hidden="1">{#N/A,#N/A,TRUE,"Tab0201";#N/A,#N/A,TRUE,"Tab0202";#N/A,#N/A,TRUE,"Tab0203"}</definedName>
    <definedName name="wrn.tab05." hidden="1">{#N/A,#N/A,FALSE,"Tab0501";#N/A,#N/A,FALSE,"Tab0502";#N/A,#N/A,FALSE,"Tab0503";#N/A,#N/A,FALSE,"Tab0504";#N/A,#N/A,FALSE,"Tab0505"}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БЕЛЕБЕЕВСКИЙ._.МОЛОЧНЫЙ._.КОМБИНАТ." hidden="1">{#N/A,#N/A,TRUE,"Лист1"}</definedName>
    <definedName name="wrn.вввв." hidden="1">{#N/A,#N/A,TRUE,"Торги"}</definedName>
    <definedName name="wrn.Исполнение._.сметы._.затрат." hidden="1">{#N/A,#N/A,FALSE,"Лист15"}</definedName>
    <definedName name="wrn.Исполнение._.смкты._.затарат." hidden="1">{#N/A,#N/A,FALSE,"Лист15"}</definedName>
    <definedName name="wrn.Расходы._.неуменьшающие._.базу._.налога._.на._.прибыль._.в._.1997." hidden="1">{#N/A,#N/A,FALSE,"Sheet1"}</definedName>
    <definedName name="wrn.Расчет._.налога._.на._.прибыль._.1997." hidden="1">{#N/A,#N/A,FALSE,"Sheet1"}</definedName>
    <definedName name="wrn1.aug" hidden="1">{"det (May)",#N/A,FALSE,"June";"sum (MAY YTD)",#N/A,FALSE,"June YTD"}</definedName>
    <definedName name="wrn1.augtyd" hidden="1">{"det (May)",#N/A,FALSE,"June";"sum (MAY YTD)",#N/A,FALSE,"June YTD"}</definedName>
    <definedName name="wrn1.augyt" hidden="1">{"det (May)",#N/A,FALSE,"June";"sum (MAY YTD)",#N/A,FALSE,"June YTD"}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hidden="1">{"det (May)",#N/A,FALSE,"June";"sum (MAY YTD)",#N/A,FALSE,"June YTD"}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hidden="1">{"det (May)",#N/A,FALSE,"June";"sum (MAY YTD)",#N/A,FALSE,"June YTD"}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Для._.И.М.." hidden="1">{TRUE,TRUE,-2,-15.8,483.6,261,FALSE,TRUE,TRUE,TRUE,0,1,#N/A,2,#N/A,30.9152542372881,5.08695652173913,1,FALSE,FALSE,3,TRUE,1,FALSE,100,"Swvu.Для._.И.М..","ACwvu.Для._.И.М..",#N/A,FALSE,FALSE,0.196850393700787,0.196850393700787,0.47244094488189,0.47244094488189,2,"&amp;CКредитный портфель по состоянию на 01.06.99г.","Страница &amp;P из &amp;N",TRUE,FALSE,FALSE,FALSE,1,67,#N/A,#N/A,FALSE,"=C21,R1:R3","Rwvu.Для._.И.М..",#N/A,FALSE,FALSE,TRUE,9,300,300,FALSE,FALSE,TRUE,TRUE,TRUE}</definedName>
    <definedName name="wvu.Ревизорам." hidden="1">{TRUE,TRUE,-2,-15.8,483.6,261,FALSE,TRUE,TRUE,TRUE,0,1,#N/A,1,#N/A,29.8133333333333,5.58139534883721,1,FALSE,FALSE,3,TRUE,1,FALSE,100,"Swvu.Ревизорам.","ACwvu.Ревизорам.",#N/A,FALSE,FALSE,0.196850393700787,0.196850393700787,0.47244094488189,0.47244094488189,2,"&amp;CКредитный портфель по состоянию на 01.06.99г.","Страница &amp;P из &amp;N",TRUE,FALSE,FALSE,FALSE,1,#N/A,1,30,FALSE,"=C21,R1:R3","Rwvu.Ревизорам.",#N/A,FALSE,FALSE,FALSE,9,300,300,FALSE,FALSE,TRUE,TRUE,TRUE}</definedName>
    <definedName name="xcz" hidden="1">{#N/A,#N/A,FALSE,"Лист15"}</definedName>
    <definedName name="XLR_VERSION" hidden="1">[32]G2TempSheet!$A$1</definedName>
    <definedName name="xx" hidden="1">{"'CVB-Zinssatz Akt'!$A$2:$M$10","'CVB Ist'!$C$35:$O$37"}</definedName>
    <definedName name="xxx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x" hidden="1">{"det (May)",#N/A,FALSE,"June";"sum (MAY YTD)",#N/A,FALSE,"June YTD"}</definedName>
    <definedName name="xxxxx" hidden="1">{"'CVB-Zinssatz Akt'!$A$2:$M$10","'CVB Ist'!$C$35:$O$37"}</definedName>
    <definedName name="xxxyyy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y" hidden="1">{"'CVB-Zinssatz Akt'!$A$2:$M$10","'CVB Ist'!$C$35:$O$37"}</definedName>
    <definedName name="yukutgij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R</definedName>
    <definedName name="z" hidden="1">[4]Matrix!#REF!</definedName>
    <definedName name="Z_1798C8BD_0941_11D4_9117_00A024280731_.wvu.PrintTitles" hidden="1">[5]кредпортф!$U:$U,[5]кредпортф!$1:$4</definedName>
    <definedName name="Z_1798C8BE_0941_11D4_9117_00A024280731_.wvu.PrintTitles" hidden="1">[5]кредпортф!$U:$U,[5]кредпортф!$1:$4</definedName>
    <definedName name="Z_2BB3C4A3_BDDD_11D3_8A48_0020AF27A350_.wvu.Cols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Z_2BB3C4A3_BDDD_11D3_8A48_0020AF27A350_.wvu.PrintTitles" hidden="1">[5]кредпортф!$T:$T,[5]кредпортф!$1:$4</definedName>
    <definedName name="Z_2BB3C4A4_BDDD_11D3_8A48_0020AF27A350_.wvu.Cols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Z_2BB3C4A4_BDDD_11D3_8A48_0020AF27A350_.wvu.PrintTitles" hidden="1">[5]кредпортф!$T:$T,[5]кредпортф!$1:$4</definedName>
    <definedName name="Z_329EC840_A187_11D3_9A0A_080009EBAE0C_.wvu.Cols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R</definedName>
    <definedName name="Z_329EC840_A187_11D3_9A0A_080009EBAE0C_.wvu.PrintTitles" hidden="1">[5]кредпортф!$T:$T,[5]кредпортф!$1:$4</definedName>
    <definedName name="Z_441145D4_016E_11D4_8468_00A024EB33FF_.wvu.PrintTitles" hidden="1">[5]кредпортф!$T:$T,[5]кредпортф!$1:$4</definedName>
    <definedName name="Z_441145D5_016E_11D4_8468_00A024EB33FF_.wvu.PrintTitles" hidden="1">[5]кредпортф!$T:$T,[5]кредпортф!$1:$4</definedName>
    <definedName name="Z_441145DC_016E_11D4_8468_00A024EB33FF_.wvu.PrintTitles" hidden="1">[5]кредпортф!$T:$T,[5]кредпортф!$1:$4</definedName>
    <definedName name="Z_441145DD_016E_11D4_8468_00A024EB33FF_.wvu.PrintTitles" hidden="1">[5]кредпортф!$T:$T,[5]кредпортф!$1:$4</definedName>
    <definedName name="Z_441145E4_016E_11D4_8468_00A024EB33FF_.wvu.PrintTitles" hidden="1">[5]кредпортф!$T:$T,[5]кредпортф!$1:$4</definedName>
    <definedName name="Z_441145E5_016E_11D4_8468_00A024EB33FF_.wvu.PrintTitles" hidden="1">[5]кредпортф!$T:$T,[5]кредпортф!$1:$4</definedName>
    <definedName name="Z_441145E8_016E_11D4_8468_00A024EB33FF_.wvu.Cols" hidden="1">#REF!,#REF!,#REF!,#REF!,#REF!,#REF!,#REF!,#REF!,#REF!,#REF!,#REF!,#REF!</definedName>
    <definedName name="Z_441145E8_016E_11D4_8468_00A024EB33FF_.wvu.FilterData" hidden="1">#REF!</definedName>
    <definedName name="Z_441145E8_016E_11D4_8468_00A024EB33FF_.wvu.PrintArea" hidden="1">#REF!</definedName>
    <definedName name="Z_441145E8_016E_11D4_8468_00A024EB33FF_.wvu.PrintTitles" hidden="1">#REF!,#REF!</definedName>
    <definedName name="Z_573BFCAC_6504_11D3_9A0A_080009EBAE0C_.wvu.Cols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Z_573BFCAC_6504_11D3_9A0A_080009EBAE0C_.wvu.PrintTitles" hidden="1">[5]кредпортф!$T:$T,[5]кредпортф!$1:$4</definedName>
    <definedName name="Z_573BFCB6_6504_11D3_9A0A_080009EBAE0C_.wvu.Cols" hidden="1">[5]кредпортф!#REF!,[5]кредпортф!$E:$S,[5]кредпортф!$U:$AC,[5]кредпортф!$AE:$AM,[5]кредпортф!$AR:$BC,[5]кредпортф!$BE:$BE,[5]кредпортф!$BG:$BH,[5]кредпортф!$BJ:$BT</definedName>
    <definedName name="Z_573BFCB6_6504_11D3_9A0A_080009EBAE0C_.wvu.PrintTitles" hidden="1">[5]кредпортф!$T:$T,[5]кредпортф!$1:$4</definedName>
    <definedName name="Z_573BFCB7_6504_11D3_9A0A_080009EBAE0C_.wvu.Cols" hidden="1">[5]кредпортф!#REF!,[5]кредпортф!$E:$S,[5]кредпортф!$U:$AC,[5]кредпортф!$AE:$AM,[5]кредпортф!$AR:$BO</definedName>
    <definedName name="Z_573BFCB7_6504_11D3_9A0A_080009EBAE0C_.wvu.PrintTitles" hidden="1">[5]кредпортф!$T:$T,[5]кредпортф!$1:$4</definedName>
    <definedName name="Z_6AFBD099_4366_11D4_9117_00A024280731_.wvu.FilterData" hidden="1">#REF!</definedName>
    <definedName name="Z_6AFBD099_4366_11D4_9117_00A024280731_.wvu.PrintArea" hidden="1">#REF!</definedName>
    <definedName name="Z_6AFBD099_4366_11D4_9117_00A024280731_.wvu.PrintTitles" hidden="1">#REF!,#REF!</definedName>
    <definedName name="Z_6AFBD09D_4366_11D4_9117_00A024280731_.wvu.FilterData" hidden="1">#REF!</definedName>
    <definedName name="Z_6AFBD09D_4366_11D4_9117_00A024280731_.wvu.PrintArea" hidden="1">#REF!</definedName>
    <definedName name="Z_6AFBD09D_4366_11D4_9117_00A024280731_.wvu.PrintTitles" hidden="1">#REF!,#REF!</definedName>
    <definedName name="Z_71C50541_87A4_11D3_9A0A_080009EBAE0C_.wvu.Cols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R</definedName>
    <definedName name="Z_71C50541_87A4_11D3_9A0A_080009EBAE0C_.wvu.PrintTitles" hidden="1">[5]кредпортф!$T:$T,[5]кредпортф!$1:$4</definedName>
    <definedName name="Z_85B0ED75_B773_44FF_B36D_C46A7C8175E9_.wvu.PrintArea" hidden="1">#REF!</definedName>
    <definedName name="Z_85B0ED75_B773_44FF_B36D_C46A7C8175E9_.wvu.PrintTitles" hidden="1">#REF!</definedName>
    <definedName name="Z_895EB980_BDF5_11D3_8A48_0020AF27A350_.wvu.Cols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Z_895EB980_BDF5_11D3_8A48_0020AF27A350_.wvu.PrintTitles" hidden="1">[5]кредпортф!$T:$T,[5]кредпортф!$1:$4</definedName>
    <definedName name="Z_895EB981_BDF5_11D3_8A48_0020AF27A350_.wvu.Cols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Z_895EB981_BDF5_11D3_8A48_0020AF27A350_.wvu.PrintTitles" hidden="1">[5]кредпортф!$T:$T,[5]кредпортф!$1:$4</definedName>
    <definedName name="Z_8E64FCAB_04BD_11D4_8A4A_006097BB52B9_.wvu.PrintTitles" hidden="1">[5]кредпортф!$U:$U,[5]кредпортф!$1:$4</definedName>
    <definedName name="Z_8E64FCAC_04BD_11D4_8A4A_006097BB52B9_.wvu.PrintTitles" hidden="1">[5]кредпортф!$U:$U,[5]кредпортф!$1:$4</definedName>
    <definedName name="Z_94DA07B9_6149_11D3_9A0A_080009EBAE0C_.wvu.Cols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Z_94DA07B9_6149_11D3_9A0A_080009EBAE0C_.wvu.PrintTitles" hidden="1">[5]кредпортф!$T:$T,[5]кредпортф!$1:$4</definedName>
    <definedName name="Z_94DA07BC_6149_11D3_9A0A_080009EBAE0C_.wvu.Cols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Z_94DA07BC_6149_11D3_9A0A_080009EBAE0C_.wvu.PrintTitles" hidden="1">[5]кредпортф!$T:$T,[5]кредпортф!$1:$4</definedName>
    <definedName name="Z_97D7778C_048C_11D4_8468_00A024EB33FF_.wvu.PrintTitles" hidden="1">[5]кредпортф!$T:$T,[5]кредпортф!$1:$4</definedName>
    <definedName name="Z_97D7778D_048C_11D4_8468_00A024EB33FF_.wvu.PrintTitles" hidden="1">[5]кредпортф!$T:$T,[5]кредпортф!$1:$4</definedName>
    <definedName name="Z_9B021F13_0496_11D4_8A4A_006097BB52B9_.wvu.PrintTitles" hidden="1">[5]кредпортф!$T:$T,[5]кредпортф!$1:$4</definedName>
    <definedName name="Z_9B021F14_0496_11D4_8A4A_006097BB52B9_.wvu.PrintTitles" hidden="1">[5]кредпортф!$T:$T,[5]кредпортф!$1:$4</definedName>
    <definedName name="Z_9B021F6F_0496_11D4_8A4A_006097BB52B9_.wvu.PrintTitles" hidden="1">[5]кредпортф!$T:$T,[5]кредпортф!$1:$4</definedName>
    <definedName name="Z_9B021F70_0496_11D4_8A4A_006097BB52B9_.wvu.PrintTitles" hidden="1">[5]кредпортф!$T:$T,[5]кредпортф!$1:$4</definedName>
    <definedName name="Z_9C23E064_404E_11D3_9A0A_080009EBAE0C_.wvu.Cols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Z_9C23E064_404E_11D3_9A0A_080009EBAE0C_.wvu.PrintTitles" hidden="1">[5]кредпортф!$T:$T,[5]кредпортф!$1:$4</definedName>
    <definedName name="Z_9C23E067_404E_11D3_9A0A_080009EBAE0C_.wvu.Cols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Z_9C23E067_404E_11D3_9A0A_080009EBAE0C_.wvu.PrintTitles" hidden="1">[5]кредпортф!$T:$T,[5]кредпортф!$1:$4</definedName>
    <definedName name="Z_9FEBFC06_403A_11D3_9A0A_080009EBAE0C_.wvu.Cols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Z_9FEBFC06_403A_11D3_9A0A_080009EBAE0C_.wvu.PrintTitles" hidden="1">[5]кредпортф!$T:$T,[5]кредпортф!$1:$4</definedName>
    <definedName name="Z_9FEBFC09_403A_11D3_9A0A_080009EBAE0C_.wvu.Cols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Z_9FEBFC09_403A_11D3_9A0A_080009EBAE0C_.wvu.PrintTitles" hidden="1">[5]кредпортф!$T:$T,[5]кредпортф!$1:$4</definedName>
    <definedName name="Z_AAF8877A_429D_11D4_9117_00A024280731_.wvu.FilterData" hidden="1">#REF!</definedName>
    <definedName name="Z_AAF8877A_429D_11D4_9117_00A024280731_.wvu.PrintArea" hidden="1">#REF!</definedName>
    <definedName name="Z_AAF8877A_429D_11D4_9117_00A024280731_.wvu.PrintTitles" hidden="1">#REF!,#REF!</definedName>
    <definedName name="Z_AAF8877E_429D_11D4_9117_00A024280731_.wvu.FilterData" hidden="1">#REF!</definedName>
    <definedName name="Z_AAF8877E_429D_11D4_9117_00A024280731_.wvu.PrintArea" hidden="1">#REF!</definedName>
    <definedName name="Z_AAF8877E_429D_11D4_9117_00A024280731_.wvu.PrintTitles" hidden="1">#REF!,#REF!</definedName>
    <definedName name="Z_D3A71505_464F_11D3_8BF2_00A0C9C769DF_.wvu.Cols" hidden="1">#REF!,#REF!,#REF!,#REF!</definedName>
    <definedName name="Z_D3A71505_464F_11D3_8BF2_00A0C9C769DF_.wvu.FilterData" hidden="1">#REF!</definedName>
    <definedName name="Z_D3A71505_464F_11D3_8BF2_00A0C9C769DF_.wvu.Rows" hidden="1">#REF!</definedName>
    <definedName name="Z_D58FB965_0965_11D4_8A4A_006097BB52B9_.wvu.PrintTitles" hidden="1">[5]кредпортф!$U:$U,[5]кредпортф!$1:$4</definedName>
    <definedName name="Z_D58FB966_0965_11D4_8A4A_006097BB52B9_.wvu.PrintTitles" hidden="1">[5]кредпортф!$U:$U,[5]кредпортф!$1:$4</definedName>
    <definedName name="Z_ECC910B3_16A2_11D4_8468_00A024EB33FF_.wvu.Cols" hidden="1">#REF!,#REF!,#REF!,#REF!,#REF!,#REF!,#REF!,#REF!,#REF!,#REF!,#REF!</definedName>
    <definedName name="Z_ECC910B3_16A2_11D4_8468_00A024EB33FF_.wvu.FilterData" hidden="1">#REF!</definedName>
    <definedName name="Z_ECC910B3_16A2_11D4_8468_00A024EB33FF_.wvu.PrintArea" hidden="1">#REF!</definedName>
    <definedName name="Z_ECC910B3_16A2_11D4_8468_00A024EB33FF_.wvu.PrintTitles" hidden="1">#REF!,#REF!</definedName>
    <definedName name="zeljka" hidden="1">{"det (May)",#N/A,FALSE,"June";"sum (MAY YTD)",#N/A,FALSE,"June YTD"}</definedName>
    <definedName name="zeljka1" hidden="1">{"det (May)",#N/A,FALSE,"June";"sum (MAY YTD)",#N/A,FALSE,"June YTD"}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hidden="1">{"det (May)",#N/A,FALSE,"June";"sum (MAY YTD)",#N/A,FALSE,"June YTD"}</definedName>
    <definedName name="ZZ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ав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АВАТ" hidden="1">[6]Matrix!#REF!</definedName>
    <definedName name="аввы" hidden="1">#REF!</definedName>
    <definedName name="авп" hidden="1">#REF!</definedName>
    <definedName name="авпа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АВПУКЦН" hidden="1">#REF!</definedName>
    <definedName name="АКПАВ" hidden="1">#REF!</definedName>
    <definedName name="АКЫУКУ" hidden="1">#REF!,#REF!</definedName>
    <definedName name="ампп" hidden="1">[2]Assum!#REF!</definedName>
    <definedName name="ап" hidden="1">#REF!</definedName>
    <definedName name="апр" hidden="1">{#N/A,#N/A,FALSE,"Лист15"}</definedName>
    <definedName name="апрол" hidden="1">[2]Assum!#REF!</definedName>
    <definedName name="АПФУ" hidden="1">#REF!</definedName>
    <definedName name="ара" hidden="1">{#N/A,#N/A,FALSE,"Лист15"}</definedName>
    <definedName name="арпа" hidden="1">[33]Matrix!#REF!</definedName>
    <definedName name="АУВУЦАУЦ" hidden="1">#REF!</definedName>
    <definedName name="аукяыу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бвытавьбыт" hidden="1">[33]Matrix!#REF!</definedName>
    <definedName name="бори" hidden="1">{#N/A,#N/A,FALSE,"Лист15"}</definedName>
    <definedName name="бьвтабьы" hidden="1">[34]Matrix!#REF!</definedName>
    <definedName name="бьвыаьбвы" hidden="1">#REF!</definedName>
    <definedName name="бьтаыьбуица" hidden="1">#REF!</definedName>
    <definedName name="в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ВАФВПА" hidden="1">'[1]N oncustomer Template'!#REF!</definedName>
    <definedName name="ваыВА" hidden="1">'[1]N oncustomer Template'!#REF!</definedName>
    <definedName name="ВВАКУЦ" hidden="1">#REF!</definedName>
    <definedName name="вваыв" hidden="1">#REF!</definedName>
    <definedName name="ввв" hidden="1">#N/A</definedName>
    <definedName name="впв" hidden="1">#REF!</definedName>
    <definedName name="впвп" hidden="1">#REF!</definedName>
    <definedName name="вруке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выав" hidden="1">#REF!</definedName>
    <definedName name="ВЫАОБВФП" hidden="1">#REF!</definedName>
    <definedName name="выауа" hidden="1">#REF!</definedName>
    <definedName name="выраы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R</definedName>
    <definedName name="генегнг" hidden="1">#REF!</definedName>
    <definedName name="движение" hidden="1">{#N/A,#N/A,FALSE,"Лист15"}</definedName>
    <definedName name="ддд" hidden="1">{#N/A,#N/A,FALSE,"Лист15"}</definedName>
    <definedName name="дивиденды" hidden="1">[35]XLR_NoRangeSheet!$R$6</definedName>
    <definedName name="длл" hidden="1">{#N/A,#N/A,FALSE,"Лист15"}</definedName>
    <definedName name="для_МА" hidden="1">{TRUE,TRUE,-2,-15.8,483.6,261,FALSE,TRUE,TRUE,TRUE,0,1,#N/A,2,#N/A,30.9152542372881,5.08695652173913,1,FALSE,FALSE,3,TRUE,1,FALSE,100,"Swvu.Для._.И.М..","ACwvu.Для._.И.М..",#N/A,FALSE,FALSE,0.196850393700787,0.196850393700787,0.47244094488189,0.47244094488189,2,"&amp;CКредитный портфель по состоянию на 01.06.99г.","Страница &amp;P из &amp;N",TRUE,FALSE,FALSE,FALSE,1,67,#N/A,#N/A,FALSE,"=C21,R1:R3","Rwvu.Для._.И.М..",#N/A,FALSE,FALSE,TRUE,9,300,300,FALSE,FALSE,TRUE,TRUE,TRUE}</definedName>
    <definedName name="ДЩЛЬОРПАВ" hidden="1">#REF!</definedName>
    <definedName name="Е4ГФЕКЫ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еаквуы" hidden="1">#REF!</definedName>
    <definedName name="егурпыра" hidden="1">#REF!</definedName>
    <definedName name="еку" hidden="1">#REF!,#REF!</definedName>
    <definedName name="екуц" hidden="1">#REF!,#REF!,#REF!,#REF!,#REF!,#REF!,#REF!,#REF!,#REF!,#REF!,#REF!</definedName>
    <definedName name="енене" hidden="1">[6]Matrix!#REF!</definedName>
    <definedName name="ерекр" hidden="1">#REF!</definedName>
    <definedName name="ЕЫКОРЫНК" hidden="1">#REF!</definedName>
    <definedName name="жжж" hidden="1">{#N/A,#N/A,FALSE,"Лист15"}</definedName>
    <definedName name="Исполнение" hidden="1">{#N/A,#N/A,FALSE,"Лист15"}</definedName>
    <definedName name="йй" hidden="1">{#N/A,#N/A,FALSE,"Лист15"}</definedName>
    <definedName name="йцув" hidden="1">[35]XLR_NoRangeSheet!$O$6</definedName>
    <definedName name="йцуке" hidden="1">#REF!</definedName>
    <definedName name="кал" hidden="1">{#N/A,#N/A,FALSE,"Лист15"}</definedName>
    <definedName name="квя" hidden="1">#REF!</definedName>
    <definedName name="кепквп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Корректироки" hidden="1">{"'Всего'!$A$1:$F$19"}</definedName>
    <definedName name="кпекнпек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кпер" hidden="1">#REF!</definedName>
    <definedName name="КПКУ" hidden="1">#REF!</definedName>
    <definedName name="кпч" hidden="1">[5]кредпортф!#REF!,[5]кредпортф!$E:$S,[5]кредпортф!$U:$AC,[5]кредпортф!$AE:$AM,[5]кредпортф!$AR:$BO</definedName>
    <definedName name="кпыкьплоаолвповтпвтыаоивоип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кпэ_123" hidden="1">[15]XLR_NoRangeSheet!$HL$18</definedName>
    <definedName name="кпя" hidden="1">[5]кредпортф!#REF!,[5]кредпортф!$E:$S,[5]кредпортф!$U:$AC,[5]кредпортф!$AE:$AM,[5]кредпортф!$AR:$BC,[5]кредпортф!$BE:$BE,[5]кредпортф!$BG:$BH,[5]кредпортф!$BJ:$BT</definedName>
    <definedName name="КСБ1" hidden="1">'[1]N oncustomer Template'!#REF!</definedName>
    <definedName name="КУАПЕУР" hidden="1">#REF!</definedName>
    <definedName name="КУННГ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КУРКН" hidden="1">#REF!</definedName>
    <definedName name="КУРКУ" hidden="1">[33]Matrix!#REF!</definedName>
    <definedName name="КУУКЕ54" hidden="1">#REF!</definedName>
    <definedName name="куцк" hidden="1">#REF!</definedName>
    <definedName name="куяпыу" hidden="1">#REF!,#REF!</definedName>
    <definedName name="кыу" hidden="1">#REF!</definedName>
    <definedName name="л" hidden="1">{#N/A,"DR",FALSE,"increm pf";#N/A,"MAMSI",FALSE,"increm pf";#N/A,"MAXI",FALSE,"increm pf";#N/A,"PCAM",FALSE,"increm pf";#N/A,"PHSV",FALSE,"increm pf";#N/A,"SIE",FALSE,"increm pf"}</definedName>
    <definedName name="ЛОАВПЛОАУ\" hidden="1">#REF!,#REF!,#REF!,#REF!,#REF!,#REF!,#REF!,#REF!,#REF!,#REF!,#REF!</definedName>
    <definedName name="лорга" hidden="1">'[1]N oncustomer Template'!#REF!</definedName>
    <definedName name="ЛОРЛГПАОА" hidden="1">#REF!</definedName>
    <definedName name="ЛОРП" hidden="1">#REF!</definedName>
    <definedName name="ЛОРПАВ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лот" hidden="1">'[36]Model(AutoRecovered) BINARY(Aut'!#REF!</definedName>
    <definedName name="ЛПЛПАЬЛ" hidden="1">#REF!</definedName>
    <definedName name="льт" hidden="1">#REF!</definedName>
    <definedName name="МАВИПАРЕК" hidden="1">#REF!</definedName>
    <definedName name="МАДЬКДЖУЬПД" hidden="1">#REF!</definedName>
    <definedName name="материалы" hidden="1">{#N/A,#N/A,FALSE,"Лист15"}</definedName>
    <definedName name="мивауры" hidden="1">#REF!</definedName>
    <definedName name="ммм" hidden="1">{"'Всего'!$A$1:$F$19"}</definedName>
    <definedName name="МОО" hidden="1">[33]Matrix!#REF!</definedName>
    <definedName name="МОРР" hidden="1">[33]Matrix!#REF!</definedName>
    <definedName name="МЬСПМПС" hidden="1">#REF!</definedName>
    <definedName name="неак" hidden="1">[33]Matrix!#REF!</definedName>
    <definedName name="неакву" hidden="1">#REF!</definedName>
    <definedName name="неку" hidden="1">#REF!,#REF!</definedName>
    <definedName name="ОАРВП" hidden="1">#REF!</definedName>
    <definedName name="_xlnm.Print_Area" localSheetId="1">'ТРС общая'!$A$1:$AK$69</definedName>
    <definedName name="ог6рнпеа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ОГНПЕК" hidden="1">#REF!</definedName>
    <definedName name="огрнпеак" hidden="1">#REF!</definedName>
    <definedName name="ОГРНЬНР" hidden="1">#REF!</definedName>
    <definedName name="ооо" hidden="1">{#N/A,#N/A,FALSE,"Лист15"}</definedName>
    <definedName name="оп" hidden="1">{#N/A,#N/A,FALSE,"Лист15"}</definedName>
    <definedName name="ОПАСАЬС" hidden="1">[5]кредпортф!#REF!,[5]кредпортф!$E:$S,[5]кредпортф!$U:$AC,[5]кредпортф!$AE:$AM,[5]кредпортф!$AR:$BC,[5]кредпортф!$BE:$BE,[5]кредпортф!$BG:$BH,[5]кредпортф!$BJ:$BT</definedName>
    <definedName name="ОПРВ" hidden="1">#REF!</definedName>
    <definedName name="ОРАПВА" hidden="1">[33]Matrix!#REF!</definedName>
    <definedName name="орпа" hidden="1">#REF!</definedName>
    <definedName name="ОРПОПОПО" hidden="1">[5]кредпортф!#REF!</definedName>
    <definedName name="па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пав" hidden="1">#REF!</definedName>
    <definedName name="ПАПРОЛР" hidden="1">[33]Matrix!#REF!</definedName>
    <definedName name="ПАЬЬЛАЬПЛА" hidden="1">[2]Assum!#REF!</definedName>
    <definedName name="пая" hidden="1">[2]Assum!#REF!</definedName>
    <definedName name="ПВЫпа" hidden="1">[2]Assum!#REF!</definedName>
    <definedName name="ПКРУЦ" hidden="1">#REF!</definedName>
    <definedName name="ПКУПКЕ" hidden="1">[34]Matrix!#REF!</definedName>
    <definedName name="подробная" hidden="1">{#N/A,#N/A,FALSE,"Лист15"}</definedName>
    <definedName name="ППКЕКПЕК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пппппрро" hidden="1">#REF!</definedName>
    <definedName name="ППРБПСБР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R</definedName>
    <definedName name="прира" hidden="1">[2]Assum!#REF!</definedName>
    <definedName name="пролграаммм" hidden="1">{#N/A,#N/A,FALSE,"Лист15"}</definedName>
    <definedName name="прпа" hidden="1">#REF!,#REF!</definedName>
    <definedName name="ПРПАПРАР" hidden="1">#REF!</definedName>
    <definedName name="ПСЬСР" hidden="1">#REF!</definedName>
    <definedName name="ПУРЕКУЦ" hidden="1">#REF!</definedName>
    <definedName name="пфуцв" hidden="1">#REF!,#REF!</definedName>
    <definedName name="ПЫИАЬА" hidden="1">[33]Matrix!#REF!</definedName>
    <definedName name="ПЫУЕЫОР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реаоа" hidden="1">[5]кредпортф!#REF!</definedName>
    <definedName name="ро" hidden="1">[37]XLR_NoRangeSheet!$B$7</definedName>
    <definedName name="РОАБОСО" hidden="1">#REF!,#REF!</definedName>
    <definedName name="РРМОРМ" hidden="1">#REF!</definedName>
    <definedName name="ррр" hidden="1">{#N/A,#N/A,FALSE,"Лист15"}</definedName>
    <definedName name="РСАСТ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РСЬС" hidden="1">#REF!,#REF!,#REF!,#REF!,#REF!,#REF!,#REF!,#REF!,#REF!,#REF!,#REF!,#REF!</definedName>
    <definedName name="соц.выплаты" hidden="1">{#N/A,#N/A,FALSE,"Лист15"}</definedName>
    <definedName name="СРАР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R</definedName>
    <definedName name="СРПСРСР" hidden="1">#REF!,#REF!</definedName>
    <definedName name="СРПСРЬ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СРСРЬА" hidden="1">#REF!</definedName>
    <definedName name="СЬСЬПС" hidden="1">#REF!</definedName>
    <definedName name="твыаботаб" hidden="1">#REF!</definedName>
    <definedName name="ТМБАЬВ" hidden="1">#REF!</definedName>
    <definedName name="ТРСЬА" hidden="1">[5]кредпортф!#REF!,[5]кредпортф!$E:$S,[5]кредпортф!$U:$AC,[5]кредпортф!$AE:$AM,[5]кредпортф!$AR:$BO</definedName>
    <definedName name="ТСРЬСЬР" hidden="1">#REF!,#REF!</definedName>
    <definedName name="тьауьлц" hidden="1">#REF!</definedName>
    <definedName name="уву" hidden="1">[33]Matrix!#REF!</definedName>
    <definedName name="УЕПВ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уке" hidden="1">'[1]N oncustomer Template'!#REF!</definedName>
    <definedName name="укенгшл" hidden="1">#REF!</definedName>
    <definedName name="укк" hidden="1">#REF!</definedName>
    <definedName name="уцекурнфнек" hidden="1">#REF!</definedName>
    <definedName name="уцекурф" hidden="1">[6]Matrix!#REF!</definedName>
    <definedName name="уцп" hidden="1">#REF!</definedName>
    <definedName name="ФАВАФП" hidden="1">#REF!</definedName>
    <definedName name="ФВАПАВВФ" hidden="1">#REF!</definedName>
    <definedName name="феквп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феукр" hidden="1">#REF!</definedName>
    <definedName name="фйуыквпа" hidden="1">[33]Matrix!#REF!</definedName>
    <definedName name="фка" hidden="1">#REF!,#REF!,#REF!,#REF!,#REF!,#REF!,#REF!,#REF!,#REF!,#REF!,#REF!,#REF!</definedName>
    <definedName name="фкпаяы" hidden="1">#REF!</definedName>
    <definedName name="фку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R</definedName>
    <definedName name="фкуая" hidden="1">#REF!</definedName>
    <definedName name="фкуряу" hidden="1">#REF!</definedName>
    <definedName name="ФПАМ" hidden="1">#REF!</definedName>
    <definedName name="ФПАП" hidden="1">#REF!</definedName>
    <definedName name="ФПАФ" hidden="1">#REF!</definedName>
    <definedName name="ФУЕКР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фцв" hidden="1">#REF!</definedName>
    <definedName name="фыава" hidden="1">'[1]N oncustomer Template'!#REF!</definedName>
    <definedName name="фыап" hidden="1">#REF!</definedName>
    <definedName name="фыва" hidden="1">#REF!</definedName>
    <definedName name="фыввс" hidden="1">#REF!</definedName>
    <definedName name="фяурка" hidden="1">#REF!,#REF!</definedName>
    <definedName name="ц" hidden="1">[34]Matrix!#REF!</definedName>
    <definedName name="ц2у3к4е5" hidden="1">#REF!</definedName>
    <definedName name="цу" hidden="1">#REF!</definedName>
    <definedName name="ЦУЕКН" hidden="1">'[36]Model(AutoRecovered) BINARY(Aut'!#REF!</definedName>
    <definedName name="цук" hidden="1">#REF!,#REF!,#REF!,#REF!</definedName>
    <definedName name="ЦУКЕ" hidden="1">#REF!</definedName>
    <definedName name="цукепар" hidden="1">#REF!</definedName>
    <definedName name="цуууц" hidden="1">#REF!</definedName>
    <definedName name="цуф" hidden="1">'[36]Model(AutoRecovered) BINARY(Aut'!#REF!</definedName>
    <definedName name="чртпта" hidden="1">#REF!</definedName>
    <definedName name="чрчва" hidden="1">#REF!</definedName>
    <definedName name="шгн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ШГНЕ" hidden="1">#REF!</definedName>
    <definedName name="ШГНЕК" hidden="1">#REF!</definedName>
    <definedName name="ШГНЕКЕНГ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ШЛОРП" hidden="1">[33]Matrix!#REF!</definedName>
    <definedName name="ШЛРШЛГПО" hidden="1">#REF!</definedName>
    <definedName name="ШОРП" hidden="1">#REF!</definedName>
    <definedName name="щшгнек" hidden="1">#REF!</definedName>
    <definedName name="ЩШОГРП" hidden="1">[6]Matrix!#REF!</definedName>
    <definedName name="ы" hidden="1">[2]Assum!#REF!</definedName>
    <definedName name="ыаввыыфа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ыавыаваы" hidden="1">[5]кредпортф!#REF!,[5]кредпортф!$E:$T,[5]кредпортф!$V:$W,[5]кредпортф!$Y:$Z,[5]кредпортф!$AB:$AB,[5]кредпортф!$AF:$AF,[5]кредпортф!$AH:$AM,[5]кредпортф!$AR:$AU,[5]кредпортф!$AX:$AY,[5]кредпортф!$BA:$BA,[5]кредпортф!$BC:$BI,[5]кредпортф!$BK:$BO</definedName>
    <definedName name="ывапр" hidden="1">#REF!</definedName>
    <definedName name="ЫВВЫВЫВ" hidden="1">#REF!</definedName>
    <definedName name="ывфпыфва" hidden="1">[2]Assum!#REF!</definedName>
    <definedName name="ыгеыкыггн" hidden="1">[33]Matrix!#REF!</definedName>
    <definedName name="ыекгге" hidden="1">#REF!</definedName>
    <definedName name="ыекгек" hidden="1">[33]Matrix!#REF!</definedName>
    <definedName name="ыекн" hidden="1">#REF!</definedName>
    <definedName name="ыекынее" hidden="1">[33]Matrix!#REF!</definedName>
    <definedName name="ыенк" hidden="1">[33]Matrix!#REF!</definedName>
    <definedName name="ЫКГРЕК" hidden="1">#REF!</definedName>
    <definedName name="ЫКЕРЕКЫ" hidden="1">#REF!,#REF!,#REF!,#REF!</definedName>
    <definedName name="ЫКЕРРЫЕКЫ" hidden="1">#REF!,#REF!</definedName>
    <definedName name="ыкефу" hidden="1">[6]Matrix!#REF!</definedName>
    <definedName name="ыкеыг" hidden="1">[5]кредпортф!#REF!</definedName>
    <definedName name="ЫКОЕОЕ" hidden="1">#REF!</definedName>
    <definedName name="ЫКОЛН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ЫНКНЕ" hidden="1">#REF!</definedName>
    <definedName name="ЫООН" hidden="1">#REF!,#REF!</definedName>
    <definedName name="ырп" hidden="1">[6]Matrix!#REF!</definedName>
    <definedName name="ытаовыт" hidden="1">#REF!</definedName>
    <definedName name="ЫУРЕОЕ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ыфв" hidden="1">#REF!</definedName>
    <definedName name="ыыупав" hidden="1">#REF!</definedName>
    <definedName name="ьавтв" hidden="1">'[36]Model(AutoRecovered) BINARY(Aut'!#REF!</definedName>
    <definedName name="ьвтаолв" hidden="1">#REF!</definedName>
    <definedName name="ЬМОПСРП" hidden="1">[33]Matrix!#REF!</definedName>
    <definedName name="ЬМТУП" hidden="1">#REF!</definedName>
    <definedName name="ЬРСЬС" hidden="1">[5]кредпортф!#REF!,[5]кредпортф!$E:$S,[5]кредпортф!$V:$W,[5]кредпортф!$Y:$Z,[5]кредпортф!$AB:$AB,[5]кредпортф!$AF:$AF,[5]кредпортф!$AH:$AJ,[5]кредпортф!$AM:$AM,[5]кредпортф!$AR:$AU,[5]кредпортф!$AX:$AY,[5]кредпортф!$BA:$BA,[5]кредпортф!$BC:$BI,[5]кредпортф!$BM:$BO</definedName>
    <definedName name="ЬСИПАИ" hidden="1">[5]кредпортф!#REF!</definedName>
    <definedName name="ЬТМАУЬТ" hidden="1">[6]Matrix!#REF!</definedName>
    <definedName name="ьтмт" hidden="1">#REF!</definedName>
    <definedName name="ЬТСВЛОА" hidden="1">#REF!</definedName>
    <definedName name="ЬЬМРЛРЛ" hidden="1">[6]Matrix!#REF!</definedName>
    <definedName name="элд" hidden="1">{"'Всего'!$A$1:$F$19"}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76" i="1" l="1"/>
  <c r="Y176" i="1"/>
  <c r="AA176" i="1"/>
  <c r="AD176" i="1"/>
  <c r="AE176" i="1"/>
  <c r="AG176" i="1"/>
  <c r="AH176" i="1"/>
  <c r="AI176" i="1"/>
  <c r="AK176" i="1"/>
  <c r="AL176" i="1"/>
  <c r="AO176" i="1"/>
  <c r="AP176" i="1"/>
  <c r="AQ176" i="1"/>
  <c r="X177" i="1"/>
  <c r="Y177" i="1"/>
  <c r="AA177" i="1"/>
  <c r="AD177" i="1"/>
  <c r="AE177" i="1"/>
  <c r="AG177" i="1"/>
  <c r="AH177" i="1"/>
  <c r="AI177" i="1"/>
  <c r="AK177" i="1"/>
  <c r="AL177" i="1"/>
  <c r="AO177" i="1"/>
  <c r="AP177" i="1"/>
  <c r="AQ177" i="1"/>
  <c r="X178" i="1"/>
  <c r="Y178" i="1"/>
  <c r="AA178" i="1"/>
  <c r="AD178" i="1"/>
  <c r="AE178" i="1"/>
  <c r="AG178" i="1"/>
  <c r="AH178" i="1"/>
  <c r="AI178" i="1"/>
  <c r="AK178" i="1"/>
  <c r="AL178" i="1"/>
  <c r="AO178" i="1"/>
  <c r="AP178" i="1"/>
  <c r="AQ178" i="1"/>
  <c r="X179" i="1"/>
  <c r="Y179" i="1"/>
  <c r="AA179" i="1"/>
  <c r="AD179" i="1"/>
  <c r="AE179" i="1"/>
  <c r="AG179" i="1"/>
  <c r="AH179" i="1"/>
  <c r="AI179" i="1"/>
  <c r="AK179" i="1"/>
  <c r="AL179" i="1"/>
  <c r="AO179" i="1"/>
  <c r="AP179" i="1"/>
  <c r="AQ179" i="1"/>
  <c r="X180" i="1"/>
  <c r="Y180" i="1"/>
  <c r="AA180" i="1"/>
  <c r="AD180" i="1"/>
  <c r="AE180" i="1"/>
  <c r="AG180" i="1"/>
  <c r="AH180" i="1"/>
  <c r="AI180" i="1"/>
  <c r="AK180" i="1"/>
  <c r="AL180" i="1"/>
  <c r="AO180" i="1"/>
  <c r="AP180" i="1"/>
  <c r="AQ180" i="1"/>
  <c r="X181" i="1"/>
  <c r="Y181" i="1"/>
  <c r="AA181" i="1"/>
  <c r="AD181" i="1"/>
  <c r="AE181" i="1"/>
  <c r="AG181" i="1"/>
  <c r="AH181" i="1"/>
  <c r="AI181" i="1"/>
  <c r="AK181" i="1"/>
  <c r="AL181" i="1"/>
  <c r="AO181" i="1"/>
  <c r="AP181" i="1"/>
  <c r="AQ181" i="1"/>
  <c r="X182" i="1"/>
  <c r="Y182" i="1"/>
  <c r="AA182" i="1"/>
  <c r="AD182" i="1"/>
  <c r="AE182" i="1"/>
  <c r="AG182" i="1"/>
  <c r="AH182" i="1"/>
  <c r="AI182" i="1"/>
  <c r="AK182" i="1"/>
  <c r="AL182" i="1"/>
  <c r="AO182" i="1"/>
  <c r="AP182" i="1"/>
  <c r="AQ182" i="1"/>
  <c r="X183" i="1"/>
  <c r="Y183" i="1"/>
  <c r="AA183" i="1"/>
  <c r="AD183" i="1"/>
  <c r="AE183" i="1"/>
  <c r="AG183" i="1"/>
  <c r="AH183" i="1"/>
  <c r="AI183" i="1"/>
  <c r="AK183" i="1"/>
  <c r="AL183" i="1"/>
  <c r="AO183" i="1"/>
  <c r="AP183" i="1"/>
  <c r="AQ183" i="1"/>
  <c r="X184" i="1"/>
  <c r="Y184" i="1"/>
  <c r="AA184" i="1"/>
  <c r="AD184" i="1"/>
  <c r="AE184" i="1"/>
  <c r="AG184" i="1"/>
  <c r="AH184" i="1"/>
  <c r="AI184" i="1"/>
  <c r="AK184" i="1"/>
  <c r="AL184" i="1"/>
  <c r="AO184" i="1"/>
  <c r="AP184" i="1"/>
  <c r="AQ184" i="1"/>
  <c r="X185" i="1"/>
  <c r="Y185" i="1"/>
  <c r="AA185" i="1"/>
  <c r="AD185" i="1"/>
  <c r="AE185" i="1"/>
  <c r="AG185" i="1"/>
  <c r="AH185" i="1"/>
  <c r="AI185" i="1"/>
  <c r="AK185" i="1"/>
  <c r="AL185" i="1"/>
  <c r="AO185" i="1"/>
  <c r="AP185" i="1"/>
  <c r="AQ185" i="1"/>
  <c r="X138" i="1" l="1"/>
  <c r="Y138" i="1"/>
  <c r="AA138" i="1"/>
  <c r="AD138" i="1"/>
  <c r="AE138" i="1"/>
  <c r="AG138" i="1"/>
  <c r="AH138" i="1"/>
  <c r="AI138" i="1"/>
  <c r="AK138" i="1"/>
  <c r="AL138" i="1"/>
  <c r="AO138" i="1"/>
  <c r="AP138" i="1"/>
  <c r="AQ138" i="1"/>
  <c r="X139" i="1"/>
  <c r="Y139" i="1"/>
  <c r="AA139" i="1"/>
  <c r="AD139" i="1"/>
  <c r="AE139" i="1"/>
  <c r="AG139" i="1"/>
  <c r="AH139" i="1"/>
  <c r="AI139" i="1"/>
  <c r="AK139" i="1"/>
  <c r="AL139" i="1"/>
  <c r="AO139" i="1"/>
  <c r="AP139" i="1"/>
  <c r="AQ139" i="1"/>
  <c r="X140" i="1"/>
  <c r="Y140" i="1"/>
  <c r="AA140" i="1"/>
  <c r="AD140" i="1"/>
  <c r="AE140" i="1"/>
  <c r="AG140" i="1"/>
  <c r="AH140" i="1"/>
  <c r="AI140" i="1"/>
  <c r="AK140" i="1"/>
  <c r="AL140" i="1"/>
  <c r="AO140" i="1"/>
  <c r="AP140" i="1"/>
  <c r="AQ140" i="1"/>
  <c r="X141" i="1"/>
  <c r="Y141" i="1"/>
  <c r="AA141" i="1"/>
  <c r="AD141" i="1"/>
  <c r="AE141" i="1"/>
  <c r="AG141" i="1"/>
  <c r="AH141" i="1"/>
  <c r="AI141" i="1"/>
  <c r="AK141" i="1"/>
  <c r="AL141" i="1"/>
  <c r="AO141" i="1"/>
  <c r="AP141" i="1"/>
  <c r="AQ141" i="1"/>
  <c r="X142" i="1"/>
  <c r="Y142" i="1"/>
  <c r="AA142" i="1"/>
  <c r="AD142" i="1"/>
  <c r="AE142" i="1"/>
  <c r="AG142" i="1"/>
  <c r="AH142" i="1"/>
  <c r="AI142" i="1"/>
  <c r="AK142" i="1"/>
  <c r="AL142" i="1"/>
  <c r="AO142" i="1"/>
  <c r="AP142" i="1"/>
  <c r="AQ142" i="1"/>
  <c r="X143" i="1"/>
  <c r="Y143" i="1"/>
  <c r="AA143" i="1"/>
  <c r="AD143" i="1"/>
  <c r="AE143" i="1"/>
  <c r="AG143" i="1"/>
  <c r="AH143" i="1"/>
  <c r="AI143" i="1"/>
  <c r="AK143" i="1"/>
  <c r="AL143" i="1"/>
  <c r="AO143" i="1"/>
  <c r="AP143" i="1"/>
  <c r="AQ143" i="1"/>
  <c r="X144" i="1"/>
  <c r="Y144" i="1"/>
  <c r="AA144" i="1"/>
  <c r="AD144" i="1"/>
  <c r="AE144" i="1"/>
  <c r="AG144" i="1"/>
  <c r="AH144" i="1"/>
  <c r="AI144" i="1"/>
  <c r="AK144" i="1"/>
  <c r="AL144" i="1"/>
  <c r="AO144" i="1"/>
  <c r="AP144" i="1"/>
  <c r="AQ144" i="1"/>
  <c r="X145" i="1"/>
  <c r="Y145" i="1"/>
  <c r="AA145" i="1"/>
  <c r="AD145" i="1"/>
  <c r="AE145" i="1"/>
  <c r="AG145" i="1"/>
  <c r="AH145" i="1"/>
  <c r="AI145" i="1"/>
  <c r="AK145" i="1"/>
  <c r="AL145" i="1"/>
  <c r="AO145" i="1"/>
  <c r="AP145" i="1"/>
  <c r="AQ145" i="1"/>
  <c r="X146" i="1"/>
  <c r="Y146" i="1"/>
  <c r="AA146" i="1"/>
  <c r="AD146" i="1"/>
  <c r="AE146" i="1"/>
  <c r="AG146" i="1"/>
  <c r="AH146" i="1"/>
  <c r="AI146" i="1"/>
  <c r="AK146" i="1"/>
  <c r="AL146" i="1"/>
  <c r="AO146" i="1"/>
  <c r="AP146" i="1"/>
  <c r="AQ146" i="1"/>
  <c r="X147" i="1"/>
  <c r="Y147" i="1"/>
  <c r="AA147" i="1"/>
  <c r="AD147" i="1"/>
  <c r="AE147" i="1"/>
  <c r="AG147" i="1"/>
  <c r="AH147" i="1"/>
  <c r="AI147" i="1"/>
  <c r="AK147" i="1"/>
  <c r="AL147" i="1"/>
  <c r="AO147" i="1"/>
  <c r="AP147" i="1"/>
  <c r="AQ147" i="1"/>
  <c r="X148" i="1"/>
  <c r="Y148" i="1"/>
  <c r="AA148" i="1"/>
  <c r="AD148" i="1"/>
  <c r="AE148" i="1"/>
  <c r="AG148" i="1"/>
  <c r="AH148" i="1"/>
  <c r="AI148" i="1"/>
  <c r="AK148" i="1"/>
  <c r="AL148" i="1"/>
  <c r="AO148" i="1"/>
  <c r="AP148" i="1"/>
  <c r="AQ148" i="1"/>
  <c r="X149" i="1"/>
  <c r="Y149" i="1"/>
  <c r="AA149" i="1"/>
  <c r="AD149" i="1"/>
  <c r="AE149" i="1"/>
  <c r="AG149" i="1"/>
  <c r="AH149" i="1"/>
  <c r="AI149" i="1"/>
  <c r="AK149" i="1"/>
  <c r="AL149" i="1"/>
  <c r="AO149" i="1"/>
  <c r="AP149" i="1"/>
  <c r="AQ149" i="1"/>
  <c r="X150" i="1"/>
  <c r="Y150" i="1"/>
  <c r="AA150" i="1"/>
  <c r="AD150" i="1"/>
  <c r="AE150" i="1"/>
  <c r="AG150" i="1"/>
  <c r="AH150" i="1"/>
  <c r="AI150" i="1"/>
  <c r="AK150" i="1"/>
  <c r="AL150" i="1"/>
  <c r="AO150" i="1"/>
  <c r="AP150" i="1"/>
  <c r="AQ150" i="1"/>
  <c r="X151" i="1"/>
  <c r="Y151" i="1"/>
  <c r="AA151" i="1"/>
  <c r="AD151" i="1"/>
  <c r="AE151" i="1"/>
  <c r="AG151" i="1"/>
  <c r="AH151" i="1"/>
  <c r="AI151" i="1"/>
  <c r="AK151" i="1"/>
  <c r="AL151" i="1"/>
  <c r="AO151" i="1"/>
  <c r="AP151" i="1"/>
  <c r="AQ151" i="1"/>
  <c r="X152" i="1"/>
  <c r="Y152" i="1"/>
  <c r="AA152" i="1"/>
  <c r="AD152" i="1"/>
  <c r="AE152" i="1"/>
  <c r="AG152" i="1"/>
  <c r="AH152" i="1"/>
  <c r="AI152" i="1"/>
  <c r="AK152" i="1"/>
  <c r="AL152" i="1"/>
  <c r="AO152" i="1"/>
  <c r="AP152" i="1"/>
  <c r="AQ152" i="1"/>
  <c r="X153" i="1"/>
  <c r="Y153" i="1"/>
  <c r="AA153" i="1"/>
  <c r="AD153" i="1"/>
  <c r="AE153" i="1"/>
  <c r="AG153" i="1"/>
  <c r="AH153" i="1"/>
  <c r="AI153" i="1"/>
  <c r="AK153" i="1"/>
  <c r="AL153" i="1"/>
  <c r="AO153" i="1"/>
  <c r="AP153" i="1"/>
  <c r="AQ153" i="1"/>
  <c r="X154" i="1"/>
  <c r="Y154" i="1"/>
  <c r="AA154" i="1"/>
  <c r="AD154" i="1"/>
  <c r="AE154" i="1"/>
  <c r="AG154" i="1"/>
  <c r="AH154" i="1"/>
  <c r="AI154" i="1"/>
  <c r="AK154" i="1"/>
  <c r="AL154" i="1"/>
  <c r="AO154" i="1"/>
  <c r="AP154" i="1"/>
  <c r="AQ154" i="1"/>
  <c r="X155" i="1"/>
  <c r="Y155" i="1"/>
  <c r="AA155" i="1"/>
  <c r="AD155" i="1"/>
  <c r="AE155" i="1"/>
  <c r="AG155" i="1"/>
  <c r="AH155" i="1"/>
  <c r="AI155" i="1"/>
  <c r="AK155" i="1"/>
  <c r="AL155" i="1"/>
  <c r="AO155" i="1"/>
  <c r="AP155" i="1"/>
  <c r="AQ155" i="1"/>
  <c r="X156" i="1"/>
  <c r="Y156" i="1"/>
  <c r="AA156" i="1"/>
  <c r="AD156" i="1"/>
  <c r="AE156" i="1"/>
  <c r="AG156" i="1"/>
  <c r="AH156" i="1"/>
  <c r="AI156" i="1"/>
  <c r="AK156" i="1"/>
  <c r="AL156" i="1"/>
  <c r="AO156" i="1"/>
  <c r="AP156" i="1"/>
  <c r="AQ156" i="1"/>
  <c r="X157" i="1"/>
  <c r="Y157" i="1"/>
  <c r="AA157" i="1"/>
  <c r="AD157" i="1"/>
  <c r="AE157" i="1"/>
  <c r="AG157" i="1"/>
  <c r="AH157" i="1"/>
  <c r="AI157" i="1"/>
  <c r="AK157" i="1"/>
  <c r="AL157" i="1"/>
  <c r="AO157" i="1"/>
  <c r="AP157" i="1"/>
  <c r="AQ157" i="1"/>
  <c r="X158" i="1"/>
  <c r="Y158" i="1"/>
  <c r="AA158" i="1"/>
  <c r="AD158" i="1"/>
  <c r="AE158" i="1"/>
  <c r="AG158" i="1"/>
  <c r="AH158" i="1"/>
  <c r="AI158" i="1"/>
  <c r="AK158" i="1"/>
  <c r="AL158" i="1"/>
  <c r="AO158" i="1"/>
  <c r="AP158" i="1"/>
  <c r="AQ158" i="1"/>
  <c r="X159" i="1"/>
  <c r="Y159" i="1"/>
  <c r="AA159" i="1"/>
  <c r="AD159" i="1"/>
  <c r="AE159" i="1"/>
  <c r="AG159" i="1"/>
  <c r="AH159" i="1"/>
  <c r="AI159" i="1"/>
  <c r="AK159" i="1"/>
  <c r="AL159" i="1"/>
  <c r="AO159" i="1"/>
  <c r="AP159" i="1"/>
  <c r="AQ159" i="1"/>
  <c r="X160" i="1"/>
  <c r="Y160" i="1"/>
  <c r="AA160" i="1"/>
  <c r="AD160" i="1"/>
  <c r="AE160" i="1"/>
  <c r="AG160" i="1"/>
  <c r="AH160" i="1"/>
  <c r="AI160" i="1"/>
  <c r="AK160" i="1"/>
  <c r="AL160" i="1"/>
  <c r="AO160" i="1"/>
  <c r="AP160" i="1"/>
  <c r="AQ160" i="1"/>
  <c r="X161" i="1"/>
  <c r="Y161" i="1"/>
  <c r="AA161" i="1"/>
  <c r="AD161" i="1"/>
  <c r="AE161" i="1"/>
  <c r="AG161" i="1"/>
  <c r="AH161" i="1"/>
  <c r="AI161" i="1"/>
  <c r="AK161" i="1"/>
  <c r="AL161" i="1"/>
  <c r="AO161" i="1"/>
  <c r="AP161" i="1"/>
  <c r="AQ161" i="1"/>
  <c r="X162" i="1"/>
  <c r="Y162" i="1"/>
  <c r="AA162" i="1"/>
  <c r="AD162" i="1"/>
  <c r="AE162" i="1"/>
  <c r="AG162" i="1"/>
  <c r="AH162" i="1"/>
  <c r="AI162" i="1"/>
  <c r="AK162" i="1"/>
  <c r="AL162" i="1"/>
  <c r="AO162" i="1"/>
  <c r="AP162" i="1"/>
  <c r="AQ162" i="1"/>
  <c r="X163" i="1"/>
  <c r="Y163" i="1"/>
  <c r="AA163" i="1"/>
  <c r="AD163" i="1"/>
  <c r="AE163" i="1"/>
  <c r="AG163" i="1"/>
  <c r="AH163" i="1"/>
  <c r="AI163" i="1"/>
  <c r="AK163" i="1"/>
  <c r="AL163" i="1"/>
  <c r="AO163" i="1"/>
  <c r="AP163" i="1"/>
  <c r="AQ163" i="1"/>
  <c r="X164" i="1"/>
  <c r="Y164" i="1"/>
  <c r="AA164" i="1"/>
  <c r="AD164" i="1"/>
  <c r="AE164" i="1"/>
  <c r="AG164" i="1"/>
  <c r="AH164" i="1"/>
  <c r="AI164" i="1"/>
  <c r="AK164" i="1"/>
  <c r="AL164" i="1"/>
  <c r="AO164" i="1"/>
  <c r="AP164" i="1"/>
  <c r="AQ164" i="1"/>
  <c r="X165" i="1"/>
  <c r="Y165" i="1"/>
  <c r="AA165" i="1"/>
  <c r="AD165" i="1"/>
  <c r="AE165" i="1"/>
  <c r="AG165" i="1"/>
  <c r="AH165" i="1"/>
  <c r="AI165" i="1"/>
  <c r="AK165" i="1"/>
  <c r="AL165" i="1"/>
  <c r="AO165" i="1"/>
  <c r="AP165" i="1"/>
  <c r="AQ165" i="1"/>
  <c r="X166" i="1"/>
  <c r="Y166" i="1"/>
  <c r="AA166" i="1"/>
  <c r="AD166" i="1"/>
  <c r="AE166" i="1"/>
  <c r="AG166" i="1"/>
  <c r="AH166" i="1"/>
  <c r="AI166" i="1"/>
  <c r="AK166" i="1"/>
  <c r="AL166" i="1"/>
  <c r="AO166" i="1"/>
  <c r="AP166" i="1"/>
  <c r="AQ166" i="1"/>
  <c r="X167" i="1"/>
  <c r="Y167" i="1"/>
  <c r="AA167" i="1"/>
  <c r="AD167" i="1"/>
  <c r="AE167" i="1"/>
  <c r="AG167" i="1"/>
  <c r="AH167" i="1"/>
  <c r="AI167" i="1"/>
  <c r="AK167" i="1"/>
  <c r="AL167" i="1"/>
  <c r="AO167" i="1"/>
  <c r="AP167" i="1"/>
  <c r="AQ167" i="1"/>
  <c r="X168" i="1"/>
  <c r="Y168" i="1"/>
  <c r="AA168" i="1"/>
  <c r="AD168" i="1"/>
  <c r="AE168" i="1"/>
  <c r="AG168" i="1"/>
  <c r="AH168" i="1"/>
  <c r="AI168" i="1"/>
  <c r="AK168" i="1"/>
  <c r="AL168" i="1"/>
  <c r="AO168" i="1"/>
  <c r="AP168" i="1"/>
  <c r="AQ168" i="1"/>
  <c r="X169" i="1"/>
  <c r="Y169" i="1"/>
  <c r="AA169" i="1"/>
  <c r="AD169" i="1"/>
  <c r="AE169" i="1"/>
  <c r="AG169" i="1"/>
  <c r="AH169" i="1"/>
  <c r="AI169" i="1"/>
  <c r="AK169" i="1"/>
  <c r="AL169" i="1"/>
  <c r="AO169" i="1"/>
  <c r="AP169" i="1"/>
  <c r="AQ169" i="1"/>
  <c r="X170" i="1"/>
  <c r="Y170" i="1"/>
  <c r="AA170" i="1"/>
  <c r="AD170" i="1"/>
  <c r="AE170" i="1"/>
  <c r="AG170" i="1"/>
  <c r="AH170" i="1"/>
  <c r="AI170" i="1"/>
  <c r="AK170" i="1"/>
  <c r="AL170" i="1"/>
  <c r="AO170" i="1"/>
  <c r="AP170" i="1"/>
  <c r="AQ170" i="1"/>
  <c r="X171" i="1"/>
  <c r="Y171" i="1"/>
  <c r="AA171" i="1"/>
  <c r="AD171" i="1"/>
  <c r="AE171" i="1"/>
  <c r="AG171" i="1"/>
  <c r="AH171" i="1"/>
  <c r="AI171" i="1"/>
  <c r="AK171" i="1"/>
  <c r="AL171" i="1"/>
  <c r="AO171" i="1"/>
  <c r="AP171" i="1"/>
  <c r="AQ171" i="1"/>
  <c r="X172" i="1"/>
  <c r="Y172" i="1"/>
  <c r="AA172" i="1"/>
  <c r="AD172" i="1"/>
  <c r="AE172" i="1"/>
  <c r="AG172" i="1"/>
  <c r="AH172" i="1"/>
  <c r="AI172" i="1"/>
  <c r="AK172" i="1"/>
  <c r="AL172" i="1"/>
  <c r="AO172" i="1"/>
  <c r="AP172" i="1"/>
  <c r="AQ172" i="1"/>
  <c r="X173" i="1"/>
  <c r="Y173" i="1"/>
  <c r="AA173" i="1"/>
  <c r="AD173" i="1"/>
  <c r="AE173" i="1"/>
  <c r="AG173" i="1"/>
  <c r="AH173" i="1"/>
  <c r="AI173" i="1"/>
  <c r="AK173" i="1"/>
  <c r="AL173" i="1"/>
  <c r="AO173" i="1"/>
  <c r="AP173" i="1"/>
  <c r="AQ173" i="1"/>
  <c r="X174" i="1"/>
  <c r="Y174" i="1"/>
  <c r="AA174" i="1"/>
  <c r="AD174" i="1"/>
  <c r="AE174" i="1"/>
  <c r="AG174" i="1"/>
  <c r="AH174" i="1"/>
  <c r="AI174" i="1"/>
  <c r="AK174" i="1"/>
  <c r="AL174" i="1"/>
  <c r="AO174" i="1"/>
  <c r="AP174" i="1"/>
  <c r="AQ174" i="1"/>
  <c r="X175" i="1"/>
  <c r="Y175" i="1"/>
  <c r="AA175" i="1"/>
  <c r="AD175" i="1"/>
  <c r="AE175" i="1"/>
  <c r="AG175" i="1"/>
  <c r="AH175" i="1"/>
  <c r="AI175" i="1"/>
  <c r="AK175" i="1"/>
  <c r="AL175" i="1"/>
  <c r="AO175" i="1"/>
  <c r="AP175" i="1"/>
  <c r="AQ175" i="1"/>
  <c r="AF184" i="1" l="1"/>
  <c r="AF178" i="1"/>
  <c r="AF183" i="1"/>
  <c r="AF156" i="1"/>
  <c r="AF152" i="1"/>
  <c r="AF169" i="1"/>
  <c r="AF147" i="1"/>
  <c r="AF140" i="1"/>
  <c r="AF172" i="1"/>
  <c r="AF150" i="1"/>
  <c r="AF141" i="1"/>
  <c r="AF164" i="1"/>
  <c r="AF146" i="1"/>
  <c r="AF163" i="1"/>
  <c r="AF154" i="1"/>
  <c r="AF165" i="1"/>
  <c r="AF155" i="1"/>
  <c r="AF139" i="1"/>
  <c r="AF144" i="1"/>
  <c r="AF153" i="1"/>
  <c r="AF149" i="1"/>
  <c r="AF167" i="1"/>
  <c r="AF166" i="1"/>
  <c r="AF148" i="1"/>
  <c r="AF171" i="1"/>
  <c r="AF145" i="1"/>
  <c r="AF151" i="1"/>
  <c r="X137" i="1" l="1"/>
  <c r="Y137" i="1"/>
  <c r="AA137" i="1"/>
  <c r="AD137" i="1"/>
  <c r="AE137" i="1"/>
  <c r="AG137" i="1"/>
  <c r="AH137" i="1"/>
  <c r="AI137" i="1"/>
  <c r="AK137" i="1"/>
  <c r="AL137" i="1"/>
  <c r="AO137" i="1"/>
  <c r="AP137" i="1"/>
  <c r="AQ137" i="1"/>
  <c r="AF182" i="1" l="1"/>
  <c r="X136" i="1" l="1"/>
  <c r="Y136" i="1"/>
  <c r="AA136" i="1"/>
  <c r="AD136" i="1"/>
  <c r="AE136" i="1"/>
  <c r="AG136" i="1"/>
  <c r="AH136" i="1"/>
  <c r="AI136" i="1"/>
  <c r="AK136" i="1"/>
  <c r="AL136" i="1"/>
  <c r="AO136" i="1"/>
  <c r="AP136" i="1"/>
  <c r="AQ136" i="1"/>
  <c r="X129" i="1"/>
  <c r="Y129" i="1"/>
  <c r="AA129" i="1"/>
  <c r="AD129" i="1"/>
  <c r="AE129" i="1"/>
  <c r="AG129" i="1"/>
  <c r="AH129" i="1"/>
  <c r="AI129" i="1"/>
  <c r="AK129" i="1"/>
  <c r="AL129" i="1"/>
  <c r="AO129" i="1"/>
  <c r="AP129" i="1"/>
  <c r="AQ129" i="1"/>
  <c r="X130" i="1"/>
  <c r="Y130" i="1"/>
  <c r="AA130" i="1"/>
  <c r="AD130" i="1"/>
  <c r="AE130" i="1"/>
  <c r="AG130" i="1"/>
  <c r="AH130" i="1"/>
  <c r="AI130" i="1"/>
  <c r="AK130" i="1"/>
  <c r="AL130" i="1"/>
  <c r="AO130" i="1"/>
  <c r="AP130" i="1"/>
  <c r="AQ130" i="1"/>
  <c r="X131" i="1"/>
  <c r="Y131" i="1"/>
  <c r="AA131" i="1"/>
  <c r="AD131" i="1"/>
  <c r="AE131" i="1"/>
  <c r="AG131" i="1"/>
  <c r="AH131" i="1"/>
  <c r="AI131" i="1"/>
  <c r="AK131" i="1"/>
  <c r="AL131" i="1"/>
  <c r="AO131" i="1"/>
  <c r="AP131" i="1"/>
  <c r="AQ131" i="1"/>
  <c r="X132" i="1"/>
  <c r="Y132" i="1"/>
  <c r="AA132" i="1"/>
  <c r="AD132" i="1"/>
  <c r="AE132" i="1"/>
  <c r="AG132" i="1"/>
  <c r="AH132" i="1"/>
  <c r="AI132" i="1"/>
  <c r="AK132" i="1"/>
  <c r="AL132" i="1"/>
  <c r="AO132" i="1"/>
  <c r="AP132" i="1"/>
  <c r="AQ132" i="1"/>
  <c r="X133" i="1"/>
  <c r="Y133" i="1"/>
  <c r="AA133" i="1"/>
  <c r="AD133" i="1"/>
  <c r="AE133" i="1"/>
  <c r="AG133" i="1"/>
  <c r="AH133" i="1"/>
  <c r="AI133" i="1"/>
  <c r="AK133" i="1"/>
  <c r="AL133" i="1"/>
  <c r="AO133" i="1"/>
  <c r="AP133" i="1"/>
  <c r="AQ133" i="1"/>
  <c r="X134" i="1"/>
  <c r="Y134" i="1"/>
  <c r="AA134" i="1"/>
  <c r="AD134" i="1"/>
  <c r="AE134" i="1"/>
  <c r="AG134" i="1"/>
  <c r="AH134" i="1"/>
  <c r="AI134" i="1"/>
  <c r="AK134" i="1"/>
  <c r="AL134" i="1"/>
  <c r="AO134" i="1"/>
  <c r="AP134" i="1"/>
  <c r="AQ134" i="1"/>
  <c r="X135" i="1"/>
  <c r="Y135" i="1"/>
  <c r="AA135" i="1"/>
  <c r="AD135" i="1"/>
  <c r="AE135" i="1"/>
  <c r="AG135" i="1"/>
  <c r="AH135" i="1"/>
  <c r="AI135" i="1"/>
  <c r="AK135" i="1"/>
  <c r="AL135" i="1"/>
  <c r="AO135" i="1"/>
  <c r="AP135" i="1"/>
  <c r="AQ135" i="1"/>
  <c r="AF168" i="1" l="1"/>
  <c r="X87" i="1" l="1"/>
  <c r="Y87" i="1"/>
  <c r="AA87" i="1"/>
  <c r="AD87" i="1"/>
  <c r="AE87" i="1"/>
  <c r="AG87" i="1"/>
  <c r="AH87" i="1"/>
  <c r="AI87" i="1"/>
  <c r="AK87" i="1"/>
  <c r="AL87" i="1"/>
  <c r="AO87" i="1"/>
  <c r="AP87" i="1"/>
  <c r="AQ87" i="1"/>
  <c r="X88" i="1"/>
  <c r="Y88" i="1"/>
  <c r="AA88" i="1"/>
  <c r="AD88" i="1"/>
  <c r="AE88" i="1"/>
  <c r="AG88" i="1"/>
  <c r="AH88" i="1"/>
  <c r="AI88" i="1"/>
  <c r="AK88" i="1"/>
  <c r="AL88" i="1"/>
  <c r="AO88" i="1"/>
  <c r="AP88" i="1"/>
  <c r="AQ88" i="1"/>
  <c r="X89" i="1"/>
  <c r="Y89" i="1"/>
  <c r="AA89" i="1"/>
  <c r="AD89" i="1"/>
  <c r="AE89" i="1"/>
  <c r="AG89" i="1"/>
  <c r="AH89" i="1"/>
  <c r="AI89" i="1"/>
  <c r="AK89" i="1"/>
  <c r="AL89" i="1"/>
  <c r="AO89" i="1"/>
  <c r="AP89" i="1"/>
  <c r="AQ89" i="1"/>
  <c r="X90" i="1"/>
  <c r="Y90" i="1"/>
  <c r="AA90" i="1"/>
  <c r="AD90" i="1"/>
  <c r="AE90" i="1"/>
  <c r="AG90" i="1"/>
  <c r="AH90" i="1"/>
  <c r="AI90" i="1"/>
  <c r="AK90" i="1"/>
  <c r="AL90" i="1"/>
  <c r="AO90" i="1"/>
  <c r="AP90" i="1"/>
  <c r="AQ90" i="1"/>
  <c r="X91" i="1"/>
  <c r="Y91" i="1"/>
  <c r="AA91" i="1"/>
  <c r="AD91" i="1"/>
  <c r="AE91" i="1"/>
  <c r="AG91" i="1"/>
  <c r="AH91" i="1"/>
  <c r="AI91" i="1"/>
  <c r="AK91" i="1"/>
  <c r="AL91" i="1"/>
  <c r="AO91" i="1"/>
  <c r="AP91" i="1"/>
  <c r="AQ91" i="1"/>
  <c r="X92" i="1"/>
  <c r="Y92" i="1"/>
  <c r="AA92" i="1"/>
  <c r="AD92" i="1"/>
  <c r="AE92" i="1"/>
  <c r="AG92" i="1"/>
  <c r="AH92" i="1"/>
  <c r="AI92" i="1"/>
  <c r="AK92" i="1"/>
  <c r="AL92" i="1"/>
  <c r="AO92" i="1"/>
  <c r="AP92" i="1"/>
  <c r="AQ92" i="1"/>
  <c r="X93" i="1"/>
  <c r="Y93" i="1"/>
  <c r="AA93" i="1"/>
  <c r="AD93" i="1"/>
  <c r="AE93" i="1"/>
  <c r="AG93" i="1"/>
  <c r="AH93" i="1"/>
  <c r="AI93" i="1"/>
  <c r="AK93" i="1"/>
  <c r="AL93" i="1"/>
  <c r="AO93" i="1"/>
  <c r="AP93" i="1"/>
  <c r="AQ93" i="1"/>
  <c r="X94" i="1"/>
  <c r="Y94" i="1"/>
  <c r="AA94" i="1"/>
  <c r="AD94" i="1"/>
  <c r="AE94" i="1"/>
  <c r="AG94" i="1"/>
  <c r="AH94" i="1"/>
  <c r="AI94" i="1"/>
  <c r="AK94" i="1"/>
  <c r="AL94" i="1"/>
  <c r="AO94" i="1"/>
  <c r="AP94" i="1"/>
  <c r="AQ94" i="1"/>
  <c r="X95" i="1"/>
  <c r="Y95" i="1"/>
  <c r="AA95" i="1"/>
  <c r="AD95" i="1"/>
  <c r="AE95" i="1"/>
  <c r="AG95" i="1"/>
  <c r="AH95" i="1"/>
  <c r="AI95" i="1"/>
  <c r="AK95" i="1"/>
  <c r="AL95" i="1"/>
  <c r="AO95" i="1"/>
  <c r="AP95" i="1"/>
  <c r="AQ95" i="1"/>
  <c r="X96" i="1"/>
  <c r="Y96" i="1"/>
  <c r="AA96" i="1"/>
  <c r="AD96" i="1"/>
  <c r="AE96" i="1"/>
  <c r="AG96" i="1"/>
  <c r="AH96" i="1"/>
  <c r="AI96" i="1"/>
  <c r="AK96" i="1"/>
  <c r="AL96" i="1"/>
  <c r="AO96" i="1"/>
  <c r="AP96" i="1"/>
  <c r="AQ96" i="1"/>
  <c r="X97" i="1"/>
  <c r="Y97" i="1"/>
  <c r="AA97" i="1"/>
  <c r="AD97" i="1"/>
  <c r="AE97" i="1"/>
  <c r="AG97" i="1"/>
  <c r="AH97" i="1"/>
  <c r="AI97" i="1"/>
  <c r="AK97" i="1"/>
  <c r="AL97" i="1"/>
  <c r="AO97" i="1"/>
  <c r="AP97" i="1"/>
  <c r="AQ97" i="1"/>
  <c r="X98" i="1"/>
  <c r="Y98" i="1"/>
  <c r="AA98" i="1"/>
  <c r="AD98" i="1"/>
  <c r="AE98" i="1"/>
  <c r="AG98" i="1"/>
  <c r="AH98" i="1"/>
  <c r="AI98" i="1"/>
  <c r="AK98" i="1"/>
  <c r="AL98" i="1"/>
  <c r="AO98" i="1"/>
  <c r="AP98" i="1"/>
  <c r="AQ98" i="1"/>
  <c r="X99" i="1"/>
  <c r="Y99" i="1"/>
  <c r="AA99" i="1"/>
  <c r="AD99" i="1"/>
  <c r="AE99" i="1"/>
  <c r="AG99" i="1"/>
  <c r="AH99" i="1"/>
  <c r="AI99" i="1"/>
  <c r="AK99" i="1"/>
  <c r="AL99" i="1"/>
  <c r="AO99" i="1"/>
  <c r="AP99" i="1"/>
  <c r="AQ99" i="1"/>
  <c r="X100" i="1"/>
  <c r="Y100" i="1"/>
  <c r="AA100" i="1"/>
  <c r="AD100" i="1"/>
  <c r="AE100" i="1"/>
  <c r="AG100" i="1"/>
  <c r="AH100" i="1"/>
  <c r="AI100" i="1"/>
  <c r="AK100" i="1"/>
  <c r="AL100" i="1"/>
  <c r="AO100" i="1"/>
  <c r="AP100" i="1"/>
  <c r="AQ100" i="1"/>
  <c r="X101" i="1"/>
  <c r="Y101" i="1"/>
  <c r="AA101" i="1"/>
  <c r="AD101" i="1"/>
  <c r="AE101" i="1"/>
  <c r="AG101" i="1"/>
  <c r="AH101" i="1"/>
  <c r="AI101" i="1"/>
  <c r="AK101" i="1"/>
  <c r="AL101" i="1"/>
  <c r="AO101" i="1"/>
  <c r="AP101" i="1"/>
  <c r="AQ101" i="1"/>
  <c r="X102" i="1"/>
  <c r="Y102" i="1"/>
  <c r="AA102" i="1"/>
  <c r="AD102" i="1"/>
  <c r="AE102" i="1"/>
  <c r="AG102" i="1"/>
  <c r="AH102" i="1"/>
  <c r="AI102" i="1"/>
  <c r="AK102" i="1"/>
  <c r="AL102" i="1"/>
  <c r="AO102" i="1"/>
  <c r="AP102" i="1"/>
  <c r="AQ102" i="1"/>
  <c r="X103" i="1"/>
  <c r="Y103" i="1"/>
  <c r="AA103" i="1"/>
  <c r="AD103" i="1"/>
  <c r="AE103" i="1"/>
  <c r="AG103" i="1"/>
  <c r="AH103" i="1"/>
  <c r="AI103" i="1"/>
  <c r="AK103" i="1"/>
  <c r="AL103" i="1"/>
  <c r="AO103" i="1"/>
  <c r="AP103" i="1"/>
  <c r="AQ103" i="1"/>
  <c r="X104" i="1"/>
  <c r="Y104" i="1"/>
  <c r="AA104" i="1"/>
  <c r="AD104" i="1"/>
  <c r="AE104" i="1"/>
  <c r="AG104" i="1"/>
  <c r="AH104" i="1"/>
  <c r="AI104" i="1"/>
  <c r="AK104" i="1"/>
  <c r="AL104" i="1"/>
  <c r="AO104" i="1"/>
  <c r="AP104" i="1"/>
  <c r="AQ104" i="1"/>
  <c r="X105" i="1"/>
  <c r="Y105" i="1"/>
  <c r="AA105" i="1"/>
  <c r="AD105" i="1"/>
  <c r="AE105" i="1"/>
  <c r="AG105" i="1"/>
  <c r="AH105" i="1"/>
  <c r="AI105" i="1"/>
  <c r="AK105" i="1"/>
  <c r="AL105" i="1"/>
  <c r="AO105" i="1"/>
  <c r="AP105" i="1"/>
  <c r="AQ105" i="1"/>
  <c r="X106" i="1"/>
  <c r="Y106" i="1"/>
  <c r="AA106" i="1"/>
  <c r="AD106" i="1"/>
  <c r="AE106" i="1"/>
  <c r="AG106" i="1"/>
  <c r="AH106" i="1"/>
  <c r="AI106" i="1"/>
  <c r="AK106" i="1"/>
  <c r="AL106" i="1"/>
  <c r="AO106" i="1"/>
  <c r="AP106" i="1"/>
  <c r="AQ106" i="1"/>
  <c r="X107" i="1"/>
  <c r="Y107" i="1"/>
  <c r="AA107" i="1"/>
  <c r="AD107" i="1"/>
  <c r="AE107" i="1"/>
  <c r="AG107" i="1"/>
  <c r="AH107" i="1"/>
  <c r="AI107" i="1"/>
  <c r="AK107" i="1"/>
  <c r="AL107" i="1"/>
  <c r="AO107" i="1"/>
  <c r="AP107" i="1"/>
  <c r="AQ107" i="1"/>
  <c r="X108" i="1"/>
  <c r="Y108" i="1"/>
  <c r="AA108" i="1"/>
  <c r="AD108" i="1"/>
  <c r="AE108" i="1"/>
  <c r="AG108" i="1"/>
  <c r="AH108" i="1"/>
  <c r="AI108" i="1"/>
  <c r="AK108" i="1"/>
  <c r="AL108" i="1"/>
  <c r="AO108" i="1"/>
  <c r="AP108" i="1"/>
  <c r="AQ108" i="1"/>
  <c r="X109" i="1"/>
  <c r="Y109" i="1"/>
  <c r="AA109" i="1"/>
  <c r="AD109" i="1"/>
  <c r="AE109" i="1"/>
  <c r="AG109" i="1"/>
  <c r="AH109" i="1"/>
  <c r="AI109" i="1"/>
  <c r="AK109" i="1"/>
  <c r="AL109" i="1"/>
  <c r="AO109" i="1"/>
  <c r="AP109" i="1"/>
  <c r="AQ109" i="1"/>
  <c r="X110" i="1"/>
  <c r="Y110" i="1"/>
  <c r="AA110" i="1"/>
  <c r="AD110" i="1"/>
  <c r="AE110" i="1"/>
  <c r="AG110" i="1"/>
  <c r="AH110" i="1"/>
  <c r="AI110" i="1"/>
  <c r="AK110" i="1"/>
  <c r="AL110" i="1"/>
  <c r="AO110" i="1"/>
  <c r="AP110" i="1"/>
  <c r="AQ110" i="1"/>
  <c r="X111" i="1"/>
  <c r="Y111" i="1"/>
  <c r="AA111" i="1"/>
  <c r="AD111" i="1"/>
  <c r="AE111" i="1"/>
  <c r="AG111" i="1"/>
  <c r="AH111" i="1"/>
  <c r="AI111" i="1"/>
  <c r="AK111" i="1"/>
  <c r="AL111" i="1"/>
  <c r="AO111" i="1"/>
  <c r="AP111" i="1"/>
  <c r="AQ111" i="1"/>
  <c r="X112" i="1"/>
  <c r="Y112" i="1"/>
  <c r="AA112" i="1"/>
  <c r="AD112" i="1"/>
  <c r="AE112" i="1"/>
  <c r="AG112" i="1"/>
  <c r="AH112" i="1"/>
  <c r="AI112" i="1"/>
  <c r="AK112" i="1"/>
  <c r="AL112" i="1"/>
  <c r="AO112" i="1"/>
  <c r="AP112" i="1"/>
  <c r="AQ112" i="1"/>
  <c r="X113" i="1"/>
  <c r="Y113" i="1"/>
  <c r="AA113" i="1"/>
  <c r="AD113" i="1"/>
  <c r="AE113" i="1"/>
  <c r="AG113" i="1"/>
  <c r="AH113" i="1"/>
  <c r="AI113" i="1"/>
  <c r="AK113" i="1"/>
  <c r="AL113" i="1"/>
  <c r="AO113" i="1"/>
  <c r="AP113" i="1"/>
  <c r="AQ113" i="1"/>
  <c r="X114" i="1"/>
  <c r="Y114" i="1"/>
  <c r="AA114" i="1"/>
  <c r="AD114" i="1"/>
  <c r="AE114" i="1"/>
  <c r="AG114" i="1"/>
  <c r="AH114" i="1"/>
  <c r="AI114" i="1"/>
  <c r="AK114" i="1"/>
  <c r="AL114" i="1"/>
  <c r="AO114" i="1"/>
  <c r="AP114" i="1"/>
  <c r="AQ114" i="1"/>
  <c r="X115" i="1"/>
  <c r="Y115" i="1"/>
  <c r="AA115" i="1"/>
  <c r="AD115" i="1"/>
  <c r="AE115" i="1"/>
  <c r="AG115" i="1"/>
  <c r="AH115" i="1"/>
  <c r="AI115" i="1"/>
  <c r="AK115" i="1"/>
  <c r="AL115" i="1"/>
  <c r="AO115" i="1"/>
  <c r="AP115" i="1"/>
  <c r="AQ115" i="1"/>
  <c r="X116" i="1"/>
  <c r="Y116" i="1"/>
  <c r="AA116" i="1"/>
  <c r="AD116" i="1"/>
  <c r="AE116" i="1"/>
  <c r="AG116" i="1"/>
  <c r="AH116" i="1"/>
  <c r="AI116" i="1"/>
  <c r="AK116" i="1"/>
  <c r="AL116" i="1"/>
  <c r="AO116" i="1"/>
  <c r="AP116" i="1"/>
  <c r="AQ116" i="1"/>
  <c r="X117" i="1"/>
  <c r="Y117" i="1"/>
  <c r="AA117" i="1"/>
  <c r="AD117" i="1"/>
  <c r="AE117" i="1"/>
  <c r="AG117" i="1"/>
  <c r="AH117" i="1"/>
  <c r="AI117" i="1"/>
  <c r="AK117" i="1"/>
  <c r="AL117" i="1"/>
  <c r="AO117" i="1"/>
  <c r="AP117" i="1"/>
  <c r="AQ117" i="1"/>
  <c r="X118" i="1"/>
  <c r="Y118" i="1"/>
  <c r="AA118" i="1"/>
  <c r="AD118" i="1"/>
  <c r="AE118" i="1"/>
  <c r="AG118" i="1"/>
  <c r="AH118" i="1"/>
  <c r="AI118" i="1"/>
  <c r="AK118" i="1"/>
  <c r="AL118" i="1"/>
  <c r="AO118" i="1"/>
  <c r="AP118" i="1"/>
  <c r="AQ118" i="1"/>
  <c r="X119" i="1"/>
  <c r="Y119" i="1"/>
  <c r="AA119" i="1"/>
  <c r="AD119" i="1"/>
  <c r="AE119" i="1"/>
  <c r="AG119" i="1"/>
  <c r="AH119" i="1"/>
  <c r="AI119" i="1"/>
  <c r="AK119" i="1"/>
  <c r="AL119" i="1"/>
  <c r="AO119" i="1"/>
  <c r="AP119" i="1"/>
  <c r="AQ119" i="1"/>
  <c r="X120" i="1"/>
  <c r="Y120" i="1"/>
  <c r="AA120" i="1"/>
  <c r="AD120" i="1"/>
  <c r="AE120" i="1"/>
  <c r="AG120" i="1"/>
  <c r="AH120" i="1"/>
  <c r="AI120" i="1"/>
  <c r="AK120" i="1"/>
  <c r="AL120" i="1"/>
  <c r="AO120" i="1"/>
  <c r="AP120" i="1"/>
  <c r="AQ120" i="1"/>
  <c r="X121" i="1"/>
  <c r="Y121" i="1"/>
  <c r="AA121" i="1"/>
  <c r="AD121" i="1"/>
  <c r="AE121" i="1"/>
  <c r="AG121" i="1"/>
  <c r="AH121" i="1"/>
  <c r="AI121" i="1"/>
  <c r="AK121" i="1"/>
  <c r="AL121" i="1"/>
  <c r="AO121" i="1"/>
  <c r="AP121" i="1"/>
  <c r="AQ121" i="1"/>
  <c r="X122" i="1"/>
  <c r="Y122" i="1"/>
  <c r="AA122" i="1"/>
  <c r="AD122" i="1"/>
  <c r="AE122" i="1"/>
  <c r="AG122" i="1"/>
  <c r="AH122" i="1"/>
  <c r="AI122" i="1"/>
  <c r="AK122" i="1"/>
  <c r="AL122" i="1"/>
  <c r="AO122" i="1"/>
  <c r="AP122" i="1"/>
  <c r="AQ122" i="1"/>
  <c r="X123" i="1"/>
  <c r="Y123" i="1"/>
  <c r="AA123" i="1"/>
  <c r="AD123" i="1"/>
  <c r="AE123" i="1"/>
  <c r="AG123" i="1"/>
  <c r="AH123" i="1"/>
  <c r="AI123" i="1"/>
  <c r="AK123" i="1"/>
  <c r="AL123" i="1"/>
  <c r="AO123" i="1"/>
  <c r="AP123" i="1"/>
  <c r="AQ123" i="1"/>
  <c r="X124" i="1"/>
  <c r="Y124" i="1"/>
  <c r="AA124" i="1"/>
  <c r="AD124" i="1"/>
  <c r="AE124" i="1"/>
  <c r="AG124" i="1"/>
  <c r="AH124" i="1"/>
  <c r="AI124" i="1"/>
  <c r="AK124" i="1"/>
  <c r="AL124" i="1"/>
  <c r="AO124" i="1"/>
  <c r="AP124" i="1"/>
  <c r="AQ124" i="1"/>
  <c r="X125" i="1"/>
  <c r="Y125" i="1"/>
  <c r="AA125" i="1"/>
  <c r="AD125" i="1"/>
  <c r="AE125" i="1"/>
  <c r="AG125" i="1"/>
  <c r="AH125" i="1"/>
  <c r="AI125" i="1"/>
  <c r="AK125" i="1"/>
  <c r="AL125" i="1"/>
  <c r="AO125" i="1"/>
  <c r="AP125" i="1"/>
  <c r="AQ125" i="1"/>
  <c r="X126" i="1"/>
  <c r="Y126" i="1"/>
  <c r="AA126" i="1"/>
  <c r="AD126" i="1"/>
  <c r="AE126" i="1"/>
  <c r="AG126" i="1"/>
  <c r="AH126" i="1"/>
  <c r="AI126" i="1"/>
  <c r="AK126" i="1"/>
  <c r="AL126" i="1"/>
  <c r="AO126" i="1"/>
  <c r="AP126" i="1"/>
  <c r="AQ126" i="1"/>
  <c r="X127" i="1"/>
  <c r="Y127" i="1"/>
  <c r="AA127" i="1"/>
  <c r="AD127" i="1"/>
  <c r="AE127" i="1"/>
  <c r="AG127" i="1"/>
  <c r="AH127" i="1"/>
  <c r="AI127" i="1"/>
  <c r="AK127" i="1"/>
  <c r="AL127" i="1"/>
  <c r="AO127" i="1"/>
  <c r="AP127" i="1"/>
  <c r="AQ127" i="1"/>
  <c r="X128" i="1"/>
  <c r="Y128" i="1"/>
  <c r="AA128" i="1"/>
  <c r="AD128" i="1"/>
  <c r="AE128" i="1"/>
  <c r="AG128" i="1"/>
  <c r="AH128" i="1"/>
  <c r="AI128" i="1"/>
  <c r="AK128" i="1"/>
  <c r="AL128" i="1"/>
  <c r="AO128" i="1"/>
  <c r="AP128" i="1"/>
  <c r="AQ128" i="1"/>
  <c r="AF138" i="1" l="1"/>
  <c r="AF162" i="1"/>
  <c r="AF137" i="1"/>
  <c r="AF134" i="1"/>
  <c r="AF158" i="1"/>
  <c r="AF135" i="1"/>
  <c r="AF157" i="1"/>
  <c r="AF143" i="1"/>
  <c r="AF136" i="1"/>
  <c r="AF127" i="1"/>
  <c r="AF105" i="1"/>
  <c r="AF114" i="1"/>
  <c r="AF103" i="1"/>
  <c r="AF100" i="1"/>
  <c r="AF101" i="1"/>
  <c r="AF92" i="1"/>
  <c r="AF104" i="1"/>
  <c r="AF90" i="1"/>
  <c r="AF110" i="1"/>
  <c r="AF115" i="1"/>
  <c r="AF112" i="1"/>
  <c r="AF97" i="1"/>
  <c r="AF91" i="1"/>
  <c r="AF87" i="1"/>
  <c r="AF99" i="1"/>
  <c r="AF106" i="1"/>
  <c r="AF89" i="1"/>
  <c r="AF102" i="1"/>
  <c r="AF88" i="1"/>
  <c r="AF98" i="1"/>
  <c r="Z8" i="6" l="1" a="1"/>
  <c r="Z8" i="6" s="1"/>
  <c r="AF8" i="6" a="1"/>
  <c r="AF8" i="6" s="1"/>
  <c r="AK8" i="6" a="1"/>
  <c r="AK8" i="6" s="1"/>
  <c r="AB9" i="6" a="1"/>
  <c r="AB9" i="6" s="1"/>
  <c r="AH9" i="6" a="1"/>
  <c r="AH9" i="6" s="1"/>
  <c r="AM9" i="6" a="1"/>
  <c r="AM9" i="6" s="1"/>
  <c r="AD10" i="6" a="1"/>
  <c r="AD10" i="6" s="1"/>
  <c r="AJ10" i="6" a="1"/>
  <c r="AJ10" i="6" s="1"/>
  <c r="AA11" i="6" a="1"/>
  <c r="AA11" i="6" s="1"/>
  <c r="AF11" i="6" a="1"/>
  <c r="AF11" i="6" s="1"/>
  <c r="AL11" i="6" a="1"/>
  <c r="AL11" i="6" s="1"/>
  <c r="AC12" i="6" a="1"/>
  <c r="AC12" i="6" s="1"/>
  <c r="AH12" i="6" a="1"/>
  <c r="AH12" i="6" s="1"/>
  <c r="Z13" i="6" a="1"/>
  <c r="Z13" i="6" s="1"/>
  <c r="AE13" i="6" a="1"/>
  <c r="AE13" i="6" s="1"/>
  <c r="AA8" i="6" a="1"/>
  <c r="AA8" i="6" s="1"/>
  <c r="AC9" i="6" a="1"/>
  <c r="AC9" i="6" s="1"/>
  <c r="AE10" i="6" a="1"/>
  <c r="AE10" i="6" s="1"/>
  <c r="AG11" i="6" a="1"/>
  <c r="AG11" i="6" s="1"/>
  <c r="AI12" i="6" a="1"/>
  <c r="AI12" i="6" s="1"/>
  <c r="AK13" i="6" a="1"/>
  <c r="AK13" i="6" s="1"/>
  <c r="AM14" i="6" a="1"/>
  <c r="AM14" i="6" s="1"/>
  <c r="AA16" i="6" a="1"/>
  <c r="AA16" i="6" s="1"/>
  <c r="AC17" i="6" a="1"/>
  <c r="AC17" i="6" s="1"/>
  <c r="AE18" i="6" a="1"/>
  <c r="AE18" i="6" s="1"/>
  <c r="AG19" i="6" a="1"/>
  <c r="AG19" i="6" s="1"/>
  <c r="AI20" i="6" a="1"/>
  <c r="AI20" i="6" s="1"/>
  <c r="AK21" i="6" a="1"/>
  <c r="AK21" i="6" s="1"/>
  <c r="AM22" i="6" a="1"/>
  <c r="AM22" i="6" s="1"/>
  <c r="AA24" i="6" a="1"/>
  <c r="AA24" i="6" s="1"/>
  <c r="AC25" i="6" a="1"/>
  <c r="AC25" i="6" s="1"/>
  <c r="AE26" i="6" a="1"/>
  <c r="AE26" i="6" s="1"/>
  <c r="AG27" i="6" a="1"/>
  <c r="AG27" i="6" s="1"/>
  <c r="AI28" i="6" a="1"/>
  <c r="AI28" i="6" s="1"/>
  <c r="V8" i="6" a="1"/>
  <c r="V8" i="6" s="1"/>
  <c r="W11" i="6" a="1"/>
  <c r="W11" i="6" s="1"/>
  <c r="X14" i="6" a="1"/>
  <c r="X14" i="6" s="1"/>
  <c r="Y17" i="6" a="1"/>
  <c r="Y17" i="6" s="1"/>
  <c r="U21" i="6" a="1"/>
  <c r="U21" i="6" s="1"/>
  <c r="V24" i="6" a="1"/>
  <c r="V24" i="6" s="1"/>
  <c r="W27" i="6" a="1"/>
  <c r="W27" i="6" s="1"/>
  <c r="T8" i="6" a="1"/>
  <c r="T8" i="6" s="1"/>
  <c r="P10" i="6" a="1"/>
  <c r="P10" i="6" s="1"/>
  <c r="P11" i="6" a="1"/>
  <c r="P11" i="6" s="1"/>
  <c r="P12" i="6" a="1"/>
  <c r="P12" i="6" s="1"/>
  <c r="Q13" i="6" a="1"/>
  <c r="Q13" i="6" s="1"/>
  <c r="Q14" i="6" a="1"/>
  <c r="Q14" i="6" s="1"/>
  <c r="Q15" i="6" a="1"/>
  <c r="Q15" i="6" s="1"/>
  <c r="R16" i="6" a="1"/>
  <c r="R16" i="6" s="1"/>
  <c r="AB8" i="6" a="1"/>
  <c r="AB8" i="6" s="1"/>
  <c r="AG8" i="6" a="1"/>
  <c r="AG8" i="6" s="1"/>
  <c r="AL8" i="6" a="1"/>
  <c r="AL8" i="6" s="1"/>
  <c r="AD9" i="6" a="1"/>
  <c r="AD9" i="6" s="1"/>
  <c r="AI9" i="6" a="1"/>
  <c r="AI9" i="6" s="1"/>
  <c r="Z10" i="6" a="1"/>
  <c r="Z10" i="6" s="1"/>
  <c r="AF10" i="6" a="1"/>
  <c r="AF10" i="6" s="1"/>
  <c r="AK10" i="6" a="1"/>
  <c r="AK10" i="6" s="1"/>
  <c r="AB11" i="6" a="1"/>
  <c r="AB11" i="6" s="1"/>
  <c r="AH11" i="6" a="1"/>
  <c r="AH11" i="6" s="1"/>
  <c r="AM11" i="6" a="1"/>
  <c r="AM11" i="6" s="1"/>
  <c r="AD12" i="6" a="1"/>
  <c r="AD12" i="6" s="1"/>
  <c r="AJ12" i="6" a="1"/>
  <c r="AJ12" i="6" s="1"/>
  <c r="AA13" i="6" a="1"/>
  <c r="AA13" i="6" s="1"/>
  <c r="AF13" i="6" a="1"/>
  <c r="AF13" i="6" s="1"/>
  <c r="AL13" i="6" a="1"/>
  <c r="AL13" i="6" s="1"/>
  <c r="AC14" i="6" a="1"/>
  <c r="AC14" i="6" s="1"/>
  <c r="AH14" i="6" a="1"/>
  <c r="AH14" i="6" s="1"/>
  <c r="Z15" i="6" a="1"/>
  <c r="Z15" i="6" s="1"/>
  <c r="AE15" i="6" a="1"/>
  <c r="AE15" i="6" s="1"/>
  <c r="AJ15" i="6" a="1"/>
  <c r="AJ15" i="6" s="1"/>
  <c r="AB16" i="6" a="1"/>
  <c r="AB16" i="6" s="1"/>
  <c r="AG16" i="6" a="1"/>
  <c r="AG16" i="6" s="1"/>
  <c r="AL16" i="6" a="1"/>
  <c r="AL16" i="6" s="1"/>
  <c r="AD17" i="6" a="1"/>
  <c r="AD17" i="6" s="1"/>
  <c r="AI17" i="6" a="1"/>
  <c r="AI17" i="6" s="1"/>
  <c r="Z18" i="6" a="1"/>
  <c r="Z18" i="6" s="1"/>
  <c r="AF18" i="6" a="1"/>
  <c r="AF18" i="6" s="1"/>
  <c r="AK18" i="6" a="1"/>
  <c r="AK18" i="6" s="1"/>
  <c r="AB19" i="6" a="1"/>
  <c r="AB19" i="6" s="1"/>
  <c r="AH19" i="6" a="1"/>
  <c r="AH19" i="6" s="1"/>
  <c r="AM19" i="6" a="1"/>
  <c r="AM19" i="6" s="1"/>
  <c r="AD20" i="6" a="1"/>
  <c r="AD20" i="6" s="1"/>
  <c r="AJ20" i="6" a="1"/>
  <c r="AJ20" i="6" s="1"/>
  <c r="AA21" i="6" a="1"/>
  <c r="AA21" i="6" s="1"/>
  <c r="AF21" i="6" a="1"/>
  <c r="AF21" i="6" s="1"/>
  <c r="AL21" i="6" a="1"/>
  <c r="AL21" i="6" s="1"/>
  <c r="AM8" i="6" a="1"/>
  <c r="AM8" i="6" s="1"/>
  <c r="AA10" i="6" a="1"/>
  <c r="AA10" i="6" s="1"/>
  <c r="AC11" i="6" a="1"/>
  <c r="AC11" i="6" s="1"/>
  <c r="AE12" i="6" a="1"/>
  <c r="AE12" i="6" s="1"/>
  <c r="AG13" i="6" a="1"/>
  <c r="AG13" i="6" s="1"/>
  <c r="AI14" i="6" a="1"/>
  <c r="AI14" i="6" s="1"/>
  <c r="AK15" i="6" a="1"/>
  <c r="AK15" i="6" s="1"/>
  <c r="AM16" i="6" a="1"/>
  <c r="AM16" i="6" s="1"/>
  <c r="AA18" i="6" a="1"/>
  <c r="AA18" i="6" s="1"/>
  <c r="AC19" i="6" a="1"/>
  <c r="AC19" i="6" s="1"/>
  <c r="AE20" i="6" a="1"/>
  <c r="AE20" i="6" s="1"/>
  <c r="AG21" i="6" a="1"/>
  <c r="AG21" i="6" s="1"/>
  <c r="AI22" i="6" a="1"/>
  <c r="AI22" i="6" s="1"/>
  <c r="AK23" i="6" a="1"/>
  <c r="AK23" i="6" s="1"/>
  <c r="AM24" i="6" a="1"/>
  <c r="AM24" i="6" s="1"/>
  <c r="AA26" i="6" a="1"/>
  <c r="AA26" i="6" s="1"/>
  <c r="AC27" i="6" a="1"/>
  <c r="AC27" i="6" s="1"/>
  <c r="AE28" i="6" a="1"/>
  <c r="AE28" i="6" s="1"/>
  <c r="X10" i="6" a="1"/>
  <c r="X10" i="6" s="1"/>
  <c r="Y13" i="6" a="1"/>
  <c r="Y13" i="6" s="1"/>
  <c r="U17" i="6" a="1"/>
  <c r="U17" i="6" s="1"/>
  <c r="V20" i="6" a="1"/>
  <c r="V20" i="6" s="1"/>
  <c r="W23" i="6" a="1"/>
  <c r="W23" i="6" s="1"/>
  <c r="X26" i="6" a="1"/>
  <c r="X26" i="6" s="1"/>
  <c r="P8" i="6" a="1"/>
  <c r="P8" i="6" s="1"/>
  <c r="Q9" i="6" a="1"/>
  <c r="Q9" i="6" s="1"/>
  <c r="Q10" i="6" a="1"/>
  <c r="Q10" i="6" s="1"/>
  <c r="Q11" i="6" a="1"/>
  <c r="Q11" i="6" s="1"/>
  <c r="R12" i="6" a="1"/>
  <c r="R12" i="6" s="1"/>
  <c r="R13" i="6" a="1"/>
  <c r="R13" i="6" s="1"/>
  <c r="R14" i="6" a="1"/>
  <c r="R14" i="6" s="1"/>
  <c r="S15" i="6" a="1"/>
  <c r="S15" i="6" s="1"/>
  <c r="S16" i="6" a="1"/>
  <c r="S16" i="6" s="1"/>
  <c r="S17" i="6" a="1"/>
  <c r="S17" i="6" s="1"/>
  <c r="T18" i="6" a="1"/>
  <c r="T18" i="6" s="1"/>
  <c r="AC8" i="6" a="1"/>
  <c r="AC8" i="6" s="1"/>
  <c r="AH8" i="6" a="1"/>
  <c r="AH8" i="6" s="1"/>
  <c r="Z9" i="6" a="1"/>
  <c r="Z9" i="6" s="1"/>
  <c r="AE9" i="6" a="1"/>
  <c r="AE9" i="6" s="1"/>
  <c r="AJ9" i="6" a="1"/>
  <c r="AJ9" i="6" s="1"/>
  <c r="AB10" i="6" a="1"/>
  <c r="AB10" i="6" s="1"/>
  <c r="AG10" i="6" a="1"/>
  <c r="AG10" i="6" s="1"/>
  <c r="AL10" i="6" a="1"/>
  <c r="AL10" i="6" s="1"/>
  <c r="AD11" i="6" a="1"/>
  <c r="AD11" i="6" s="1"/>
  <c r="AI11" i="6" a="1"/>
  <c r="AI11" i="6" s="1"/>
  <c r="Z12" i="6" a="1"/>
  <c r="Z12" i="6" s="1"/>
  <c r="AF12" i="6" a="1"/>
  <c r="AF12" i="6" s="1"/>
  <c r="AK12" i="6" a="1"/>
  <c r="AK12" i="6" s="1"/>
  <c r="AB13" i="6" a="1"/>
  <c r="AB13" i="6" s="1"/>
  <c r="AH13" i="6" a="1"/>
  <c r="AH13" i="6" s="1"/>
  <c r="AM13" i="6" a="1"/>
  <c r="AM13" i="6" s="1"/>
  <c r="AD14" i="6" a="1"/>
  <c r="AD14" i="6" s="1"/>
  <c r="AJ14" i="6" a="1"/>
  <c r="AJ14" i="6" s="1"/>
  <c r="AA15" i="6" a="1"/>
  <c r="AA15" i="6" s="1"/>
  <c r="AF15" i="6" a="1"/>
  <c r="AF15" i="6" s="1"/>
  <c r="AL15" i="6" a="1"/>
  <c r="AL15" i="6" s="1"/>
  <c r="AC16" i="6" a="1"/>
  <c r="AC16" i="6" s="1"/>
  <c r="AH16" i="6" a="1"/>
  <c r="AH16" i="6" s="1"/>
  <c r="Z17" i="6" a="1"/>
  <c r="Z17" i="6" s="1"/>
  <c r="AE17" i="6" a="1"/>
  <c r="AE17" i="6" s="1"/>
  <c r="AJ17" i="6" a="1"/>
  <c r="AJ17" i="6" s="1"/>
  <c r="AB18" i="6" a="1"/>
  <c r="AB18" i="6" s="1"/>
  <c r="AG18" i="6" a="1"/>
  <c r="AG18" i="6" s="1"/>
  <c r="AL18" i="6" a="1"/>
  <c r="AL18" i="6" s="1"/>
  <c r="AD19" i="6" a="1"/>
  <c r="AD19" i="6" s="1"/>
  <c r="AI19" i="6" a="1"/>
  <c r="AI19" i="6" s="1"/>
  <c r="Z20" i="6" a="1"/>
  <c r="Z20" i="6" s="1"/>
  <c r="AF20" i="6" a="1"/>
  <c r="AF20" i="6" s="1"/>
  <c r="AK20" i="6" a="1"/>
  <c r="AK20" i="6" s="1"/>
  <c r="AB21" i="6" a="1"/>
  <c r="AB21" i="6" s="1"/>
  <c r="AH21" i="6" a="1"/>
  <c r="AH21" i="6" s="1"/>
  <c r="AM21" i="6" a="1"/>
  <c r="AM21" i="6" s="1"/>
  <c r="AC10" i="6" a="1"/>
  <c r="AC10" i="6" s="1"/>
  <c r="AD13" i="6" a="1"/>
  <c r="AD13" i="6" s="1"/>
  <c r="AA14" i="6" a="1"/>
  <c r="AA14" i="6" s="1"/>
  <c r="AE16" i="6" a="1"/>
  <c r="AE16" i="6" s="1"/>
  <c r="AI18" i="6" a="1"/>
  <c r="AI18" i="6" s="1"/>
  <c r="AM20" i="6" a="1"/>
  <c r="AM20" i="6" s="1"/>
  <c r="AE22" i="6" a="1"/>
  <c r="AE22" i="6" s="1"/>
  <c r="AE23" i="6" a="1"/>
  <c r="AE23" i="6" s="1"/>
  <c r="AE24" i="6" a="1"/>
  <c r="AE24" i="6" s="1"/>
  <c r="AL24" i="6" a="1"/>
  <c r="AL24" i="6" s="1"/>
  <c r="AF26" i="6" a="1"/>
  <c r="AF26" i="6" s="1"/>
  <c r="AM26" i="6" a="1"/>
  <c r="AM26" i="6" s="1"/>
  <c r="AM27" i="6" a="1"/>
  <c r="AM27" i="6" s="1"/>
  <c r="AM28" i="6" a="1"/>
  <c r="AM28" i="6" s="1"/>
  <c r="W9" i="6" a="1"/>
  <c r="W9" i="6" s="1"/>
  <c r="V12" i="6" a="1"/>
  <c r="V12" i="6" s="1"/>
  <c r="X13" i="6" a="1"/>
  <c r="X13" i="6" s="1"/>
  <c r="U18" i="6" a="1"/>
  <c r="U18" i="6" s="1"/>
  <c r="W19" i="6" a="1"/>
  <c r="W19" i="6" s="1"/>
  <c r="V22" i="6" a="1"/>
  <c r="V22" i="6" s="1"/>
  <c r="U25" i="6" a="1"/>
  <c r="U25" i="6" s="1"/>
  <c r="W26" i="6" a="1"/>
  <c r="W26" i="6" s="1"/>
  <c r="U28" i="6" a="1"/>
  <c r="U28" i="6" s="1"/>
  <c r="S8" i="6" a="1"/>
  <c r="S8" i="6" s="1"/>
  <c r="S11" i="6" a="1"/>
  <c r="S11" i="6" s="1"/>
  <c r="T12" i="6" a="1"/>
  <c r="T12" i="6" s="1"/>
  <c r="T15" i="6" a="1"/>
  <c r="T15" i="6" s="1"/>
  <c r="Q17" i="6" a="1"/>
  <c r="Q17" i="6" s="1"/>
  <c r="S19" i="6" a="1"/>
  <c r="S19" i="6" s="1"/>
  <c r="S20" i="6" a="1"/>
  <c r="S20" i="6" s="1"/>
  <c r="S21" i="6" a="1"/>
  <c r="S21" i="6" s="1"/>
  <c r="T22" i="6" a="1"/>
  <c r="T22" i="6" s="1"/>
  <c r="T23" i="6" a="1"/>
  <c r="T23" i="6" s="1"/>
  <c r="T24" i="6" a="1"/>
  <c r="T24" i="6" s="1"/>
  <c r="P26" i="6" a="1"/>
  <c r="P26" i="6" s="1"/>
  <c r="P27" i="6" a="1"/>
  <c r="P27" i="6" s="1"/>
  <c r="Q28" i="6" a="1"/>
  <c r="Q28" i="6" s="1"/>
  <c r="G8" i="6" a="1"/>
  <c r="G8" i="6" s="1"/>
  <c r="E9" i="6" a="1"/>
  <c r="E9" i="6" s="1"/>
  <c r="N9" i="6" a="1"/>
  <c r="N9" i="6" s="1"/>
  <c r="H10" i="6" a="1"/>
  <c r="H10" i="6" s="1"/>
  <c r="F11" i="6" a="1"/>
  <c r="F11" i="6" s="1"/>
  <c r="O11" i="6" a="1"/>
  <c r="O11" i="6" s="1"/>
  <c r="M12" i="6" a="1"/>
  <c r="M12" i="6" s="1"/>
  <c r="G13" i="6" a="1"/>
  <c r="G13" i="6" s="1"/>
  <c r="E14" i="6" a="1"/>
  <c r="E14" i="6" s="1"/>
  <c r="N14" i="6" a="1"/>
  <c r="N14" i="6" s="1"/>
  <c r="L15" i="6" a="1"/>
  <c r="L15" i="6" s="1"/>
  <c r="F16" i="6" a="1"/>
  <c r="F16" i="6" s="1"/>
  <c r="O16" i="6" a="1"/>
  <c r="O16" i="6" s="1"/>
  <c r="AD8" i="6" a="1"/>
  <c r="AD8" i="6" s="1"/>
  <c r="AE11" i="6" a="1"/>
  <c r="AE11" i="6" s="1"/>
  <c r="AB14" i="6" a="1"/>
  <c r="AB14" i="6" s="1"/>
  <c r="AL14" i="6" a="1"/>
  <c r="AL14" i="6" s="1"/>
  <c r="AI15" i="6" a="1"/>
  <c r="AI15" i="6" s="1"/>
  <c r="AF16" i="6" a="1"/>
  <c r="AF16" i="6" s="1"/>
  <c r="AB17" i="6" a="1"/>
  <c r="AB17" i="6" s="1"/>
  <c r="AM17" i="6" a="1"/>
  <c r="AM17" i="6" s="1"/>
  <c r="AJ18" i="6" a="1"/>
  <c r="AJ18" i="6" s="1"/>
  <c r="AF19" i="6" a="1"/>
  <c r="AF19" i="6" s="1"/>
  <c r="AC20" i="6" a="1"/>
  <c r="AC20" i="6" s="1"/>
  <c r="Z21" i="6" a="1"/>
  <c r="Z21" i="6" s="1"/>
  <c r="AJ21" i="6" a="1"/>
  <c r="AJ21" i="6" s="1"/>
  <c r="AF22" i="6" a="1"/>
  <c r="AF22" i="6" s="1"/>
  <c r="AL22" i="6" a="1"/>
  <c r="AL22" i="6" s="1"/>
  <c r="AF23" i="6" a="1"/>
  <c r="AF23" i="6" s="1"/>
  <c r="AM23" i="6" a="1"/>
  <c r="AM23" i="6" s="1"/>
  <c r="AF24" i="6" a="1"/>
  <c r="AF24" i="6" s="1"/>
  <c r="Z25" i="6" a="1"/>
  <c r="Z25" i="6" s="1"/>
  <c r="AF25" i="6" a="1"/>
  <c r="AF25" i="6" s="1"/>
  <c r="AM25" i="6" a="1"/>
  <c r="AM25" i="6" s="1"/>
  <c r="AG26" i="6" a="1"/>
  <c r="AG26" i="6" s="1"/>
  <c r="Z27" i="6" a="1"/>
  <c r="Z27" i="6" s="1"/>
  <c r="AF27" i="6" a="1"/>
  <c r="AF27" i="6" s="1"/>
  <c r="Z28" i="6" a="1"/>
  <c r="Z28" i="6" s="1"/>
  <c r="AG28" i="6" a="1"/>
  <c r="AG28" i="6" s="1"/>
  <c r="U8" i="6" a="1"/>
  <c r="U8" i="6" s="1"/>
  <c r="X9" i="6" a="1"/>
  <c r="X9" i="6" s="1"/>
  <c r="U11" i="6" a="1"/>
  <c r="U11" i="6" s="1"/>
  <c r="W12" i="6" a="1"/>
  <c r="W12" i="6" s="1"/>
  <c r="U14" i="6" a="1"/>
  <c r="U14" i="6" s="1"/>
  <c r="V15" i="6" a="1"/>
  <c r="V15" i="6" s="1"/>
  <c r="X16" i="6" a="1"/>
  <c r="X16" i="6" s="1"/>
  <c r="V18" i="6" a="1"/>
  <c r="V18" i="6" s="1"/>
  <c r="X19" i="6" a="1"/>
  <c r="X19" i="6" s="1"/>
  <c r="Y20" i="6" a="1"/>
  <c r="Y20" i="6" s="1"/>
  <c r="W22" i="6" a="1"/>
  <c r="W22" i="6" s="1"/>
  <c r="Y23" i="6" a="1"/>
  <c r="Y23" i="6" s="1"/>
  <c r="V25" i="6" a="1"/>
  <c r="V25" i="6" s="1"/>
  <c r="Y26" i="6" a="1"/>
  <c r="Y26" i="6" s="1"/>
  <c r="V28" i="6" a="1"/>
  <c r="V28" i="6" s="1"/>
  <c r="P13" i="6" a="1"/>
  <c r="P13" i="6" s="1"/>
  <c r="S14" i="6" a="1"/>
  <c r="S14" i="6" s="1"/>
  <c r="R18" i="6" a="1"/>
  <c r="R18" i="6" s="1"/>
  <c r="T21" i="6" a="1"/>
  <c r="T21" i="6" s="1"/>
  <c r="P25" i="6" a="1"/>
  <c r="P25" i="6" s="1"/>
  <c r="R28" i="6" a="1"/>
  <c r="R28" i="6" s="1"/>
  <c r="L8" i="6" a="1"/>
  <c r="L8" i="6" s="1"/>
  <c r="J9" i="6" a="1"/>
  <c r="J9" i="6" s="1"/>
  <c r="AE8" i="6" a="1"/>
  <c r="AE8" i="6" s="1"/>
  <c r="AF9" i="6" a="1"/>
  <c r="AF9" i="6" s="1"/>
  <c r="AG12" i="6" a="1"/>
  <c r="AG12" i="6" s="1"/>
  <c r="AE14" i="6" a="1"/>
  <c r="AE14" i="6" s="1"/>
  <c r="AI16" i="6" a="1"/>
  <c r="AI16" i="6" s="1"/>
  <c r="AM18" i="6" a="1"/>
  <c r="AM18" i="6" s="1"/>
  <c r="AC21" i="6" a="1"/>
  <c r="AC21" i="6" s="1"/>
  <c r="Z23" i="6" a="1"/>
  <c r="Z23" i="6" s="1"/>
  <c r="AG23" i="6" a="1"/>
  <c r="AG23" i="6" s="1"/>
  <c r="AG24" i="6" a="1"/>
  <c r="AG24" i="6" s="1"/>
  <c r="AG25" i="6" a="1"/>
  <c r="AG25" i="6" s="1"/>
  <c r="Z26" i="6" a="1"/>
  <c r="Z26" i="6" s="1"/>
  <c r="AH27" i="6" a="1"/>
  <c r="AH27" i="6" s="1"/>
  <c r="AA28" i="6" a="1"/>
  <c r="AA28" i="6" s="1"/>
  <c r="W8" i="6" a="1"/>
  <c r="W8" i="6" s="1"/>
  <c r="Y9" i="6" a="1"/>
  <c r="Y9" i="6" s="1"/>
  <c r="X12" i="6" a="1"/>
  <c r="X12" i="6" s="1"/>
  <c r="W15" i="6" a="1"/>
  <c r="W15" i="6" s="1"/>
  <c r="Y16" i="6" a="1"/>
  <c r="Y16" i="6" s="1"/>
  <c r="V21" i="6" a="1"/>
  <c r="V21" i="6" s="1"/>
  <c r="X22" i="6" a="1"/>
  <c r="X22" i="6" s="1"/>
  <c r="W25" i="6" a="1"/>
  <c r="W25" i="6" s="1"/>
  <c r="W28" i="6" a="1"/>
  <c r="W28" i="6" s="1"/>
  <c r="P9" i="6" a="1"/>
  <c r="P9" i="6" s="1"/>
  <c r="R10" i="6" a="1"/>
  <c r="R10" i="6" s="1"/>
  <c r="T11" i="6" a="1"/>
  <c r="T11" i="6" s="1"/>
  <c r="T14" i="6" a="1"/>
  <c r="T14" i="6" s="1"/>
  <c r="P16" i="6" a="1"/>
  <c r="P16" i="6" s="1"/>
  <c r="R17" i="6" a="1"/>
  <c r="R17" i="6" s="1"/>
  <c r="S18" i="6" a="1"/>
  <c r="S18" i="6" s="1"/>
  <c r="T19" i="6" a="1"/>
  <c r="T19" i="6" s="1"/>
  <c r="T20" i="6" a="1"/>
  <c r="T20" i="6" s="1"/>
  <c r="P22" i="6" a="1"/>
  <c r="P22" i="6" s="1"/>
  <c r="P23" i="6" a="1"/>
  <c r="P23" i="6" s="1"/>
  <c r="P24" i="6" a="1"/>
  <c r="P24" i="6" s="1"/>
  <c r="Q25" i="6" a="1"/>
  <c r="Q25" i="6" s="1"/>
  <c r="Q26" i="6" a="1"/>
  <c r="Q26" i="6" s="1"/>
  <c r="Q27" i="6" a="1"/>
  <c r="Q27" i="6" s="1"/>
  <c r="H8" i="6" a="1"/>
  <c r="H8" i="6" s="1"/>
  <c r="F9" i="6" a="1"/>
  <c r="F9" i="6" s="1"/>
  <c r="K9" i="6" a="1"/>
  <c r="K9" i="6" s="1"/>
  <c r="I10" i="6" a="1"/>
  <c r="I10" i="6" s="1"/>
  <c r="G11" i="6" a="1"/>
  <c r="G11" i="6" s="1"/>
  <c r="E12" i="6" a="1"/>
  <c r="E12" i="6" s="1"/>
  <c r="J12" i="6" a="1"/>
  <c r="J12" i="6" s="1"/>
  <c r="H13" i="6" a="1"/>
  <c r="H13" i="6" s="1"/>
  <c r="F14" i="6" a="1"/>
  <c r="F14" i="6" s="1"/>
  <c r="O14" i="6" a="1"/>
  <c r="O14" i="6" s="1"/>
  <c r="I15" i="6" a="1"/>
  <c r="I15" i="6" s="1"/>
  <c r="G16" i="6" a="1"/>
  <c r="G16" i="6" s="1"/>
  <c r="E17" i="6" a="1"/>
  <c r="E17" i="6" s="1"/>
  <c r="AI8" i="6" a="1"/>
  <c r="AI8" i="6" s="1"/>
  <c r="AG9" i="6" a="1"/>
  <c r="AG9" i="6" s="1"/>
  <c r="AH10" i="6" a="1"/>
  <c r="AH10" i="6" s="1"/>
  <c r="AI13" i="6" a="1"/>
  <c r="AI13" i="6" s="1"/>
  <c r="AF14" i="6" a="1"/>
  <c r="AF14" i="6" s="1"/>
  <c r="AB15" i="6" a="1"/>
  <c r="AB15" i="6" s="1"/>
  <c r="AM15" i="6" a="1"/>
  <c r="AM15" i="6" s="1"/>
  <c r="AJ16" i="6" a="1"/>
  <c r="AJ16" i="6" s="1"/>
  <c r="AF17" i="6" a="1"/>
  <c r="AF17" i="6" s="1"/>
  <c r="AC18" i="6" a="1"/>
  <c r="AC18" i="6" s="1"/>
  <c r="Z19" i="6" a="1"/>
  <c r="Z19" i="6" s="1"/>
  <c r="AJ19" i="6" a="1"/>
  <c r="AJ19" i="6" s="1"/>
  <c r="AG20" i="6" a="1"/>
  <c r="AG20" i="6" s="1"/>
  <c r="AD21" i="6" a="1"/>
  <c r="AD21" i="6" s="1"/>
  <c r="Z22" i="6" a="1"/>
  <c r="Z22" i="6" s="1"/>
  <c r="AG22" i="6" a="1"/>
  <c r="AG22" i="6" s="1"/>
  <c r="AA23" i="6" a="1"/>
  <c r="AA23" i="6" s="1"/>
  <c r="AH23" i="6" a="1"/>
  <c r="AH23" i="6" s="1"/>
  <c r="Z24" i="6" a="1"/>
  <c r="Z24" i="6" s="1"/>
  <c r="AH24" i="6" a="1"/>
  <c r="AH24" i="6" s="1"/>
  <c r="AA25" i="6" a="1"/>
  <c r="AA25" i="6" s="1"/>
  <c r="AH25" i="6" a="1"/>
  <c r="AH25" i="6" s="1"/>
  <c r="AB26" i="6" a="1"/>
  <c r="AB26" i="6" s="1"/>
  <c r="AH26" i="6" a="1"/>
  <c r="AH26" i="6" s="1"/>
  <c r="AA27" i="6" a="1"/>
  <c r="AA27" i="6" s="1"/>
  <c r="AI27" i="6" a="1"/>
  <c r="AI27" i="6" s="1"/>
  <c r="AB28" i="6" a="1"/>
  <c r="AB28" i="6" s="1"/>
  <c r="AH28" i="6" a="1"/>
  <c r="AH28" i="6" s="1"/>
  <c r="X8" i="6" a="1"/>
  <c r="X8" i="6" s="1"/>
  <c r="U10" i="6" a="1"/>
  <c r="U10" i="6" s="1"/>
  <c r="V11" i="6" a="1"/>
  <c r="V11" i="6" s="1"/>
  <c r="Y12" i="6" a="1"/>
  <c r="Y12" i="6" s="1"/>
  <c r="V14" i="6" a="1"/>
  <c r="V14" i="6" s="1"/>
  <c r="X15" i="6" a="1"/>
  <c r="X15" i="6" s="1"/>
  <c r="V17" i="6" a="1"/>
  <c r="V17" i="6" s="1"/>
  <c r="W18" i="6" a="1"/>
  <c r="W18" i="6" s="1"/>
  <c r="Y19" i="6" a="1"/>
  <c r="Y19" i="6" s="1"/>
  <c r="W21" i="6" a="1"/>
  <c r="W21" i="6" s="1"/>
  <c r="Y22" i="6" a="1"/>
  <c r="Y22" i="6" s="1"/>
  <c r="U24" i="6" a="1"/>
  <c r="U24" i="6" s="1"/>
  <c r="X25" i="6" a="1"/>
  <c r="X25" i="6" s="1"/>
  <c r="U27" i="6" a="1"/>
  <c r="U27" i="6" s="1"/>
  <c r="X28" i="6" a="1"/>
  <c r="X28" i="6" s="1"/>
  <c r="S10" i="6" a="1"/>
  <c r="S10" i="6" s="1"/>
  <c r="Q16" i="6" a="1"/>
  <c r="Q16" i="6" s="1"/>
  <c r="P21" i="6" a="1"/>
  <c r="P21" i="6" s="1"/>
  <c r="Q24" i="6" a="1"/>
  <c r="Q24" i="6" s="1"/>
  <c r="R27" i="6" a="1"/>
  <c r="R27" i="6" s="1"/>
  <c r="S28" i="6" a="1"/>
  <c r="S28" i="6" s="1"/>
  <c r="M8" i="6" a="1"/>
  <c r="M8" i="6" s="1"/>
  <c r="G9" i="6" a="1"/>
  <c r="G9" i="6" s="1"/>
  <c r="E10" i="6" a="1"/>
  <c r="E10" i="6" s="1"/>
  <c r="N10" i="6" a="1"/>
  <c r="N10" i="6" s="1"/>
  <c r="L11" i="6" a="1"/>
  <c r="L11" i="6" s="1"/>
  <c r="F12" i="6" a="1"/>
  <c r="F12" i="6" s="1"/>
  <c r="O12" i="6" a="1"/>
  <c r="O12" i="6" s="1"/>
  <c r="M13" i="6" a="1"/>
  <c r="M13" i="6" s="1"/>
  <c r="K14" i="6" a="1"/>
  <c r="K14" i="6" s="1"/>
  <c r="E15" i="6" a="1"/>
  <c r="E15" i="6" s="1"/>
  <c r="N15" i="6" a="1"/>
  <c r="N15" i="6" s="1"/>
  <c r="L16" i="6" a="1"/>
  <c r="L16" i="6" s="1"/>
  <c r="J17" i="6" a="1"/>
  <c r="J17" i="6" s="1"/>
  <c r="O17" i="6" a="1"/>
  <c r="O17" i="6" s="1"/>
  <c r="M18" i="6" a="1"/>
  <c r="M18" i="6" s="1"/>
  <c r="K19" i="6" a="1"/>
  <c r="K19" i="6" s="1"/>
  <c r="I20" i="6" a="1"/>
  <c r="I20" i="6" s="1"/>
  <c r="N20" i="6" a="1"/>
  <c r="N20" i="6" s="1"/>
  <c r="L21" i="6" a="1"/>
  <c r="L21" i="6" s="1"/>
  <c r="AJ8" i="6" a="1"/>
  <c r="AJ8" i="6" s="1"/>
  <c r="AK9" i="6" a="1"/>
  <c r="AK9" i="6" s="1"/>
  <c r="AI10" i="6" a="1"/>
  <c r="AI10" i="6" s="1"/>
  <c r="AJ11" i="6" a="1"/>
  <c r="AJ11" i="6" s="1"/>
  <c r="AC15" i="6" a="1"/>
  <c r="AC15" i="6" s="1"/>
  <c r="AG17" i="6" a="1"/>
  <c r="AG17" i="6" s="1"/>
  <c r="AK19" i="6" a="1"/>
  <c r="AK19" i="6" s="1"/>
  <c r="AA22" i="6" a="1"/>
  <c r="AA22" i="6" s="1"/>
  <c r="AH22" i="6" a="1"/>
  <c r="AH22" i="6" s="1"/>
  <c r="AB24" i="6" a="1"/>
  <c r="AB24" i="6" s="1"/>
  <c r="AI24" i="6" a="1"/>
  <c r="AI24" i="6" s="1"/>
  <c r="AI25" i="6" a="1"/>
  <c r="AI25" i="6" s="1"/>
  <c r="AI26" i="6" a="1"/>
  <c r="AI26" i="6" s="1"/>
  <c r="AB27" i="6" a="1"/>
  <c r="AB27" i="6" s="1"/>
  <c r="AJ28" i="6" a="1"/>
  <c r="AJ28" i="6" s="1"/>
  <c r="X11" i="6" a="1"/>
  <c r="X11" i="6" s="1"/>
  <c r="U13" i="6" a="1"/>
  <c r="U13" i="6" s="1"/>
  <c r="Y15" i="6" a="1"/>
  <c r="Y15" i="6" s="1"/>
  <c r="X18" i="6" a="1"/>
  <c r="X18" i="6" s="1"/>
  <c r="U20" i="6" a="1"/>
  <c r="U20" i="6" s="1"/>
  <c r="W24" i="6" a="1"/>
  <c r="W24" i="6" s="1"/>
  <c r="Y25" i="6" a="1"/>
  <c r="Y25" i="6" s="1"/>
  <c r="Z16" i="6" a="1"/>
  <c r="Z16" i="6" s="1"/>
  <c r="AL17" i="6" a="1"/>
  <c r="AL17" i="6" s="1"/>
  <c r="AA20" i="6" a="1"/>
  <c r="AA20" i="6" s="1"/>
  <c r="AB22" i="6" a="1"/>
  <c r="AB22" i="6" s="1"/>
  <c r="AD23" i="6" a="1"/>
  <c r="AD23" i="6" s="1"/>
  <c r="AC26" i="6" a="1"/>
  <c r="AC26" i="6" s="1"/>
  <c r="AE27" i="6" a="1"/>
  <c r="AE27" i="6" s="1"/>
  <c r="Y11" i="6" a="1"/>
  <c r="Y11" i="6" s="1"/>
  <c r="U15" i="6" a="1"/>
  <c r="U15" i="6" s="1"/>
  <c r="U19" i="6" a="1"/>
  <c r="U19" i="6" s="1"/>
  <c r="U23" i="6" a="1"/>
  <c r="U23" i="6" s="1"/>
  <c r="V26" i="6" a="1"/>
  <c r="V26" i="6" s="1"/>
  <c r="R11" i="6" a="1"/>
  <c r="R11" i="6" s="1"/>
  <c r="P17" i="6" a="1"/>
  <c r="P17" i="6" s="1"/>
  <c r="R19" i="6" a="1"/>
  <c r="R19" i="6" s="1"/>
  <c r="T25" i="6" a="1"/>
  <c r="T25" i="6" s="1"/>
  <c r="P28" i="6" a="1"/>
  <c r="P28" i="6" s="1"/>
  <c r="K8" i="6" a="1"/>
  <c r="K8" i="6" s="1"/>
  <c r="I9" i="6" a="1"/>
  <c r="I9" i="6" s="1"/>
  <c r="J11" i="6" a="1"/>
  <c r="J11" i="6" s="1"/>
  <c r="G12" i="6" a="1"/>
  <c r="G12" i="6" s="1"/>
  <c r="N12" i="6" a="1"/>
  <c r="N12" i="6" s="1"/>
  <c r="J13" i="6" a="1"/>
  <c r="J13" i="6" s="1"/>
  <c r="G14" i="6" a="1"/>
  <c r="G14" i="6" s="1"/>
  <c r="N16" i="6" a="1"/>
  <c r="N16" i="6" s="1"/>
  <c r="I19" i="6" a="1"/>
  <c r="I19" i="6" s="1"/>
  <c r="N19" i="6" a="1"/>
  <c r="N19" i="6" s="1"/>
  <c r="H20" i="6" a="1"/>
  <c r="H20" i="6" s="1"/>
  <c r="M20" i="6" a="1"/>
  <c r="M20" i="6" s="1"/>
  <c r="H21" i="6" a="1"/>
  <c r="H21" i="6" s="1"/>
  <c r="M21" i="6" a="1"/>
  <c r="M21" i="6" s="1"/>
  <c r="K22" i="6" a="1"/>
  <c r="K22" i="6" s="1"/>
  <c r="E23" i="6" a="1"/>
  <c r="E23" i="6" s="1"/>
  <c r="N23" i="6" a="1"/>
  <c r="N23" i="6" s="1"/>
  <c r="L24" i="6" a="1"/>
  <c r="L24" i="6" s="1"/>
  <c r="J25" i="6" a="1"/>
  <c r="J25" i="6" s="1"/>
  <c r="O25" i="6" a="1"/>
  <c r="O25" i="6" s="1"/>
  <c r="M26" i="6" a="1"/>
  <c r="M26" i="6" s="1"/>
  <c r="K27" i="6" a="1"/>
  <c r="K27" i="6" s="1"/>
  <c r="J28" i="6" a="1"/>
  <c r="J28" i="6" s="1"/>
  <c r="D20" i="6" a="1"/>
  <c r="D20" i="6" s="1"/>
  <c r="D26" i="6" a="1"/>
  <c r="D26" i="6" s="1"/>
  <c r="D13" i="6" a="1"/>
  <c r="D13" i="6" s="1"/>
  <c r="AK11" i="6" a="1"/>
  <c r="AK11" i="6" s="1"/>
  <c r="Z14" i="6" a="1"/>
  <c r="Z14" i="6" s="1"/>
  <c r="AD18" i="6" a="1"/>
  <c r="AD18" i="6" s="1"/>
  <c r="AB20" i="6" a="1"/>
  <c r="AB20" i="6" s="1"/>
  <c r="AC22" i="6" a="1"/>
  <c r="AC22" i="6" s="1"/>
  <c r="AI23" i="6" a="1"/>
  <c r="AI23" i="6" s="1"/>
  <c r="AK24" i="6" a="1"/>
  <c r="AK24" i="6" s="1"/>
  <c r="AJ27" i="6" a="1"/>
  <c r="AJ27" i="6" s="1"/>
  <c r="AL28" i="6" a="1"/>
  <c r="AL28" i="6" s="1"/>
  <c r="U16" i="6" a="1"/>
  <c r="U16" i="6" s="1"/>
  <c r="V19" i="6" a="1"/>
  <c r="V19" i="6" s="1"/>
  <c r="V23" i="6" a="1"/>
  <c r="V23" i="6" s="1"/>
  <c r="R9" i="6" a="1"/>
  <c r="R9" i="6" s="1"/>
  <c r="Q12" i="6" a="1"/>
  <c r="Q12" i="6" s="1"/>
  <c r="P15" i="6" a="1"/>
  <c r="P15" i="6" s="1"/>
  <c r="T17" i="6" a="1"/>
  <c r="T17" i="6" s="1"/>
  <c r="P20" i="6" a="1"/>
  <c r="P20" i="6" s="1"/>
  <c r="Q22" i="6" a="1"/>
  <c r="Q22" i="6" s="1"/>
  <c r="R24" i="6" a="1"/>
  <c r="R24" i="6" s="1"/>
  <c r="R26" i="6" a="1"/>
  <c r="R26" i="6" s="1"/>
  <c r="T28" i="6" a="1"/>
  <c r="T28" i="6" s="1"/>
  <c r="N8" i="6" a="1"/>
  <c r="N8" i="6" s="1"/>
  <c r="L9" i="6" a="1"/>
  <c r="L9" i="6" s="1"/>
  <c r="G10" i="6" a="1"/>
  <c r="G10" i="6" s="1"/>
  <c r="O10" i="6" a="1"/>
  <c r="O10" i="6" s="1"/>
  <c r="K11" i="6" a="1"/>
  <c r="K11" i="6" s="1"/>
  <c r="K13" i="6" a="1"/>
  <c r="K13" i="6" s="1"/>
  <c r="H14" i="6" a="1"/>
  <c r="H14" i="6" s="1"/>
  <c r="K15" i="6" a="1"/>
  <c r="K15" i="6" s="1"/>
  <c r="H16" i="6" a="1"/>
  <c r="H16" i="6" s="1"/>
  <c r="K17" i="6" a="1"/>
  <c r="K17" i="6" s="1"/>
  <c r="E18" i="6" a="1"/>
  <c r="E18" i="6" s="1"/>
  <c r="J18" i="6" a="1"/>
  <c r="J18" i="6" s="1"/>
  <c r="O18" i="6" a="1"/>
  <c r="O18" i="6" s="1"/>
  <c r="G22" i="6" a="1"/>
  <c r="G22" i="6" s="1"/>
  <c r="L22" i="6" a="1"/>
  <c r="L22" i="6" s="1"/>
  <c r="J23" i="6" a="1"/>
  <c r="J23" i="6" s="1"/>
  <c r="H24" i="6" a="1"/>
  <c r="H24" i="6" s="1"/>
  <c r="F25" i="6" a="1"/>
  <c r="F25" i="6" s="1"/>
  <c r="K25" i="6" a="1"/>
  <c r="K25" i="6" s="1"/>
  <c r="AA9" i="6" a="1"/>
  <c r="AA9" i="6" s="1"/>
  <c r="AA12" i="6" a="1"/>
  <c r="AA12" i="6" s="1"/>
  <c r="AG14" i="6" a="1"/>
  <c r="AG14" i="6" s="1"/>
  <c r="AD16" i="6" a="1"/>
  <c r="AD16" i="6" s="1"/>
  <c r="AH20" i="6" a="1"/>
  <c r="AH20" i="6" s="1"/>
  <c r="AD22" i="6" a="1"/>
  <c r="AD22" i="6" s="1"/>
  <c r="AJ23" i="6" a="1"/>
  <c r="AJ23" i="6" s="1"/>
  <c r="AB25" i="6" a="1"/>
  <c r="AB25" i="6" s="1"/>
  <c r="AD26" i="6" a="1"/>
  <c r="AD26" i="6" s="1"/>
  <c r="AK27" i="6" a="1"/>
  <c r="AK27" i="6" s="1"/>
  <c r="Y8" i="6" a="1"/>
  <c r="Y8" i="6" s="1"/>
  <c r="U12" i="6" a="1"/>
  <c r="U12" i="6" s="1"/>
  <c r="V16" i="6" a="1"/>
  <c r="V16" i="6" s="1"/>
  <c r="W20" i="6" a="1"/>
  <c r="W20" i="6" s="1"/>
  <c r="X23" i="6" a="1"/>
  <c r="X23" i="6" s="1"/>
  <c r="V27" i="6" a="1"/>
  <c r="V27" i="6" s="1"/>
  <c r="P18" i="6" a="1"/>
  <c r="P18" i="6" s="1"/>
  <c r="Q20" i="6" a="1"/>
  <c r="Q20" i="6" s="1"/>
  <c r="S26" i="6" a="1"/>
  <c r="S26" i="6" s="1"/>
  <c r="E8" i="6" a="1"/>
  <c r="E8" i="6" s="1"/>
  <c r="E11" i="6" a="1"/>
  <c r="E11" i="6" s="1"/>
  <c r="M11" i="6" a="1"/>
  <c r="M11" i="6" s="1"/>
  <c r="H12" i="6" a="1"/>
  <c r="H12" i="6" s="1"/>
  <c r="E13" i="6" a="1"/>
  <c r="E13" i="6" s="1"/>
  <c r="L13" i="6" a="1"/>
  <c r="L13" i="6" s="1"/>
  <c r="E19" i="6" a="1"/>
  <c r="E19" i="6" s="1"/>
  <c r="J19" i="6" a="1"/>
  <c r="J19" i="6" s="1"/>
  <c r="O19" i="6" a="1"/>
  <c r="O19" i="6" s="1"/>
  <c r="J20" i="6" a="1"/>
  <c r="J20" i="6" s="1"/>
  <c r="O20" i="6" a="1"/>
  <c r="O20" i="6" s="1"/>
  <c r="I21" i="6" a="1"/>
  <c r="I21" i="6" s="1"/>
  <c r="N21" i="6" a="1"/>
  <c r="N21" i="6" s="1"/>
  <c r="H22" i="6" a="1"/>
  <c r="H22" i="6" s="1"/>
  <c r="F23" i="6" a="1"/>
  <c r="F23" i="6" s="1"/>
  <c r="AL9" i="6" a="1"/>
  <c r="AL9" i="6" s="1"/>
  <c r="AB12" i="6" a="1"/>
  <c r="AB12" i="6" s="1"/>
  <c r="AK16" i="6" a="1"/>
  <c r="AK16" i="6" s="1"/>
  <c r="AH18" i="6" a="1"/>
  <c r="AH18" i="6" s="1"/>
  <c r="AJ22" i="6" a="1"/>
  <c r="AJ22" i="6" s="1"/>
  <c r="AL23" i="6" a="1"/>
  <c r="AL23" i="6" s="1"/>
  <c r="AD25" i="6" a="1"/>
  <c r="AD25" i="6" s="1"/>
  <c r="AJ26" i="6" a="1"/>
  <c r="AJ26" i="6" s="1"/>
  <c r="AL27" i="6" a="1"/>
  <c r="AL27" i="6" s="1"/>
  <c r="U9" i="6" a="1"/>
  <c r="U9" i="6" s="1"/>
  <c r="V13" i="6" a="1"/>
  <c r="V13" i="6" s="1"/>
  <c r="W16" i="6" a="1"/>
  <c r="W16" i="6" s="1"/>
  <c r="X24" i="6" a="1"/>
  <c r="X24" i="6" s="1"/>
  <c r="X27" i="6" a="1"/>
  <c r="X27" i="6" s="1"/>
  <c r="S9" i="6" a="1"/>
  <c r="S9" i="6" s="1"/>
  <c r="S12" i="6" a="1"/>
  <c r="S12" i="6" s="1"/>
  <c r="R15" i="6" a="1"/>
  <c r="R15" i="6" s="1"/>
  <c r="R20" i="6" a="1"/>
  <c r="R20" i="6" s="1"/>
  <c r="R22" i="6" a="1"/>
  <c r="R22" i="6" s="1"/>
  <c r="S24" i="6" a="1"/>
  <c r="S24" i="6" s="1"/>
  <c r="T26" i="6" a="1"/>
  <c r="T26" i="6" s="1"/>
  <c r="F8" i="6" a="1"/>
  <c r="F8" i="6" s="1"/>
  <c r="O8" i="6" a="1"/>
  <c r="O8" i="6" s="1"/>
  <c r="M9" i="6" a="1"/>
  <c r="M9" i="6" s="1"/>
  <c r="J10" i="6" a="1"/>
  <c r="J10" i="6" s="1"/>
  <c r="I12" i="6" a="1"/>
  <c r="I12" i="6" s="1"/>
  <c r="I14" i="6" a="1"/>
  <c r="I14" i="6" s="1"/>
  <c r="F15" i="6" a="1"/>
  <c r="F15" i="6" s="1"/>
  <c r="M15" i="6" a="1"/>
  <c r="M15" i="6" s="1"/>
  <c r="I16" i="6" a="1"/>
  <c r="I16" i="6" s="1"/>
  <c r="F17" i="6" a="1"/>
  <c r="F17" i="6" s="1"/>
  <c r="L17" i="6" a="1"/>
  <c r="L17" i="6" s="1"/>
  <c r="F18" i="6" a="1"/>
  <c r="F18" i="6" s="1"/>
  <c r="K18" i="6" a="1"/>
  <c r="K18" i="6" s="1"/>
  <c r="E20" i="6" a="1"/>
  <c r="E20" i="6" s="1"/>
  <c r="O21" i="6" a="1"/>
  <c r="O21" i="6" s="1"/>
  <c r="M22" i="6" a="1"/>
  <c r="M22" i="6" s="1"/>
  <c r="K23" i="6" a="1"/>
  <c r="K23" i="6" s="1"/>
  <c r="I24" i="6" a="1"/>
  <c r="I24" i="6" s="1"/>
  <c r="N24" i="6" a="1"/>
  <c r="N24" i="6" s="1"/>
  <c r="L25" i="6" a="1"/>
  <c r="L25" i="6" s="1"/>
  <c r="J26" i="6" a="1"/>
  <c r="J26" i="6" s="1"/>
  <c r="H27" i="6" a="1"/>
  <c r="H27" i="6" s="1"/>
  <c r="M27" i="6" a="1"/>
  <c r="M27" i="6" s="1"/>
  <c r="L28" i="6" a="1"/>
  <c r="L28" i="6" s="1"/>
  <c r="D17" i="6" a="1"/>
  <c r="D17" i="6" s="1"/>
  <c r="D22" i="6" a="1"/>
  <c r="D22" i="6" s="1"/>
  <c r="D9" i="6" a="1"/>
  <c r="D9" i="6" s="1"/>
  <c r="D8" i="6" a="1"/>
  <c r="D8" i="6" s="1"/>
  <c r="AL12" i="6" a="1"/>
  <c r="AL12" i="6" s="1"/>
  <c r="AK14" i="6" a="1"/>
  <c r="AK14" i="6" s="1"/>
  <c r="AA19" i="6" a="1"/>
  <c r="AA19" i="6" s="1"/>
  <c r="AL20" i="6" a="1"/>
  <c r="AL20" i="6" s="1"/>
  <c r="AC24" i="6" a="1"/>
  <c r="AC24" i="6" s="1"/>
  <c r="AE25" i="6" a="1"/>
  <c r="AE25" i="6" s="1"/>
  <c r="AK26" i="6" a="1"/>
  <c r="AK26" i="6" s="1"/>
  <c r="AC28" i="6" a="1"/>
  <c r="AC28" i="6" s="1"/>
  <c r="V9" i="6" a="1"/>
  <c r="V9" i="6" s="1"/>
  <c r="W17" i="6" a="1"/>
  <c r="W17" i="6" s="1"/>
  <c r="X20" i="6" a="1"/>
  <c r="X20" i="6" s="1"/>
  <c r="Y27" i="6" a="1"/>
  <c r="Y27" i="6" s="1"/>
  <c r="T9" i="6" a="1"/>
  <c r="T9" i="6" s="1"/>
  <c r="Q18" i="6" a="1"/>
  <c r="Q18" i="6" s="1"/>
  <c r="S22" i="6" a="1"/>
  <c r="S22" i="6" s="1"/>
  <c r="N11" i="6" a="1"/>
  <c r="N11" i="6" s="1"/>
  <c r="K12" i="6" a="1"/>
  <c r="K12" i="6" s="1"/>
  <c r="F13" i="6" a="1"/>
  <c r="F13" i="6" s="1"/>
  <c r="N13" i="6" a="1"/>
  <c r="N13" i="6" s="1"/>
  <c r="J14" i="6" a="1"/>
  <c r="J14" i="6" s="1"/>
  <c r="J16" i="6" a="1"/>
  <c r="J16" i="6" s="1"/>
  <c r="G17" i="6" a="1"/>
  <c r="G17" i="6" s="1"/>
  <c r="L18" i="6" a="1"/>
  <c r="L18" i="6" s="1"/>
  <c r="F19" i="6" a="1"/>
  <c r="F19" i="6" s="1"/>
  <c r="F20" i="6" a="1"/>
  <c r="F20" i="6" s="1"/>
  <c r="K20" i="6" a="1"/>
  <c r="K20" i="6" s="1"/>
  <c r="E21" i="6" a="1"/>
  <c r="E21" i="6" s="1"/>
  <c r="J21" i="6" a="1"/>
  <c r="J21" i="6" s="1"/>
  <c r="I22" i="6" a="1"/>
  <c r="I22" i="6" s="1"/>
  <c r="G23" i="6" a="1"/>
  <c r="G23" i="6" s="1"/>
  <c r="E24" i="6" a="1"/>
  <c r="E24" i="6" s="1"/>
  <c r="J24" i="6" a="1"/>
  <c r="J24" i="6" s="1"/>
  <c r="H25" i="6" a="1"/>
  <c r="H25" i="6" s="1"/>
  <c r="F26" i="6" a="1"/>
  <c r="F26" i="6" s="1"/>
  <c r="O26" i="6" a="1"/>
  <c r="O26" i="6" s="1"/>
  <c r="I27" i="6" a="1"/>
  <c r="I27" i="6" s="1"/>
  <c r="G28" i="6" a="1"/>
  <c r="G28" i="6" s="1"/>
  <c r="D10" i="6" a="1"/>
  <c r="D10" i="6" s="1"/>
  <c r="AH15" i="6" a="1"/>
  <c r="AH15" i="6" s="1"/>
  <c r="AJ25" i="6" a="1"/>
  <c r="AJ25" i="6" s="1"/>
  <c r="AK28" i="6" a="1"/>
  <c r="AK28" i="6" s="1"/>
  <c r="X17" i="6" a="1"/>
  <c r="X17" i="6" s="1"/>
  <c r="Y28" i="6" a="1"/>
  <c r="Y28" i="6" s="1"/>
  <c r="P14" i="6" a="1"/>
  <c r="P14" i="6" s="1"/>
  <c r="S27" i="6" a="1"/>
  <c r="S27" i="6" s="1"/>
  <c r="I11" i="6" a="1"/>
  <c r="I11" i="6" s="1"/>
  <c r="M14" i="6" a="1"/>
  <c r="M14" i="6" s="1"/>
  <c r="G18" i="6" a="1"/>
  <c r="G18" i="6" s="1"/>
  <c r="H19" i="6" a="1"/>
  <c r="H19" i="6" s="1"/>
  <c r="L20" i="6" a="1"/>
  <c r="L20" i="6" s="1"/>
  <c r="E22" i="6" a="1"/>
  <c r="E22" i="6" s="1"/>
  <c r="O22" i="6" a="1"/>
  <c r="O22" i="6" s="1"/>
  <c r="O23" i="6" a="1"/>
  <c r="O23" i="6" s="1"/>
  <c r="M24" i="6" a="1"/>
  <c r="M24" i="6" s="1"/>
  <c r="H26" i="6" a="1"/>
  <c r="H26" i="6" s="1"/>
  <c r="E27" i="6" a="1"/>
  <c r="E27" i="6" s="1"/>
  <c r="H28" i="6" a="1"/>
  <c r="H28" i="6" s="1"/>
  <c r="D16" i="6" a="1"/>
  <c r="D16" i="6" s="1"/>
  <c r="D25" i="6" a="1"/>
  <c r="D25" i="6" s="1"/>
  <c r="U26" i="6" a="1"/>
  <c r="U26" i="6" s="1"/>
  <c r="G19" i="6" a="1"/>
  <c r="G19" i="6" s="1"/>
  <c r="J27" i="6" a="1"/>
  <c r="J27" i="6" s="1"/>
  <c r="AF28" i="6" a="1"/>
  <c r="AF28" i="6" s="1"/>
  <c r="N17" i="6" a="1"/>
  <c r="N17" i="6" s="1"/>
  <c r="AM10" i="6" a="1"/>
  <c r="AM10" i="6" s="1"/>
  <c r="AA17" i="6" a="1"/>
  <c r="AA17" i="6" s="1"/>
  <c r="AI21" i="6" a="1"/>
  <c r="AI21" i="6" s="1"/>
  <c r="AK25" i="6" a="1"/>
  <c r="AK25" i="6" s="1"/>
  <c r="V10" i="6" a="1"/>
  <c r="V10" i="6" s="1"/>
  <c r="Y18" i="6" a="1"/>
  <c r="Y18" i="6" s="1"/>
  <c r="Q8" i="6" a="1"/>
  <c r="Q8" i="6" s="1"/>
  <c r="R21" i="6" a="1"/>
  <c r="R21" i="6" s="1"/>
  <c r="O9" i="6" a="1"/>
  <c r="O9" i="6" s="1"/>
  <c r="I13" i="6" a="1"/>
  <c r="I13" i="6" s="1"/>
  <c r="G15" i="6" a="1"/>
  <c r="G15" i="6" s="1"/>
  <c r="M16" i="6" a="1"/>
  <c r="M16" i="6" s="1"/>
  <c r="H18" i="6" a="1"/>
  <c r="H18" i="6" s="1"/>
  <c r="L19" i="6" a="1"/>
  <c r="L19" i="6" s="1"/>
  <c r="F24" i="6" a="1"/>
  <c r="F24" i="6" s="1"/>
  <c r="O24" i="6" a="1"/>
  <c r="O24" i="6" s="1"/>
  <c r="M25" i="6" a="1"/>
  <c r="M25" i="6" s="1"/>
  <c r="I26" i="6" a="1"/>
  <c r="I26" i="6" s="1"/>
  <c r="L27" i="6" a="1"/>
  <c r="L27" i="6" s="1"/>
  <c r="I28" i="6" a="1"/>
  <c r="I28" i="6" s="1"/>
  <c r="D18" i="6" a="1"/>
  <c r="D18" i="6" s="1"/>
  <c r="D27" i="6" a="1"/>
  <c r="D27" i="6" s="1"/>
  <c r="AD28" i="6" a="1"/>
  <c r="AD28" i="6" s="1"/>
  <c r="Q19" i="6" a="1"/>
  <c r="Q19" i="6" s="1"/>
  <c r="E16" i="6" a="1"/>
  <c r="E16" i="6" s="1"/>
  <c r="K24" i="6" a="1"/>
  <c r="K24" i="6" s="1"/>
  <c r="O28" i="6" a="1"/>
  <c r="O28" i="6" s="1"/>
  <c r="AG15" i="6" a="1"/>
  <c r="AG15" i="6" s="1"/>
  <c r="Q21" i="6" a="1"/>
  <c r="Q21" i="6" s="1"/>
  <c r="K16" i="6" a="1"/>
  <c r="K16" i="6" s="1"/>
  <c r="D15" i="6" a="1"/>
  <c r="D15" i="6" s="1"/>
  <c r="Z11" i="6" a="1"/>
  <c r="Z11" i="6" s="1"/>
  <c r="AH17" i="6" a="1"/>
  <c r="AH17" i="6" s="1"/>
  <c r="AK22" i="6" a="1"/>
  <c r="AK22" i="6" s="1"/>
  <c r="AL25" i="6" a="1"/>
  <c r="AL25" i="6" s="1"/>
  <c r="W10" i="6" a="1"/>
  <c r="W10" i="6" s="1"/>
  <c r="X21" i="6" a="1"/>
  <c r="X21" i="6" s="1"/>
  <c r="R8" i="6" a="1"/>
  <c r="R8" i="6" s="1"/>
  <c r="Q23" i="6" a="1"/>
  <c r="Q23" i="6" s="1"/>
  <c r="T27" i="6" a="1"/>
  <c r="T27" i="6" s="1"/>
  <c r="H15" i="6" a="1"/>
  <c r="H15" i="6" s="1"/>
  <c r="I18" i="6" a="1"/>
  <c r="I18" i="6" s="1"/>
  <c r="M19" i="6" a="1"/>
  <c r="M19" i="6" s="1"/>
  <c r="F22" i="6" a="1"/>
  <c r="F22" i="6" s="1"/>
  <c r="H23" i="6" a="1"/>
  <c r="H23" i="6" s="1"/>
  <c r="F27" i="6" a="1"/>
  <c r="F27" i="6" s="1"/>
  <c r="N27" i="6" a="1"/>
  <c r="N27" i="6" s="1"/>
  <c r="D28" i="6" a="1"/>
  <c r="D28" i="6" s="1"/>
  <c r="Y14" i="6" a="1"/>
  <c r="Y14" i="6" s="1"/>
  <c r="L14" i="6" a="1"/>
  <c r="L14" i="6" s="1"/>
  <c r="I25" i="6" a="1"/>
  <c r="I25" i="6" s="1"/>
  <c r="D14" i="6" a="1"/>
  <c r="D14" i="6" s="1"/>
  <c r="T13" i="6" a="1"/>
  <c r="T13" i="6" s="1"/>
  <c r="H11" i="6" a="1"/>
  <c r="H11" i="6" s="1"/>
  <c r="D24" i="6" a="1"/>
  <c r="D24" i="6" s="1"/>
  <c r="AM12" i="6" a="1"/>
  <c r="AM12" i="6" s="1"/>
  <c r="AK17" i="6" a="1"/>
  <c r="AK17" i="6" s="1"/>
  <c r="AB23" i="6" a="1"/>
  <c r="AB23" i="6" s="1"/>
  <c r="AL26" i="6" a="1"/>
  <c r="AL26" i="6" s="1"/>
  <c r="Y10" i="6" a="1"/>
  <c r="Y10" i="6" s="1"/>
  <c r="Y21" i="6" a="1"/>
  <c r="Y21" i="6" s="1"/>
  <c r="T10" i="6" a="1"/>
  <c r="T10" i="6" s="1"/>
  <c r="T16" i="6" a="1"/>
  <c r="T16" i="6" s="1"/>
  <c r="R23" i="6" a="1"/>
  <c r="R23" i="6" s="1"/>
  <c r="I8" i="6" a="1"/>
  <c r="I8" i="6" s="1"/>
  <c r="F10" i="6" a="1"/>
  <c r="F10" i="6" s="1"/>
  <c r="O13" i="6" a="1"/>
  <c r="O13" i="6" s="1"/>
  <c r="J15" i="6" a="1"/>
  <c r="J15" i="6" s="1"/>
  <c r="H17" i="6" a="1"/>
  <c r="H17" i="6" s="1"/>
  <c r="F21" i="6" a="1"/>
  <c r="F21" i="6" s="1"/>
  <c r="I23" i="6" a="1"/>
  <c r="I23" i="6" s="1"/>
  <c r="G24" i="6" a="1"/>
  <c r="G24" i="6" s="1"/>
  <c r="E25" i="6" a="1"/>
  <c r="E25" i="6" s="1"/>
  <c r="N25" i="6" a="1"/>
  <c r="N25" i="6" s="1"/>
  <c r="K26" i="6" a="1"/>
  <c r="K26" i="6" s="1"/>
  <c r="G27" i="6" a="1"/>
  <c r="G27" i="6" s="1"/>
  <c r="K28" i="6" a="1"/>
  <c r="K28" i="6" s="1"/>
  <c r="D19" i="6" a="1"/>
  <c r="D19" i="6" s="1"/>
  <c r="D11" i="6" a="1"/>
  <c r="D11" i="6" s="1"/>
  <c r="AD24" i="6" a="1"/>
  <c r="AD24" i="6" s="1"/>
  <c r="M10" i="6" a="1"/>
  <c r="M10" i="6" s="1"/>
  <c r="N22" i="6" a="1"/>
  <c r="N22" i="6" s="1"/>
  <c r="F28" i="6" a="1"/>
  <c r="F28" i="6" s="1"/>
  <c r="AJ24" i="6" a="1"/>
  <c r="AJ24" i="6" s="1"/>
  <c r="H9" i="6" a="1"/>
  <c r="H9" i="6" s="1"/>
  <c r="N26" i="6" a="1"/>
  <c r="N26" i="6" s="1"/>
  <c r="AC13" i="6" a="1"/>
  <c r="AC13" i="6" s="1"/>
  <c r="AC23" i="6" a="1"/>
  <c r="AC23" i="6" s="1"/>
  <c r="AD27" i="6" a="1"/>
  <c r="AD27" i="6" s="1"/>
  <c r="W13" i="6" a="1"/>
  <c r="W13" i="6" s="1"/>
  <c r="U22" i="6" a="1"/>
  <c r="U22" i="6" s="1"/>
  <c r="P19" i="6" a="1"/>
  <c r="P19" i="6" s="1"/>
  <c r="S23" i="6" a="1"/>
  <c r="S23" i="6" s="1"/>
  <c r="J8" i="6" a="1"/>
  <c r="J8" i="6" s="1"/>
  <c r="K10" i="6" a="1"/>
  <c r="K10" i="6" s="1"/>
  <c r="O15" i="6" a="1"/>
  <c r="O15" i="6" s="1"/>
  <c r="I17" i="6" a="1"/>
  <c r="I17" i="6" s="1"/>
  <c r="G21" i="6" a="1"/>
  <c r="G21" i="6" s="1"/>
  <c r="J22" i="6" a="1"/>
  <c r="J22" i="6" s="1"/>
  <c r="G25" i="6" a="1"/>
  <c r="G25" i="6" s="1"/>
  <c r="L26" i="6" a="1"/>
  <c r="L26" i="6" s="1"/>
  <c r="O27" i="6" a="1"/>
  <c r="O27" i="6" s="1"/>
  <c r="M28" i="6" a="1"/>
  <c r="M28" i="6" s="1"/>
  <c r="D21" i="6" a="1"/>
  <c r="D21" i="6" s="1"/>
  <c r="AJ13" i="6" a="1"/>
  <c r="AJ13" i="6" s="1"/>
  <c r="AE19" i="6" a="1"/>
  <c r="AE19" i="6" s="1"/>
  <c r="W14" i="6" a="1"/>
  <c r="W14" i="6" s="1"/>
  <c r="Y24" i="6" a="1"/>
  <c r="Y24" i="6" s="1"/>
  <c r="R25" i="6" a="1"/>
  <c r="R25" i="6" s="1"/>
  <c r="L10" i="6" a="1"/>
  <c r="L10" i="6" s="1"/>
  <c r="M17" i="6" a="1"/>
  <c r="M17" i="6" s="1"/>
  <c r="N18" i="6" a="1"/>
  <c r="N18" i="6" s="1"/>
  <c r="G20" i="6" a="1"/>
  <c r="G20" i="6" s="1"/>
  <c r="K21" i="6" a="1"/>
  <c r="K21" i="6" s="1"/>
  <c r="L23" i="6" a="1"/>
  <c r="L23" i="6" s="1"/>
  <c r="E26" i="6" a="1"/>
  <c r="E26" i="6" s="1"/>
  <c r="E28" i="6" a="1"/>
  <c r="E28" i="6" s="1"/>
  <c r="N28" i="6" a="1"/>
  <c r="N28" i="6" s="1"/>
  <c r="D12" i="6" a="1"/>
  <c r="D12" i="6" s="1"/>
  <c r="AD15" i="6" a="1"/>
  <c r="AD15" i="6" s="1"/>
  <c r="AL19" i="6" a="1"/>
  <c r="AL19" i="6" s="1"/>
  <c r="S13" i="6" a="1"/>
  <c r="S13" i="6" s="1"/>
  <c r="L12" i="6" a="1"/>
  <c r="L12" i="6" s="1"/>
  <c r="M23" i="6" a="1"/>
  <c r="M23" i="6" s="1"/>
  <c r="D23" i="6" a="1"/>
  <c r="D23" i="6" s="1"/>
  <c r="AE21" i="6" a="1"/>
  <c r="AE21" i="6" s="1"/>
  <c r="S25" i="6" a="1"/>
  <c r="S25" i="6" s="1"/>
  <c r="G26" i="6" a="1"/>
  <c r="G26" i="6" s="1"/>
  <c r="X20" i="1"/>
  <c r="Y20" i="1"/>
  <c r="AA20" i="1"/>
  <c r="AD20" i="1"/>
  <c r="AE20" i="1"/>
  <c r="AG20" i="1"/>
  <c r="AH20" i="1"/>
  <c r="AI20" i="1"/>
  <c r="AK20" i="1"/>
  <c r="AL20" i="1"/>
  <c r="AO20" i="1"/>
  <c r="AP20" i="1"/>
  <c r="AQ20" i="1"/>
  <c r="X21" i="1"/>
  <c r="Y21" i="1"/>
  <c r="AA21" i="1"/>
  <c r="AD21" i="1"/>
  <c r="AE21" i="1"/>
  <c r="AG21" i="1"/>
  <c r="AH21" i="1"/>
  <c r="AI21" i="1"/>
  <c r="AK21" i="1"/>
  <c r="AL21" i="1"/>
  <c r="AO21" i="1"/>
  <c r="AP21" i="1"/>
  <c r="AQ21" i="1"/>
  <c r="X22" i="1"/>
  <c r="Y22" i="1"/>
  <c r="AA22" i="1"/>
  <c r="AD22" i="1"/>
  <c r="AE22" i="1"/>
  <c r="AG22" i="1"/>
  <c r="AH22" i="1"/>
  <c r="AI22" i="1"/>
  <c r="AK22" i="1"/>
  <c r="AL22" i="1"/>
  <c r="AO22" i="1"/>
  <c r="AP22" i="1"/>
  <c r="AQ22" i="1"/>
  <c r="X23" i="1"/>
  <c r="Y23" i="1"/>
  <c r="AA23" i="1"/>
  <c r="AD23" i="1"/>
  <c r="AE23" i="1"/>
  <c r="AG23" i="1"/>
  <c r="AH23" i="1"/>
  <c r="AI23" i="1"/>
  <c r="AK23" i="1"/>
  <c r="AL23" i="1"/>
  <c r="AO23" i="1"/>
  <c r="AP23" i="1"/>
  <c r="AQ23" i="1"/>
  <c r="X24" i="1"/>
  <c r="Y24" i="1"/>
  <c r="AA24" i="1"/>
  <c r="AD24" i="1"/>
  <c r="AE24" i="1"/>
  <c r="AG24" i="1"/>
  <c r="AH24" i="1"/>
  <c r="AI24" i="1"/>
  <c r="AK24" i="1"/>
  <c r="AL24" i="1"/>
  <c r="AO24" i="1"/>
  <c r="AP24" i="1"/>
  <c r="AQ24" i="1"/>
  <c r="X25" i="1"/>
  <c r="Y25" i="1"/>
  <c r="AA25" i="1"/>
  <c r="AD25" i="1"/>
  <c r="AE25" i="1"/>
  <c r="AG25" i="1"/>
  <c r="AH25" i="1"/>
  <c r="AI25" i="1"/>
  <c r="AK25" i="1"/>
  <c r="AL25" i="1"/>
  <c r="AO25" i="1"/>
  <c r="AP25" i="1"/>
  <c r="AQ25" i="1"/>
  <c r="X26" i="1"/>
  <c r="Y26" i="1"/>
  <c r="AA26" i="1"/>
  <c r="AD26" i="1"/>
  <c r="AE26" i="1"/>
  <c r="AG26" i="1"/>
  <c r="AH26" i="1"/>
  <c r="AI26" i="1"/>
  <c r="AK26" i="1"/>
  <c r="AL26" i="1"/>
  <c r="AO26" i="1"/>
  <c r="AP26" i="1"/>
  <c r="AQ26" i="1"/>
  <c r="X27" i="1"/>
  <c r="Y27" i="1"/>
  <c r="AA27" i="1"/>
  <c r="AD27" i="1"/>
  <c r="AE27" i="1"/>
  <c r="AG27" i="1"/>
  <c r="AH27" i="1"/>
  <c r="AI27" i="1"/>
  <c r="AK27" i="1"/>
  <c r="AL27" i="1"/>
  <c r="AO27" i="1"/>
  <c r="AP27" i="1"/>
  <c r="AQ27" i="1"/>
  <c r="X28" i="1"/>
  <c r="Y28" i="1"/>
  <c r="AA28" i="1"/>
  <c r="AD28" i="1"/>
  <c r="AE28" i="1"/>
  <c r="AG28" i="1"/>
  <c r="AH28" i="1"/>
  <c r="AI28" i="1"/>
  <c r="AK28" i="1"/>
  <c r="AL28" i="1"/>
  <c r="AO28" i="1"/>
  <c r="AP28" i="1"/>
  <c r="AQ28" i="1"/>
  <c r="X29" i="1"/>
  <c r="Y29" i="1"/>
  <c r="AA29" i="1"/>
  <c r="AD29" i="1"/>
  <c r="AE29" i="1"/>
  <c r="AG29" i="1"/>
  <c r="AH29" i="1"/>
  <c r="AI29" i="1"/>
  <c r="AK29" i="1"/>
  <c r="AL29" i="1"/>
  <c r="AO29" i="1"/>
  <c r="AP29" i="1"/>
  <c r="AQ29" i="1"/>
  <c r="X30" i="1"/>
  <c r="Y30" i="1"/>
  <c r="AA30" i="1"/>
  <c r="AD30" i="1"/>
  <c r="AE30" i="1"/>
  <c r="AG30" i="1"/>
  <c r="AH30" i="1"/>
  <c r="AI30" i="1"/>
  <c r="AK30" i="1"/>
  <c r="AL30" i="1"/>
  <c r="AO30" i="1"/>
  <c r="AP30" i="1"/>
  <c r="AQ30" i="1"/>
  <c r="X31" i="1"/>
  <c r="Y31" i="1"/>
  <c r="AA31" i="1"/>
  <c r="AD31" i="1"/>
  <c r="AE31" i="1"/>
  <c r="AG31" i="1"/>
  <c r="AH31" i="1"/>
  <c r="AI31" i="1"/>
  <c r="AK31" i="1"/>
  <c r="AL31" i="1"/>
  <c r="AO31" i="1"/>
  <c r="AP31" i="1"/>
  <c r="AQ31" i="1"/>
  <c r="X32" i="1"/>
  <c r="Y32" i="1"/>
  <c r="AA32" i="1"/>
  <c r="AD32" i="1"/>
  <c r="AE32" i="1"/>
  <c r="AG32" i="1"/>
  <c r="AH32" i="1"/>
  <c r="AI32" i="1"/>
  <c r="AK32" i="1"/>
  <c r="AL32" i="1"/>
  <c r="AO32" i="1"/>
  <c r="AP32" i="1"/>
  <c r="AQ32" i="1"/>
  <c r="X33" i="1"/>
  <c r="Y33" i="1"/>
  <c r="AA33" i="1"/>
  <c r="AD33" i="1"/>
  <c r="AE33" i="1"/>
  <c r="AG33" i="1"/>
  <c r="AH33" i="1"/>
  <c r="AI33" i="1"/>
  <c r="AK33" i="1"/>
  <c r="AL33" i="1"/>
  <c r="AO33" i="1"/>
  <c r="AP33" i="1"/>
  <c r="AQ33" i="1"/>
  <c r="X34" i="1"/>
  <c r="Y34" i="1"/>
  <c r="AA34" i="1"/>
  <c r="AD34" i="1"/>
  <c r="AE34" i="1"/>
  <c r="AG34" i="1"/>
  <c r="AH34" i="1"/>
  <c r="AI34" i="1"/>
  <c r="AK34" i="1"/>
  <c r="AL34" i="1"/>
  <c r="AO34" i="1"/>
  <c r="AP34" i="1"/>
  <c r="AQ34" i="1"/>
  <c r="X35" i="1"/>
  <c r="Y35" i="1"/>
  <c r="AA35" i="1"/>
  <c r="AD35" i="1"/>
  <c r="AE35" i="1"/>
  <c r="AG35" i="1"/>
  <c r="AH35" i="1"/>
  <c r="AI35" i="1"/>
  <c r="AK35" i="1"/>
  <c r="AL35" i="1"/>
  <c r="AO35" i="1"/>
  <c r="AP35" i="1"/>
  <c r="AQ35" i="1"/>
  <c r="X36" i="1"/>
  <c r="Y36" i="1"/>
  <c r="AA36" i="1"/>
  <c r="AD36" i="1"/>
  <c r="AE36" i="1"/>
  <c r="AG36" i="1"/>
  <c r="AH36" i="1"/>
  <c r="AI36" i="1"/>
  <c r="AK36" i="1"/>
  <c r="AL36" i="1"/>
  <c r="AO36" i="1"/>
  <c r="AP36" i="1"/>
  <c r="AQ36" i="1"/>
  <c r="X37" i="1"/>
  <c r="Y37" i="1"/>
  <c r="AA37" i="1"/>
  <c r="AD37" i="1"/>
  <c r="AE37" i="1"/>
  <c r="AG37" i="1"/>
  <c r="AH37" i="1"/>
  <c r="AI37" i="1"/>
  <c r="AK37" i="1"/>
  <c r="AL37" i="1"/>
  <c r="AO37" i="1"/>
  <c r="AP37" i="1"/>
  <c r="AQ37" i="1"/>
  <c r="X38" i="1"/>
  <c r="Y38" i="1"/>
  <c r="AA38" i="1"/>
  <c r="AD38" i="1"/>
  <c r="AE38" i="1"/>
  <c r="AG38" i="1"/>
  <c r="AH38" i="1"/>
  <c r="AI38" i="1"/>
  <c r="AK38" i="1"/>
  <c r="AL38" i="1"/>
  <c r="AO38" i="1"/>
  <c r="AP38" i="1"/>
  <c r="AQ38" i="1"/>
  <c r="X39" i="1"/>
  <c r="Y39" i="1"/>
  <c r="AA39" i="1"/>
  <c r="AD39" i="1"/>
  <c r="AE39" i="1"/>
  <c r="AG39" i="1"/>
  <c r="AH39" i="1"/>
  <c r="AI39" i="1"/>
  <c r="AK39" i="1"/>
  <c r="AL39" i="1"/>
  <c r="AO39" i="1"/>
  <c r="AP39" i="1"/>
  <c r="AQ39" i="1"/>
  <c r="X40" i="1"/>
  <c r="Y40" i="1"/>
  <c r="AA40" i="1"/>
  <c r="AD40" i="1"/>
  <c r="AE40" i="1"/>
  <c r="AG40" i="1"/>
  <c r="AH40" i="1"/>
  <c r="AI40" i="1"/>
  <c r="AK40" i="1"/>
  <c r="AL40" i="1"/>
  <c r="AO40" i="1"/>
  <c r="AP40" i="1"/>
  <c r="AQ40" i="1"/>
  <c r="X41" i="1"/>
  <c r="Y41" i="1"/>
  <c r="AA41" i="1"/>
  <c r="AD41" i="1"/>
  <c r="AE41" i="1"/>
  <c r="AG41" i="1"/>
  <c r="AH41" i="1"/>
  <c r="AI41" i="1"/>
  <c r="AK41" i="1"/>
  <c r="AL41" i="1"/>
  <c r="AO41" i="1"/>
  <c r="AP41" i="1"/>
  <c r="AQ41" i="1"/>
  <c r="X42" i="1"/>
  <c r="Y42" i="1"/>
  <c r="AA42" i="1"/>
  <c r="AD42" i="1"/>
  <c r="AE42" i="1"/>
  <c r="AG42" i="1"/>
  <c r="AH42" i="1"/>
  <c r="AI42" i="1"/>
  <c r="AK42" i="1"/>
  <c r="AL42" i="1"/>
  <c r="AO42" i="1"/>
  <c r="AP42" i="1"/>
  <c r="AQ42" i="1"/>
  <c r="X43" i="1"/>
  <c r="Y43" i="1"/>
  <c r="AA43" i="1"/>
  <c r="AD43" i="1"/>
  <c r="AE43" i="1"/>
  <c r="AG43" i="1"/>
  <c r="AH43" i="1"/>
  <c r="AI43" i="1"/>
  <c r="AK43" i="1"/>
  <c r="AL43" i="1"/>
  <c r="AO43" i="1"/>
  <c r="AP43" i="1"/>
  <c r="AQ43" i="1"/>
  <c r="X44" i="1"/>
  <c r="Y44" i="1"/>
  <c r="AA44" i="1"/>
  <c r="AD44" i="1"/>
  <c r="AE44" i="1"/>
  <c r="AG44" i="1"/>
  <c r="AH44" i="1"/>
  <c r="AI44" i="1"/>
  <c r="AK44" i="1"/>
  <c r="AL44" i="1"/>
  <c r="AO44" i="1"/>
  <c r="AP44" i="1"/>
  <c r="AQ44" i="1"/>
  <c r="X45" i="1"/>
  <c r="Y45" i="1"/>
  <c r="AA45" i="1"/>
  <c r="AD45" i="1"/>
  <c r="AE45" i="1"/>
  <c r="AG45" i="1"/>
  <c r="AH45" i="1"/>
  <c r="AI45" i="1"/>
  <c r="AK45" i="1"/>
  <c r="AL45" i="1"/>
  <c r="AO45" i="1"/>
  <c r="AP45" i="1"/>
  <c r="AQ45" i="1"/>
  <c r="X46" i="1"/>
  <c r="Y46" i="1"/>
  <c r="AA46" i="1"/>
  <c r="AD46" i="1"/>
  <c r="AE46" i="1"/>
  <c r="AG46" i="1"/>
  <c r="AH46" i="1"/>
  <c r="AI46" i="1"/>
  <c r="AK46" i="1"/>
  <c r="AL46" i="1"/>
  <c r="AO46" i="1"/>
  <c r="AP46" i="1"/>
  <c r="AQ46" i="1"/>
  <c r="X47" i="1"/>
  <c r="Y47" i="1"/>
  <c r="AA47" i="1"/>
  <c r="AD47" i="1"/>
  <c r="AE47" i="1"/>
  <c r="AG47" i="1"/>
  <c r="AH47" i="1"/>
  <c r="AI47" i="1"/>
  <c r="AK47" i="1"/>
  <c r="AL47" i="1"/>
  <c r="AO47" i="1"/>
  <c r="AP47" i="1"/>
  <c r="AQ47" i="1"/>
  <c r="X48" i="1"/>
  <c r="Y48" i="1"/>
  <c r="AA48" i="1"/>
  <c r="AD48" i="1"/>
  <c r="AE48" i="1"/>
  <c r="AG48" i="1"/>
  <c r="AH48" i="1"/>
  <c r="AI48" i="1"/>
  <c r="AK48" i="1"/>
  <c r="AL48" i="1"/>
  <c r="AO48" i="1"/>
  <c r="AP48" i="1"/>
  <c r="AQ48" i="1"/>
  <c r="X49" i="1"/>
  <c r="Y49" i="1"/>
  <c r="AA49" i="1"/>
  <c r="AD49" i="1"/>
  <c r="AE49" i="1"/>
  <c r="AG49" i="1"/>
  <c r="AH49" i="1"/>
  <c r="AI49" i="1"/>
  <c r="AK49" i="1"/>
  <c r="AL49" i="1"/>
  <c r="AO49" i="1"/>
  <c r="AP49" i="1"/>
  <c r="AQ49" i="1"/>
  <c r="X50" i="1"/>
  <c r="Y50" i="1"/>
  <c r="AA50" i="1"/>
  <c r="AD50" i="1"/>
  <c r="AE50" i="1"/>
  <c r="AG50" i="1"/>
  <c r="AH50" i="1"/>
  <c r="AI50" i="1"/>
  <c r="AK50" i="1"/>
  <c r="AL50" i="1"/>
  <c r="AO50" i="1"/>
  <c r="AP50" i="1"/>
  <c r="AQ50" i="1"/>
  <c r="X51" i="1"/>
  <c r="Y51" i="1"/>
  <c r="AA51" i="1"/>
  <c r="AD51" i="1"/>
  <c r="AE51" i="1"/>
  <c r="AG51" i="1"/>
  <c r="AH51" i="1"/>
  <c r="AI51" i="1"/>
  <c r="AK51" i="1"/>
  <c r="AL51" i="1"/>
  <c r="AO51" i="1"/>
  <c r="AP51" i="1"/>
  <c r="AQ51" i="1"/>
  <c r="X52" i="1"/>
  <c r="Y52" i="1"/>
  <c r="AA52" i="1"/>
  <c r="AD52" i="1"/>
  <c r="AE52" i="1"/>
  <c r="AG52" i="1"/>
  <c r="AH52" i="1"/>
  <c r="AI52" i="1"/>
  <c r="AK52" i="1"/>
  <c r="AL52" i="1"/>
  <c r="AO52" i="1"/>
  <c r="AP52" i="1"/>
  <c r="AQ52" i="1"/>
  <c r="X53" i="1"/>
  <c r="Y53" i="1"/>
  <c r="AA53" i="1"/>
  <c r="AD53" i="1"/>
  <c r="AE53" i="1"/>
  <c r="AG53" i="1"/>
  <c r="AH53" i="1"/>
  <c r="AI53" i="1"/>
  <c r="AK53" i="1"/>
  <c r="AL53" i="1"/>
  <c r="AO53" i="1"/>
  <c r="AP53" i="1"/>
  <c r="AQ53" i="1"/>
  <c r="X54" i="1"/>
  <c r="Y54" i="1"/>
  <c r="AA54" i="1"/>
  <c r="AD54" i="1"/>
  <c r="AE54" i="1"/>
  <c r="AG54" i="1"/>
  <c r="AH54" i="1"/>
  <c r="AI54" i="1"/>
  <c r="AK54" i="1"/>
  <c r="AL54" i="1"/>
  <c r="AO54" i="1"/>
  <c r="AP54" i="1"/>
  <c r="AQ54" i="1"/>
  <c r="X55" i="1"/>
  <c r="Y55" i="1"/>
  <c r="AA55" i="1"/>
  <c r="AD55" i="1"/>
  <c r="AE55" i="1"/>
  <c r="AG55" i="1"/>
  <c r="AH55" i="1"/>
  <c r="AI55" i="1"/>
  <c r="AK55" i="1"/>
  <c r="AL55" i="1"/>
  <c r="AO55" i="1"/>
  <c r="AP55" i="1"/>
  <c r="AQ55" i="1"/>
  <c r="X56" i="1"/>
  <c r="Y56" i="1"/>
  <c r="AA56" i="1"/>
  <c r="AD56" i="1"/>
  <c r="AE56" i="1"/>
  <c r="AG56" i="1"/>
  <c r="AH56" i="1"/>
  <c r="AI56" i="1"/>
  <c r="AK56" i="1"/>
  <c r="AL56" i="1"/>
  <c r="AO56" i="1"/>
  <c r="AP56" i="1"/>
  <c r="AQ56" i="1"/>
  <c r="X57" i="1"/>
  <c r="Y57" i="1"/>
  <c r="AA57" i="1"/>
  <c r="AD57" i="1"/>
  <c r="AE57" i="1"/>
  <c r="AG57" i="1"/>
  <c r="AH57" i="1"/>
  <c r="AI57" i="1"/>
  <c r="AK57" i="1"/>
  <c r="AL57" i="1"/>
  <c r="AO57" i="1"/>
  <c r="AP57" i="1"/>
  <c r="AQ57" i="1"/>
  <c r="X58" i="1"/>
  <c r="Y58" i="1"/>
  <c r="AA58" i="1"/>
  <c r="AD58" i="1"/>
  <c r="AE58" i="1"/>
  <c r="AG58" i="1"/>
  <c r="AH58" i="1"/>
  <c r="AI58" i="1"/>
  <c r="AK58" i="1"/>
  <c r="AL58" i="1"/>
  <c r="AO58" i="1"/>
  <c r="AP58" i="1"/>
  <c r="AQ58" i="1"/>
  <c r="X59" i="1"/>
  <c r="Y59" i="1"/>
  <c r="AA59" i="1"/>
  <c r="AD59" i="1"/>
  <c r="AE59" i="1"/>
  <c r="AG59" i="1"/>
  <c r="AH59" i="1"/>
  <c r="AI59" i="1"/>
  <c r="AK59" i="1"/>
  <c r="AL59" i="1"/>
  <c r="AO59" i="1"/>
  <c r="AP59" i="1"/>
  <c r="AQ59" i="1"/>
  <c r="X60" i="1"/>
  <c r="Y60" i="1"/>
  <c r="AA60" i="1"/>
  <c r="AD60" i="1"/>
  <c r="AE60" i="1"/>
  <c r="AG60" i="1"/>
  <c r="AH60" i="1"/>
  <c r="AI60" i="1"/>
  <c r="AK60" i="1"/>
  <c r="AL60" i="1"/>
  <c r="AO60" i="1"/>
  <c r="AP60" i="1"/>
  <c r="AQ60" i="1"/>
  <c r="X61" i="1"/>
  <c r="Y61" i="1"/>
  <c r="AA61" i="1"/>
  <c r="AD61" i="1"/>
  <c r="AE61" i="1"/>
  <c r="AG61" i="1"/>
  <c r="AH61" i="1"/>
  <c r="AI61" i="1"/>
  <c r="AK61" i="1"/>
  <c r="AL61" i="1"/>
  <c r="AO61" i="1"/>
  <c r="AP61" i="1"/>
  <c r="AQ61" i="1"/>
  <c r="X62" i="1"/>
  <c r="Y62" i="1"/>
  <c r="AA62" i="1"/>
  <c r="AD62" i="1"/>
  <c r="AE62" i="1"/>
  <c r="AG62" i="1"/>
  <c r="AH62" i="1"/>
  <c r="AI62" i="1"/>
  <c r="AK62" i="1"/>
  <c r="AL62" i="1"/>
  <c r="AO62" i="1"/>
  <c r="AP62" i="1"/>
  <c r="AQ62" i="1"/>
  <c r="X63" i="1"/>
  <c r="Y63" i="1"/>
  <c r="AA63" i="1"/>
  <c r="AD63" i="1"/>
  <c r="AE63" i="1"/>
  <c r="AG63" i="1"/>
  <c r="AH63" i="1"/>
  <c r="AI63" i="1"/>
  <c r="AK63" i="1"/>
  <c r="AL63" i="1"/>
  <c r="AO63" i="1"/>
  <c r="AP63" i="1"/>
  <c r="AQ63" i="1"/>
  <c r="X64" i="1"/>
  <c r="Y64" i="1"/>
  <c r="AA64" i="1"/>
  <c r="AD64" i="1"/>
  <c r="AE64" i="1"/>
  <c r="AG64" i="1"/>
  <c r="AH64" i="1"/>
  <c r="AI64" i="1"/>
  <c r="AK64" i="1"/>
  <c r="AL64" i="1"/>
  <c r="AO64" i="1"/>
  <c r="AP64" i="1"/>
  <c r="AQ64" i="1"/>
  <c r="X65" i="1"/>
  <c r="Y65" i="1"/>
  <c r="AA65" i="1"/>
  <c r="AD65" i="1"/>
  <c r="AE65" i="1"/>
  <c r="AG65" i="1"/>
  <c r="AH65" i="1"/>
  <c r="AI65" i="1"/>
  <c r="AK65" i="1"/>
  <c r="AL65" i="1"/>
  <c r="AO65" i="1"/>
  <c r="AP65" i="1"/>
  <c r="AQ65" i="1"/>
  <c r="X66" i="1"/>
  <c r="Y66" i="1"/>
  <c r="AA66" i="1"/>
  <c r="AD66" i="1"/>
  <c r="AE66" i="1"/>
  <c r="AG66" i="1"/>
  <c r="AH66" i="1"/>
  <c r="AI66" i="1"/>
  <c r="AK66" i="1"/>
  <c r="AL66" i="1"/>
  <c r="AO66" i="1"/>
  <c r="AP66" i="1"/>
  <c r="AQ66" i="1"/>
  <c r="X67" i="1"/>
  <c r="Y67" i="1"/>
  <c r="AA67" i="1"/>
  <c r="AD67" i="1"/>
  <c r="AE67" i="1"/>
  <c r="AG67" i="1"/>
  <c r="AH67" i="1"/>
  <c r="AI67" i="1"/>
  <c r="AK67" i="1"/>
  <c r="AL67" i="1"/>
  <c r="AO67" i="1"/>
  <c r="AP67" i="1"/>
  <c r="AQ67" i="1"/>
  <c r="X68" i="1"/>
  <c r="Y68" i="1"/>
  <c r="AA68" i="1"/>
  <c r="AD68" i="1"/>
  <c r="AE68" i="1"/>
  <c r="AG68" i="1"/>
  <c r="AH68" i="1"/>
  <c r="AI68" i="1"/>
  <c r="AK68" i="1"/>
  <c r="AL68" i="1"/>
  <c r="AO68" i="1"/>
  <c r="AP68" i="1"/>
  <c r="AQ68" i="1"/>
  <c r="X69" i="1"/>
  <c r="Y69" i="1"/>
  <c r="AA69" i="1"/>
  <c r="AD69" i="1"/>
  <c r="AE69" i="1"/>
  <c r="AG69" i="1"/>
  <c r="AH69" i="1"/>
  <c r="AI69" i="1"/>
  <c r="AK69" i="1"/>
  <c r="AL69" i="1"/>
  <c r="AO69" i="1"/>
  <c r="AP69" i="1"/>
  <c r="AQ69" i="1"/>
  <c r="X70" i="1"/>
  <c r="Y70" i="1"/>
  <c r="AA70" i="1"/>
  <c r="AD70" i="1"/>
  <c r="AE70" i="1"/>
  <c r="AG70" i="1"/>
  <c r="AH70" i="1"/>
  <c r="AI70" i="1"/>
  <c r="AK70" i="1"/>
  <c r="AL70" i="1"/>
  <c r="AO70" i="1"/>
  <c r="AP70" i="1"/>
  <c r="AQ70" i="1"/>
  <c r="X71" i="1"/>
  <c r="Y71" i="1"/>
  <c r="AA71" i="1"/>
  <c r="AD71" i="1"/>
  <c r="AE71" i="1"/>
  <c r="AG71" i="1"/>
  <c r="AH71" i="1"/>
  <c r="AI71" i="1"/>
  <c r="AK71" i="1"/>
  <c r="AL71" i="1"/>
  <c r="AO71" i="1"/>
  <c r="AP71" i="1"/>
  <c r="AQ71" i="1"/>
  <c r="X72" i="1"/>
  <c r="Y72" i="1"/>
  <c r="AA72" i="1"/>
  <c r="AD72" i="1"/>
  <c r="AE72" i="1"/>
  <c r="AG72" i="1"/>
  <c r="AH72" i="1"/>
  <c r="AI72" i="1"/>
  <c r="AK72" i="1"/>
  <c r="AL72" i="1"/>
  <c r="AO72" i="1"/>
  <c r="AP72" i="1"/>
  <c r="AQ72" i="1"/>
  <c r="X73" i="1"/>
  <c r="Y73" i="1"/>
  <c r="AA73" i="1"/>
  <c r="AD73" i="1"/>
  <c r="AE73" i="1"/>
  <c r="AG73" i="1"/>
  <c r="AH73" i="1"/>
  <c r="AI73" i="1"/>
  <c r="AK73" i="1"/>
  <c r="AL73" i="1"/>
  <c r="AO73" i="1"/>
  <c r="AP73" i="1"/>
  <c r="AQ73" i="1"/>
  <c r="X74" i="1"/>
  <c r="Y74" i="1"/>
  <c r="AA74" i="1"/>
  <c r="AD74" i="1"/>
  <c r="AE74" i="1"/>
  <c r="AG74" i="1"/>
  <c r="AH74" i="1"/>
  <c r="AI74" i="1"/>
  <c r="AK74" i="1"/>
  <c r="AL74" i="1"/>
  <c r="AO74" i="1"/>
  <c r="AP74" i="1"/>
  <c r="AQ74" i="1"/>
  <c r="X75" i="1"/>
  <c r="Y75" i="1"/>
  <c r="AA75" i="1"/>
  <c r="AD75" i="1"/>
  <c r="AE75" i="1"/>
  <c r="AG75" i="1"/>
  <c r="AH75" i="1"/>
  <c r="AI75" i="1"/>
  <c r="AK75" i="1"/>
  <c r="AL75" i="1"/>
  <c r="AO75" i="1"/>
  <c r="AP75" i="1"/>
  <c r="AQ75" i="1"/>
  <c r="X76" i="1"/>
  <c r="Y76" i="1"/>
  <c r="AA76" i="1"/>
  <c r="AD76" i="1"/>
  <c r="AE76" i="1"/>
  <c r="AG76" i="1"/>
  <c r="AH76" i="1"/>
  <c r="AI76" i="1"/>
  <c r="AK76" i="1"/>
  <c r="AL76" i="1"/>
  <c r="AO76" i="1"/>
  <c r="AP76" i="1"/>
  <c r="AQ76" i="1"/>
  <c r="X77" i="1"/>
  <c r="Y77" i="1"/>
  <c r="AA77" i="1"/>
  <c r="AD77" i="1"/>
  <c r="AE77" i="1"/>
  <c r="AG77" i="1"/>
  <c r="AH77" i="1"/>
  <c r="AI77" i="1"/>
  <c r="AK77" i="1"/>
  <c r="AL77" i="1"/>
  <c r="AO77" i="1"/>
  <c r="AP77" i="1"/>
  <c r="AQ77" i="1"/>
  <c r="X78" i="1"/>
  <c r="Y78" i="1"/>
  <c r="AA78" i="1"/>
  <c r="AD78" i="1"/>
  <c r="AE78" i="1"/>
  <c r="AG78" i="1"/>
  <c r="AH78" i="1"/>
  <c r="AI78" i="1"/>
  <c r="AK78" i="1"/>
  <c r="AL78" i="1"/>
  <c r="AO78" i="1"/>
  <c r="AP78" i="1"/>
  <c r="AQ78" i="1"/>
  <c r="X79" i="1"/>
  <c r="Y79" i="1"/>
  <c r="AA79" i="1"/>
  <c r="AD79" i="1"/>
  <c r="AE79" i="1"/>
  <c r="AG79" i="1"/>
  <c r="AH79" i="1"/>
  <c r="AI79" i="1"/>
  <c r="AK79" i="1"/>
  <c r="AL79" i="1"/>
  <c r="AO79" i="1"/>
  <c r="AP79" i="1"/>
  <c r="AQ79" i="1"/>
  <c r="X80" i="1"/>
  <c r="Y80" i="1"/>
  <c r="AA80" i="1"/>
  <c r="AD80" i="1"/>
  <c r="AE80" i="1"/>
  <c r="AG80" i="1"/>
  <c r="AH80" i="1"/>
  <c r="AI80" i="1"/>
  <c r="AK80" i="1"/>
  <c r="AL80" i="1"/>
  <c r="AO80" i="1"/>
  <c r="AP80" i="1"/>
  <c r="AQ80" i="1"/>
  <c r="X81" i="1"/>
  <c r="Y81" i="1"/>
  <c r="AA81" i="1"/>
  <c r="AD81" i="1"/>
  <c r="AE81" i="1"/>
  <c r="AG81" i="1"/>
  <c r="AH81" i="1"/>
  <c r="AI81" i="1"/>
  <c r="AK81" i="1"/>
  <c r="AL81" i="1"/>
  <c r="AO81" i="1"/>
  <c r="AP81" i="1"/>
  <c r="AQ81" i="1"/>
  <c r="X82" i="1"/>
  <c r="Y82" i="1"/>
  <c r="AA82" i="1"/>
  <c r="AD82" i="1"/>
  <c r="AE82" i="1"/>
  <c r="AG82" i="1"/>
  <c r="AH82" i="1"/>
  <c r="AI82" i="1"/>
  <c r="AK82" i="1"/>
  <c r="AL82" i="1"/>
  <c r="AO82" i="1"/>
  <c r="AP82" i="1"/>
  <c r="AQ82" i="1"/>
  <c r="X83" i="1"/>
  <c r="Y83" i="1"/>
  <c r="AA83" i="1"/>
  <c r="AD83" i="1"/>
  <c r="AE83" i="1"/>
  <c r="AG83" i="1"/>
  <c r="AH83" i="1"/>
  <c r="AI83" i="1"/>
  <c r="AK83" i="1"/>
  <c r="AL83" i="1"/>
  <c r="AO83" i="1"/>
  <c r="AP83" i="1"/>
  <c r="AQ83" i="1"/>
  <c r="X84" i="1"/>
  <c r="Y84" i="1"/>
  <c r="AA84" i="1"/>
  <c r="AD84" i="1"/>
  <c r="AE84" i="1"/>
  <c r="AG84" i="1"/>
  <c r="AH84" i="1"/>
  <c r="AI84" i="1"/>
  <c r="AK84" i="1"/>
  <c r="AL84" i="1"/>
  <c r="AO84" i="1"/>
  <c r="AP84" i="1"/>
  <c r="AQ84" i="1"/>
  <c r="X85" i="1"/>
  <c r="Y85" i="1"/>
  <c r="AA85" i="1"/>
  <c r="AD85" i="1"/>
  <c r="AE85" i="1"/>
  <c r="AG85" i="1"/>
  <c r="AH85" i="1"/>
  <c r="AI85" i="1"/>
  <c r="AK85" i="1"/>
  <c r="AL85" i="1"/>
  <c r="AO85" i="1"/>
  <c r="AP85" i="1"/>
  <c r="AQ85" i="1"/>
  <c r="X86" i="1"/>
  <c r="Y86" i="1"/>
  <c r="AA86" i="1"/>
  <c r="AD86" i="1"/>
  <c r="AE86" i="1"/>
  <c r="AG86" i="1"/>
  <c r="AH86" i="1"/>
  <c r="AI86" i="1"/>
  <c r="AK86" i="1"/>
  <c r="AL86" i="1"/>
  <c r="AO86" i="1"/>
  <c r="AP86" i="1"/>
  <c r="AQ86" i="1"/>
  <c r="AF119" i="1" l="1"/>
  <c r="AF161" i="1"/>
  <c r="AF177" i="1"/>
  <c r="AF132" i="1"/>
  <c r="AF125" i="1"/>
  <c r="AF117" i="1"/>
  <c r="AF124" i="1"/>
  <c r="AF121" i="1"/>
  <c r="AF175" i="1"/>
  <c r="AF174" i="1"/>
  <c r="AF111" i="1"/>
  <c r="AF159" i="1"/>
  <c r="AF133" i="1"/>
  <c r="AF170" i="1"/>
  <c r="AF118" i="1"/>
  <c r="AF142" i="1"/>
  <c r="AF123" i="1"/>
  <c r="AF160" i="1"/>
  <c r="AF128" i="1"/>
  <c r="AF120" i="1"/>
  <c r="AF96" i="1"/>
  <c r="AF95" i="1"/>
  <c r="AF126" i="1"/>
  <c r="AF173" i="1"/>
  <c r="AF109" i="1"/>
  <c r="AF116" i="1"/>
  <c r="AF130" i="1"/>
  <c r="AF122" i="1"/>
  <c r="AF176" i="1"/>
  <c r="AF107" i="1"/>
  <c r="AF180" i="1"/>
  <c r="AF93" i="1"/>
  <c r="AF181" i="1"/>
  <c r="AF129" i="1"/>
  <c r="AF185" i="1"/>
  <c r="AF113" i="1"/>
  <c r="AF131" i="1"/>
  <c r="AF108" i="1"/>
  <c r="AF94" i="1"/>
  <c r="AF179" i="1"/>
  <c r="AF33" i="1"/>
  <c r="AF27" i="1"/>
  <c r="AF86" i="1"/>
  <c r="AF29" i="1"/>
  <c r="AF24" i="1"/>
  <c r="AF50" i="1"/>
  <c r="AF71" i="1"/>
  <c r="AF42" i="1"/>
  <c r="AF38" i="1"/>
  <c r="AF60" i="1"/>
  <c r="AF58" i="1"/>
  <c r="AF53" i="1"/>
  <c r="AF46" i="1"/>
  <c r="AF23" i="1"/>
  <c r="AF21" i="1"/>
  <c r="AF81" i="1"/>
  <c r="AF79" i="1"/>
  <c r="AF82" i="1"/>
  <c r="AF80" i="1"/>
  <c r="AF73" i="1"/>
  <c r="AF78" i="1"/>
  <c r="AF74" i="1"/>
  <c r="AF34" i="1"/>
  <c r="AF56" i="1"/>
  <c r="AF25" i="1"/>
  <c r="AF85" i="1"/>
  <c r="AF31" i="1"/>
  <c r="AF39" i="1"/>
  <c r="AF43" i="1"/>
  <c r="AF59" i="1"/>
  <c r="AF48" i="1"/>
  <c r="AF63" i="1"/>
  <c r="AF45" i="1"/>
  <c r="AF61" i="1"/>
  <c r="AF41" i="1"/>
  <c r="AF44" i="1"/>
  <c r="AF37" i="1"/>
  <c r="AF40" i="1"/>
  <c r="AF35" i="1"/>
  <c r="AF84" i="1"/>
  <c r="AF67" i="1"/>
  <c r="AF55" i="1"/>
  <c r="AF70" i="1"/>
  <c r="AF83" i="1"/>
  <c r="AF72" i="1"/>
  <c r="AF64" i="1"/>
  <c r="AF57" i="1"/>
  <c r="AF32" i="1"/>
  <c r="AF26" i="1"/>
  <c r="AF47" i="1"/>
  <c r="AF62" i="1"/>
  <c r="AF52" i="1"/>
  <c r="AF65" i="1"/>
  <c r="AF76" i="1"/>
  <c r="AF75" i="1"/>
  <c r="AF66" i="1"/>
  <c r="AF68" i="1"/>
  <c r="AF54" i="1"/>
  <c r="AF51" i="1"/>
  <c r="AF30" i="1"/>
  <c r="AF28" i="1"/>
  <c r="AF49" i="1"/>
  <c r="AF36" i="1"/>
  <c r="AF20" i="1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AG19" i="1" l="1"/>
  <c r="AH19" i="1"/>
  <c r="AA19" i="1"/>
  <c r="I232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23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24" i="3"/>
  <c r="I225" i="3"/>
  <c r="I226" i="3"/>
  <c r="I227" i="3"/>
  <c r="I228" i="3"/>
  <c r="I229" i="3"/>
  <c r="I230" i="3"/>
  <c r="I231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23" i="3"/>
  <c r="AQ19" i="1"/>
  <c r="AP19" i="1"/>
  <c r="AO19" i="1"/>
  <c r="AL19" i="1"/>
  <c r="AK19" i="1"/>
  <c r="AI19" i="1"/>
  <c r="A83" i="3" l="1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AD19" i="1"/>
  <c r="AE19" i="1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18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58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Y19" i="1"/>
  <c r="X19" i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6" i="3"/>
  <c r="AY178" i="1" l="1"/>
  <c r="AR178" i="1" s="1"/>
  <c r="AY151" i="1"/>
  <c r="AR151" i="1" s="1"/>
  <c r="AY165" i="1"/>
  <c r="AR165" i="1" s="1"/>
  <c r="AY167" i="1"/>
  <c r="AR167" i="1" s="1"/>
  <c r="AY184" i="1"/>
  <c r="AR184" i="1" s="1"/>
  <c r="AY163" i="1"/>
  <c r="AR163" i="1" s="1"/>
  <c r="AY147" i="1"/>
  <c r="AR147" i="1" s="1"/>
  <c r="AY153" i="1"/>
  <c r="AR153" i="1" s="1"/>
  <c r="AY156" i="1"/>
  <c r="AR156" i="1" s="1"/>
  <c r="AY164" i="1"/>
  <c r="AR164" i="1" s="1"/>
  <c r="AY155" i="1"/>
  <c r="AR155" i="1" s="1"/>
  <c r="AY150" i="1"/>
  <c r="AR150" i="1" s="1"/>
  <c r="AY171" i="1"/>
  <c r="AR171" i="1" s="1"/>
  <c r="AY149" i="1"/>
  <c r="AR149" i="1" s="1"/>
  <c r="AY139" i="1"/>
  <c r="AR139" i="1" s="1"/>
  <c r="AY152" i="1"/>
  <c r="AR152" i="1" s="1"/>
  <c r="AY169" i="1"/>
  <c r="AR169" i="1" s="1"/>
  <c r="AY145" i="1"/>
  <c r="AR145" i="1" s="1"/>
  <c r="AY166" i="1"/>
  <c r="AR166" i="1" s="1"/>
  <c r="AY148" i="1"/>
  <c r="AR148" i="1" s="1"/>
  <c r="AY140" i="1"/>
  <c r="AR140" i="1" s="1"/>
  <c r="AY183" i="1"/>
  <c r="AR183" i="1" s="1"/>
  <c r="AY172" i="1"/>
  <c r="AR172" i="1" s="1"/>
  <c r="AY144" i="1"/>
  <c r="AR144" i="1" s="1"/>
  <c r="AY141" i="1"/>
  <c r="AR141" i="1" s="1"/>
  <c r="AY146" i="1"/>
  <c r="AR146" i="1" s="1"/>
  <c r="AY154" i="1"/>
  <c r="AR154" i="1" s="1"/>
  <c r="AY182" i="1"/>
  <c r="AR182" i="1" s="1"/>
  <c r="AY168" i="1"/>
  <c r="AR168" i="1" s="1"/>
  <c r="AY88" i="1"/>
  <c r="AR88" i="1" s="1"/>
  <c r="AY87" i="1"/>
  <c r="AR87" i="1" s="1"/>
  <c r="AY127" i="1"/>
  <c r="AR127" i="1" s="1"/>
  <c r="AY91" i="1"/>
  <c r="AR91" i="1" s="1"/>
  <c r="AY100" i="1"/>
  <c r="AR100" i="1" s="1"/>
  <c r="AY158" i="1"/>
  <c r="AR158" i="1" s="1"/>
  <c r="AY99" i="1"/>
  <c r="AR99" i="1" s="1"/>
  <c r="AY135" i="1"/>
  <c r="AR135" i="1" s="1"/>
  <c r="AY90" i="1"/>
  <c r="AR90" i="1" s="1"/>
  <c r="AY98" i="1"/>
  <c r="AR98" i="1" s="1"/>
  <c r="AY102" i="1"/>
  <c r="AR102" i="1" s="1"/>
  <c r="AY101" i="1"/>
  <c r="AR101" i="1" s="1"/>
  <c r="AY89" i="1"/>
  <c r="AR89" i="1" s="1"/>
  <c r="AY92" i="1"/>
  <c r="AR92" i="1" s="1"/>
  <c r="AY137" i="1"/>
  <c r="AR137" i="1" s="1"/>
  <c r="AY114" i="1"/>
  <c r="AR114" i="1" s="1"/>
  <c r="AY106" i="1"/>
  <c r="AR106" i="1" s="1"/>
  <c r="AY157" i="1"/>
  <c r="AR157" i="1" s="1"/>
  <c r="AY105" i="1"/>
  <c r="AR105" i="1" s="1"/>
  <c r="AY112" i="1"/>
  <c r="AR112" i="1" s="1"/>
  <c r="AY162" i="1"/>
  <c r="AR162" i="1" s="1"/>
  <c r="AY136" i="1"/>
  <c r="AR136" i="1" s="1"/>
  <c r="AY138" i="1"/>
  <c r="AR138" i="1" s="1"/>
  <c r="AY134" i="1"/>
  <c r="AR134" i="1" s="1"/>
  <c r="AY115" i="1"/>
  <c r="AR115" i="1" s="1"/>
  <c r="AY110" i="1"/>
  <c r="AR110" i="1" s="1"/>
  <c r="AY143" i="1"/>
  <c r="AR143" i="1" s="1"/>
  <c r="AY97" i="1"/>
  <c r="AR97" i="1" s="1"/>
  <c r="AY104" i="1"/>
  <c r="AR104" i="1" s="1"/>
  <c r="AY103" i="1"/>
  <c r="AR103" i="1" s="1"/>
  <c r="AY118" i="1"/>
  <c r="AR118" i="1" s="1"/>
  <c r="AY130" i="1"/>
  <c r="AR130" i="1" s="1"/>
  <c r="AY94" i="1"/>
  <c r="AR94" i="1" s="1"/>
  <c r="AY21" i="1"/>
  <c r="AR21" i="1" s="1"/>
  <c r="AY39" i="1"/>
  <c r="AR39" i="1" s="1"/>
  <c r="AY49" i="1"/>
  <c r="AR49" i="1" s="1"/>
  <c r="AY48" i="1"/>
  <c r="AR48" i="1" s="1"/>
  <c r="AY78" i="1"/>
  <c r="AR78" i="1" s="1"/>
  <c r="AY73" i="1"/>
  <c r="AR73" i="1" s="1"/>
  <c r="AY84" i="1"/>
  <c r="AR84" i="1" s="1"/>
  <c r="AY55" i="1"/>
  <c r="AR55" i="1" s="1"/>
  <c r="AY161" i="1"/>
  <c r="AR161" i="1" s="1"/>
  <c r="AY45" i="1"/>
  <c r="AR45" i="1" s="1"/>
  <c r="AY38" i="1"/>
  <c r="AR38" i="1" s="1"/>
  <c r="AY128" i="1"/>
  <c r="AR128" i="1" s="1"/>
  <c r="AY132" i="1"/>
  <c r="AR132" i="1" s="1"/>
  <c r="AY121" i="1"/>
  <c r="AR121" i="1" s="1"/>
  <c r="AY142" i="1"/>
  <c r="AR142" i="1" s="1"/>
  <c r="AY120" i="1"/>
  <c r="AR120" i="1" s="1"/>
  <c r="AY126" i="1"/>
  <c r="AR126" i="1" s="1"/>
  <c r="AY107" i="1"/>
  <c r="AR107" i="1" s="1"/>
  <c r="AY70" i="1"/>
  <c r="AR70" i="1" s="1"/>
  <c r="AY27" i="1"/>
  <c r="AR27" i="1" s="1"/>
  <c r="AY83" i="1"/>
  <c r="AR83" i="1" s="1"/>
  <c r="AY40" i="1"/>
  <c r="AR40" i="1" s="1"/>
  <c r="AY159" i="1"/>
  <c r="AR159" i="1" s="1"/>
  <c r="AY129" i="1"/>
  <c r="AR129" i="1" s="1"/>
  <c r="AY131" i="1"/>
  <c r="AR131" i="1" s="1"/>
  <c r="AY47" i="1"/>
  <c r="AR47" i="1" s="1"/>
  <c r="AY41" i="1"/>
  <c r="AR41" i="1" s="1"/>
  <c r="AY82" i="1"/>
  <c r="AR82" i="1" s="1"/>
  <c r="AY20" i="1"/>
  <c r="AR20" i="1" s="1"/>
  <c r="AY30" i="1"/>
  <c r="AR30" i="1" s="1"/>
  <c r="AY24" i="1"/>
  <c r="AR24" i="1" s="1"/>
  <c r="AY81" i="1"/>
  <c r="AR81" i="1" s="1"/>
  <c r="AY125" i="1"/>
  <c r="AR125" i="1" s="1"/>
  <c r="AY123" i="1"/>
  <c r="AR123" i="1" s="1"/>
  <c r="AY173" i="1"/>
  <c r="AR173" i="1" s="1"/>
  <c r="AY122" i="1"/>
  <c r="AR122" i="1" s="1"/>
  <c r="AY108" i="1"/>
  <c r="AR108" i="1" s="1"/>
  <c r="AY179" i="1"/>
  <c r="AR179" i="1" s="1"/>
  <c r="AY28" i="1"/>
  <c r="AR28" i="1" s="1"/>
  <c r="AY23" i="1"/>
  <c r="AR23" i="1" s="1"/>
  <c r="AY79" i="1"/>
  <c r="AR79" i="1" s="1"/>
  <c r="AY36" i="1"/>
  <c r="AR36" i="1" s="1"/>
  <c r="AY53" i="1"/>
  <c r="AR53" i="1" s="1"/>
  <c r="AY34" i="1"/>
  <c r="AR34" i="1" s="1"/>
  <c r="AY44" i="1"/>
  <c r="AR44" i="1" s="1"/>
  <c r="AY174" i="1"/>
  <c r="AR174" i="1" s="1"/>
  <c r="AY116" i="1"/>
  <c r="AR116" i="1" s="1"/>
  <c r="AY26" i="1"/>
  <c r="AR26" i="1" s="1"/>
  <c r="AY111" i="1"/>
  <c r="AR111" i="1" s="1"/>
  <c r="AY119" i="1"/>
  <c r="AR119" i="1" s="1"/>
  <c r="AY175" i="1"/>
  <c r="AR175" i="1" s="1"/>
  <c r="AY133" i="1"/>
  <c r="AR133" i="1" s="1"/>
  <c r="AY109" i="1"/>
  <c r="AR109" i="1" s="1"/>
  <c r="AY176" i="1"/>
  <c r="AR176" i="1" s="1"/>
  <c r="AY180" i="1"/>
  <c r="AR180" i="1" s="1"/>
  <c r="AY25" i="1"/>
  <c r="AR25" i="1" s="1"/>
  <c r="AY68" i="1"/>
  <c r="AR68" i="1" s="1"/>
  <c r="AY43" i="1"/>
  <c r="AR43" i="1" s="1"/>
  <c r="AY86" i="1"/>
  <c r="AR86" i="1" s="1"/>
  <c r="AY60" i="1"/>
  <c r="AR60" i="1" s="1"/>
  <c r="AY33" i="1"/>
  <c r="AR33" i="1" s="1"/>
  <c r="AY63" i="1"/>
  <c r="AR63" i="1" s="1"/>
  <c r="AY56" i="1"/>
  <c r="AR56" i="1" s="1"/>
  <c r="AY31" i="1"/>
  <c r="AR31" i="1" s="1"/>
  <c r="AY65" i="1"/>
  <c r="AR65" i="1" s="1"/>
  <c r="AY66" i="1"/>
  <c r="AR66" i="1" s="1"/>
  <c r="AY72" i="1"/>
  <c r="AR72" i="1" s="1"/>
  <c r="AY64" i="1"/>
  <c r="AR64" i="1" s="1"/>
  <c r="AY170" i="1"/>
  <c r="AR170" i="1" s="1"/>
  <c r="AY42" i="1"/>
  <c r="AR42" i="1" s="1"/>
  <c r="AY67" i="1"/>
  <c r="AR67" i="1" s="1"/>
  <c r="AY51" i="1"/>
  <c r="AR51" i="1" s="1"/>
  <c r="AY54" i="1"/>
  <c r="AR54" i="1" s="1"/>
  <c r="AY124" i="1"/>
  <c r="AR124" i="1" s="1"/>
  <c r="AY95" i="1"/>
  <c r="AR95" i="1" s="1"/>
  <c r="AY117" i="1"/>
  <c r="AR117" i="1" s="1"/>
  <c r="AY160" i="1"/>
  <c r="AR160" i="1" s="1"/>
  <c r="AY96" i="1"/>
  <c r="AR96" i="1" s="1"/>
  <c r="AY185" i="1"/>
  <c r="AR185" i="1" s="1"/>
  <c r="AY75" i="1"/>
  <c r="AR75" i="1" s="1"/>
  <c r="AY62" i="1"/>
  <c r="AR62" i="1" s="1"/>
  <c r="AY74" i="1"/>
  <c r="AR74" i="1" s="1"/>
  <c r="AY46" i="1"/>
  <c r="AR46" i="1" s="1"/>
  <c r="AY52" i="1"/>
  <c r="AR52" i="1" s="1"/>
  <c r="AY32" i="1"/>
  <c r="AR32" i="1" s="1"/>
  <c r="AY76" i="1"/>
  <c r="AR76" i="1" s="1"/>
  <c r="AY71" i="1"/>
  <c r="AR71" i="1" s="1"/>
  <c r="AY59" i="1"/>
  <c r="AR59" i="1" s="1"/>
  <c r="AY177" i="1"/>
  <c r="AR177" i="1" s="1"/>
  <c r="AY50" i="1"/>
  <c r="AR50" i="1" s="1"/>
  <c r="AY35" i="1"/>
  <c r="AR35" i="1" s="1"/>
  <c r="AY113" i="1"/>
  <c r="AR113" i="1" s="1"/>
  <c r="AY93" i="1"/>
  <c r="AR93" i="1" s="1"/>
  <c r="AY37" i="1"/>
  <c r="AR37" i="1" s="1"/>
  <c r="AY61" i="1"/>
  <c r="AR61" i="1" s="1"/>
  <c r="AY181" i="1"/>
  <c r="AR181" i="1" s="1"/>
  <c r="AY80" i="1"/>
  <c r="AR80" i="1" s="1"/>
  <c r="AY85" i="1"/>
  <c r="AR85" i="1" s="1"/>
  <c r="AY29" i="1"/>
  <c r="AR29" i="1" s="1"/>
  <c r="AY57" i="1"/>
  <c r="AR57" i="1" s="1"/>
  <c r="AY58" i="1"/>
  <c r="AR58" i="1" s="1"/>
  <c r="AB169" i="1"/>
  <c r="AB171" i="1"/>
  <c r="AB155" i="1"/>
  <c r="AB156" i="1"/>
  <c r="AB153" i="1"/>
  <c r="AB145" i="1"/>
  <c r="AB141" i="1"/>
  <c r="AB150" i="1"/>
  <c r="AB166" i="1"/>
  <c r="AB154" i="1"/>
  <c r="AB144" i="1"/>
  <c r="AB148" i="1"/>
  <c r="AB163" i="1"/>
  <c r="AB151" i="1"/>
  <c r="AB146" i="1"/>
  <c r="AB184" i="1"/>
  <c r="AB140" i="1"/>
  <c r="AB149" i="1"/>
  <c r="AB165" i="1"/>
  <c r="AB178" i="1"/>
  <c r="AB183" i="1"/>
  <c r="AB152" i="1"/>
  <c r="AB167" i="1"/>
  <c r="AB164" i="1"/>
  <c r="AB139" i="1"/>
  <c r="AB172" i="1"/>
  <c r="AB147" i="1"/>
  <c r="AB182" i="1"/>
  <c r="AB168" i="1"/>
  <c r="AB162" i="1"/>
  <c r="AB102" i="1"/>
  <c r="AB104" i="1"/>
  <c r="AB136" i="1"/>
  <c r="AB110" i="1"/>
  <c r="AB106" i="1"/>
  <c r="AB135" i="1"/>
  <c r="AB92" i="1"/>
  <c r="AB115" i="1"/>
  <c r="AB112" i="1"/>
  <c r="AB98" i="1"/>
  <c r="AB158" i="1"/>
  <c r="AB100" i="1"/>
  <c r="AB105" i="1"/>
  <c r="AB134" i="1"/>
  <c r="AB87" i="1"/>
  <c r="AB114" i="1"/>
  <c r="AB127" i="1"/>
  <c r="AB157" i="1"/>
  <c r="AB137" i="1"/>
  <c r="AB103" i="1"/>
  <c r="AB143" i="1"/>
  <c r="AB90" i="1"/>
  <c r="AB97" i="1"/>
  <c r="AB88" i="1"/>
  <c r="AB101" i="1"/>
  <c r="AB138" i="1"/>
  <c r="AB91" i="1"/>
  <c r="AB99" i="1"/>
  <c r="AB89" i="1"/>
  <c r="AB142" i="1"/>
  <c r="AB109" i="1"/>
  <c r="AB95" i="1"/>
  <c r="AB40" i="1"/>
  <c r="AB73" i="1"/>
  <c r="AB66" i="1"/>
  <c r="AB58" i="1"/>
  <c r="AB48" i="1"/>
  <c r="AB45" i="1"/>
  <c r="AB118" i="1"/>
  <c r="AB117" i="1"/>
  <c r="AB111" i="1"/>
  <c r="AB94" i="1"/>
  <c r="AB113" i="1"/>
  <c r="AB180" i="1"/>
  <c r="AB185" i="1"/>
  <c r="AB51" i="1"/>
  <c r="AB34" i="1"/>
  <c r="AB71" i="1"/>
  <c r="AB49" i="1"/>
  <c r="AB24" i="1"/>
  <c r="AB59" i="1"/>
  <c r="AB81" i="1"/>
  <c r="AB74" i="1"/>
  <c r="AB61" i="1"/>
  <c r="AB39" i="1"/>
  <c r="AB23" i="1"/>
  <c r="AB161" i="1"/>
  <c r="AB130" i="1"/>
  <c r="AB121" i="1"/>
  <c r="AB120" i="1"/>
  <c r="AB159" i="1"/>
  <c r="AB126" i="1"/>
  <c r="AB43" i="1"/>
  <c r="AB75" i="1"/>
  <c r="AB50" i="1"/>
  <c r="AB41" i="1"/>
  <c r="AB54" i="1"/>
  <c r="AB64" i="1"/>
  <c r="AB25" i="1"/>
  <c r="AB56" i="1"/>
  <c r="AB82" i="1"/>
  <c r="AB57" i="1"/>
  <c r="AB35" i="1"/>
  <c r="AB33" i="1"/>
  <c r="AB122" i="1"/>
  <c r="AB86" i="1"/>
  <c r="AB133" i="1"/>
  <c r="AB68" i="1"/>
  <c r="AB46" i="1"/>
  <c r="AB107" i="1"/>
  <c r="AB78" i="1"/>
  <c r="AB123" i="1"/>
  <c r="AB175" i="1"/>
  <c r="AB84" i="1"/>
  <c r="AB131" i="1"/>
  <c r="AB177" i="1"/>
  <c r="AB42" i="1"/>
  <c r="AB28" i="1"/>
  <c r="AB60" i="1"/>
  <c r="AB36" i="1"/>
  <c r="AB62" i="1"/>
  <c r="AB76" i="1"/>
  <c r="AB29" i="1"/>
  <c r="AB176" i="1"/>
  <c r="AB53" i="1"/>
  <c r="AB128" i="1"/>
  <c r="AB170" i="1"/>
  <c r="AB124" i="1"/>
  <c r="AB160" i="1"/>
  <c r="AB93" i="1"/>
  <c r="AB173" i="1"/>
  <c r="AB132" i="1"/>
  <c r="AB67" i="1"/>
  <c r="AB38" i="1"/>
  <c r="AB55" i="1"/>
  <c r="AB129" i="1"/>
  <c r="AB174" i="1"/>
  <c r="AB125" i="1"/>
  <c r="AB83" i="1"/>
  <c r="AB70" i="1"/>
  <c r="AB116" i="1"/>
  <c r="AB108" i="1"/>
  <c r="AB27" i="1"/>
  <c r="AB96" i="1"/>
  <c r="AB63" i="1"/>
  <c r="AB47" i="1"/>
  <c r="AB52" i="1"/>
  <c r="AB20" i="1"/>
  <c r="AB37" i="1"/>
  <c r="AB79" i="1"/>
  <c r="AB65" i="1"/>
  <c r="AB21" i="1"/>
  <c r="AB181" i="1"/>
  <c r="AB30" i="1"/>
  <c r="AB119" i="1"/>
  <c r="AB179" i="1"/>
  <c r="AB72" i="1"/>
  <c r="AB32" i="1"/>
  <c r="AB31" i="1"/>
  <c r="AB85" i="1"/>
  <c r="AB44" i="1"/>
  <c r="AB26" i="1"/>
  <c r="AB80" i="1"/>
  <c r="AB69" i="1"/>
  <c r="AB77" i="1"/>
  <c r="AB22" i="1"/>
  <c r="AB19" i="1"/>
  <c r="AW139" i="1"/>
  <c r="AW150" i="1"/>
  <c r="AW144" i="1"/>
  <c r="AW167" i="1"/>
  <c r="AW169" i="1"/>
  <c r="AW163" i="1"/>
  <c r="AW153" i="1"/>
  <c r="AW164" i="1"/>
  <c r="AW140" i="1"/>
  <c r="AW171" i="1"/>
  <c r="AW155" i="1"/>
  <c r="AW172" i="1"/>
  <c r="AW151" i="1"/>
  <c r="AW154" i="1"/>
  <c r="AW148" i="1"/>
  <c r="AW156" i="1"/>
  <c r="AW146" i="1"/>
  <c r="AW147" i="1"/>
  <c r="AW145" i="1"/>
  <c r="AW183" i="1"/>
  <c r="AW152" i="1"/>
  <c r="AW178" i="1"/>
  <c r="AW166" i="1"/>
  <c r="AW184" i="1"/>
  <c r="AW149" i="1"/>
  <c r="AW165" i="1"/>
  <c r="AW141" i="1"/>
  <c r="AW182" i="1"/>
  <c r="AW168" i="1"/>
  <c r="AW99" i="1"/>
  <c r="AW114" i="1"/>
  <c r="AW135" i="1"/>
  <c r="AW105" i="1"/>
  <c r="AW90" i="1"/>
  <c r="AW127" i="1"/>
  <c r="AW162" i="1"/>
  <c r="AW101" i="1"/>
  <c r="AW112" i="1"/>
  <c r="AW106" i="1"/>
  <c r="AW136" i="1"/>
  <c r="AW97" i="1"/>
  <c r="AW102" i="1"/>
  <c r="AW91" i="1"/>
  <c r="AW115" i="1"/>
  <c r="AW158" i="1"/>
  <c r="AW137" i="1"/>
  <c r="AW110" i="1"/>
  <c r="AW98" i="1"/>
  <c r="AW103" i="1"/>
  <c r="AW143" i="1"/>
  <c r="AW89" i="1"/>
  <c r="AW134" i="1"/>
  <c r="AW104" i="1"/>
  <c r="AW88" i="1"/>
  <c r="AW92" i="1"/>
  <c r="AW157" i="1"/>
  <c r="AW100" i="1"/>
  <c r="AW138" i="1"/>
  <c r="AW87" i="1"/>
  <c r="AW71" i="1"/>
  <c r="AW118" i="1"/>
  <c r="AW117" i="1"/>
  <c r="AW35" i="1"/>
  <c r="AW128" i="1"/>
  <c r="AW111" i="1"/>
  <c r="AW107" i="1"/>
  <c r="AW75" i="1"/>
  <c r="AW185" i="1"/>
  <c r="AW62" i="1"/>
  <c r="AW41" i="1"/>
  <c r="AW72" i="1"/>
  <c r="AW52" i="1"/>
  <c r="AW28" i="1"/>
  <c r="AW30" i="1"/>
  <c r="AW59" i="1"/>
  <c r="AW81" i="1"/>
  <c r="AW63" i="1"/>
  <c r="AW174" i="1"/>
  <c r="AW31" i="1"/>
  <c r="AW142" i="1"/>
  <c r="AW121" i="1"/>
  <c r="AW120" i="1"/>
  <c r="AW80" i="1"/>
  <c r="AW54" i="1"/>
  <c r="AW37" i="1"/>
  <c r="AW68" i="1"/>
  <c r="AW36" i="1"/>
  <c r="AM36" i="1" s="1"/>
  <c r="AW84" i="1"/>
  <c r="AW86" i="1"/>
  <c r="AW26" i="1"/>
  <c r="AW58" i="1"/>
  <c r="AW39" i="1"/>
  <c r="AW119" i="1"/>
  <c r="AW123" i="1"/>
  <c r="AW94" i="1"/>
  <c r="AW113" i="1"/>
  <c r="AW180" i="1"/>
  <c r="AW177" i="1"/>
  <c r="AW50" i="1"/>
  <c r="AW33" i="1"/>
  <c r="AW64" i="1"/>
  <c r="AW32" i="1"/>
  <c r="AW27" i="1"/>
  <c r="AW83" i="1"/>
  <c r="AW74" i="1"/>
  <c r="AM74" i="1" s="1"/>
  <c r="AW85" i="1"/>
  <c r="AW43" i="1"/>
  <c r="AW122" i="1"/>
  <c r="AW161" i="1"/>
  <c r="AW130" i="1"/>
  <c r="AW160" i="1"/>
  <c r="AW159" i="1"/>
  <c r="AW93" i="1"/>
  <c r="AW126" i="1"/>
  <c r="AW73" i="1"/>
  <c r="AW29" i="1"/>
  <c r="AW60" i="1"/>
  <c r="AW20" i="1"/>
  <c r="AW67" i="1"/>
  <c r="AW51" i="1"/>
  <c r="AW82" i="1"/>
  <c r="AW57" i="1"/>
  <c r="AW21" i="1"/>
  <c r="AW49" i="1"/>
  <c r="AW70" i="1"/>
  <c r="AW109" i="1"/>
  <c r="AW116" i="1"/>
  <c r="AW108" i="1"/>
  <c r="AW175" i="1"/>
  <c r="AW96" i="1"/>
  <c r="AW131" i="1"/>
  <c r="AW65" i="1"/>
  <c r="AW25" i="1"/>
  <c r="AW56" i="1"/>
  <c r="AW24" i="1"/>
  <c r="AW23" i="1"/>
  <c r="AW40" i="1"/>
  <c r="AW38" i="1"/>
  <c r="AW48" i="1"/>
  <c r="AW47" i="1"/>
  <c r="AW78" i="1"/>
  <c r="AW129" i="1"/>
  <c r="AW170" i="1"/>
  <c r="AW124" i="1"/>
  <c r="AW176" i="1"/>
  <c r="AW125" i="1"/>
  <c r="AW173" i="1"/>
  <c r="AM173" i="1" s="1"/>
  <c r="AW133" i="1"/>
  <c r="AW132" i="1"/>
  <c r="AW34" i="1"/>
  <c r="AW61" i="1"/>
  <c r="AW42" i="1"/>
  <c r="AW55" i="1"/>
  <c r="AW44" i="1"/>
  <c r="AW179" i="1"/>
  <c r="AW181" i="1"/>
  <c r="AW66" i="1"/>
  <c r="AW79" i="1"/>
  <c r="AW45" i="1"/>
  <c r="AW53" i="1"/>
  <c r="AW76" i="1"/>
  <c r="AW46" i="1"/>
  <c r="AW95" i="1"/>
  <c r="AW22" i="1"/>
  <c r="AM22" i="1" s="1"/>
  <c r="AW69" i="1"/>
  <c r="AM69" i="1" s="1"/>
  <c r="AW77" i="1"/>
  <c r="AM77" i="1" s="1"/>
  <c r="AW19" i="1"/>
  <c r="AY69" i="1"/>
  <c r="AR69" i="1" s="1"/>
  <c r="AF69" i="1"/>
  <c r="AY22" i="1"/>
  <c r="AR22" i="1" s="1"/>
  <c r="AF22" i="1"/>
  <c r="AF77" i="1"/>
  <c r="AY77" i="1"/>
  <c r="AR77" i="1" s="1"/>
  <c r="AY19" i="1"/>
  <c r="AF19" i="1"/>
  <c r="V36" i="3"/>
  <c r="AM124" i="1" l="1"/>
  <c r="AM84" i="1"/>
  <c r="AM136" i="1"/>
  <c r="AM45" i="1"/>
  <c r="AM61" i="1"/>
  <c r="AM170" i="1"/>
  <c r="AM24" i="1"/>
  <c r="AM116" i="1"/>
  <c r="AM67" i="1"/>
  <c r="AM160" i="1"/>
  <c r="AM27" i="1"/>
  <c r="AM94" i="1"/>
  <c r="AM31" i="1"/>
  <c r="AM72" i="1"/>
  <c r="AM35" i="1"/>
  <c r="AM92" i="1"/>
  <c r="AM110" i="1"/>
  <c r="AM106" i="1"/>
  <c r="AM114" i="1"/>
  <c r="AM166" i="1"/>
  <c r="AM148" i="1"/>
  <c r="AM153" i="1"/>
  <c r="AM159" i="1"/>
  <c r="AM98" i="1"/>
  <c r="AM79" i="1"/>
  <c r="AM34" i="1"/>
  <c r="AM129" i="1"/>
  <c r="AM56" i="1"/>
  <c r="AM109" i="1"/>
  <c r="AM20" i="1"/>
  <c r="AM130" i="1"/>
  <c r="AM32" i="1"/>
  <c r="AM123" i="1"/>
  <c r="AM68" i="1"/>
  <c r="AM174" i="1"/>
  <c r="AM41" i="1"/>
  <c r="AM117" i="1"/>
  <c r="AM88" i="1"/>
  <c r="AM137" i="1"/>
  <c r="AM112" i="1"/>
  <c r="AM99" i="1"/>
  <c r="AM178" i="1"/>
  <c r="AM154" i="1"/>
  <c r="AM163" i="1"/>
  <c r="AM108" i="1"/>
  <c r="AM52" i="1"/>
  <c r="AM184" i="1"/>
  <c r="AM25" i="1"/>
  <c r="AM70" i="1"/>
  <c r="AM60" i="1"/>
  <c r="AM161" i="1"/>
  <c r="AM64" i="1"/>
  <c r="AM119" i="1"/>
  <c r="AM37" i="1"/>
  <c r="AM63" i="1"/>
  <c r="AM62" i="1"/>
  <c r="AM118" i="1"/>
  <c r="AM104" i="1"/>
  <c r="AM158" i="1"/>
  <c r="AM101" i="1"/>
  <c r="AM168" i="1"/>
  <c r="AM152" i="1"/>
  <c r="AM151" i="1"/>
  <c r="AM169" i="1"/>
  <c r="AM23" i="1"/>
  <c r="AM142" i="1"/>
  <c r="AM156" i="1"/>
  <c r="AM78" i="1"/>
  <c r="AM181" i="1"/>
  <c r="AM133" i="1"/>
  <c r="AM47" i="1"/>
  <c r="AM65" i="1"/>
  <c r="AM49" i="1"/>
  <c r="AM29" i="1"/>
  <c r="AM122" i="1"/>
  <c r="AM33" i="1"/>
  <c r="AM39" i="1"/>
  <c r="AM54" i="1"/>
  <c r="AM81" i="1"/>
  <c r="AM185" i="1"/>
  <c r="AM71" i="1"/>
  <c r="AM134" i="1"/>
  <c r="AM115" i="1"/>
  <c r="AM162" i="1"/>
  <c r="AM182" i="1"/>
  <c r="AM183" i="1"/>
  <c r="AM172" i="1"/>
  <c r="AM167" i="1"/>
  <c r="AM51" i="1"/>
  <c r="AM128" i="1"/>
  <c r="AM164" i="1"/>
  <c r="AM66" i="1"/>
  <c r="AM95" i="1"/>
  <c r="AM179" i="1"/>
  <c r="AM48" i="1"/>
  <c r="AM131" i="1"/>
  <c r="AM21" i="1"/>
  <c r="AM73" i="1"/>
  <c r="AM43" i="1"/>
  <c r="AM50" i="1"/>
  <c r="AM58" i="1"/>
  <c r="AM80" i="1"/>
  <c r="AM59" i="1"/>
  <c r="AM75" i="1"/>
  <c r="AM87" i="1"/>
  <c r="AM89" i="1"/>
  <c r="AM91" i="1"/>
  <c r="AM127" i="1"/>
  <c r="AM141" i="1"/>
  <c r="AM145" i="1"/>
  <c r="AM155" i="1"/>
  <c r="AM144" i="1"/>
  <c r="AM53" i="1"/>
  <c r="AM83" i="1"/>
  <c r="AM157" i="1"/>
  <c r="AM132" i="1"/>
  <c r="AM46" i="1"/>
  <c r="AM44" i="1"/>
  <c r="AM125" i="1"/>
  <c r="AM38" i="1"/>
  <c r="AM96" i="1"/>
  <c r="AM57" i="1"/>
  <c r="AM126" i="1"/>
  <c r="AM85" i="1"/>
  <c r="AM177" i="1"/>
  <c r="AM26" i="1"/>
  <c r="AM120" i="1"/>
  <c r="AM30" i="1"/>
  <c r="AM107" i="1"/>
  <c r="AM138" i="1"/>
  <c r="AM143" i="1"/>
  <c r="AM102" i="1"/>
  <c r="AM90" i="1"/>
  <c r="AM165" i="1"/>
  <c r="AM147" i="1"/>
  <c r="AM171" i="1"/>
  <c r="AM150" i="1"/>
  <c r="AM42" i="1"/>
  <c r="AM113" i="1"/>
  <c r="AM135" i="1"/>
  <c r="AM76" i="1"/>
  <c r="AM55" i="1"/>
  <c r="AM176" i="1"/>
  <c r="AM40" i="1"/>
  <c r="AM175" i="1"/>
  <c r="AM82" i="1"/>
  <c r="AM93" i="1"/>
  <c r="AM180" i="1"/>
  <c r="AM86" i="1"/>
  <c r="AM121" i="1"/>
  <c r="AM28" i="1"/>
  <c r="AM111" i="1"/>
  <c r="AM100" i="1"/>
  <c r="AM103" i="1"/>
  <c r="AM97" i="1"/>
  <c r="AM105" i="1"/>
  <c r="AM149" i="1"/>
  <c r="AM146" i="1"/>
  <c r="AM140" i="1"/>
  <c r="AM139" i="1"/>
  <c r="AM19" i="1"/>
  <c r="AR19" i="1"/>
  <c r="AC29" i="3"/>
  <c r="M29" i="3"/>
  <c r="J29" i="3"/>
  <c r="AC28" i="3"/>
  <c r="L28" i="3"/>
  <c r="K28" i="3"/>
  <c r="J28" i="3"/>
  <c r="L27" i="3"/>
  <c r="M27" i="3" s="1"/>
  <c r="K27" i="3"/>
  <c r="I27" i="3"/>
  <c r="AC26" i="3"/>
  <c r="O26" i="3"/>
  <c r="N26" i="3"/>
  <c r="M26" i="3"/>
  <c r="J26" i="3"/>
  <c r="M2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Z155" i="1" l="1"/>
  <c r="Z184" i="1"/>
  <c r="Z139" i="1"/>
  <c r="Z138" i="1"/>
  <c r="Z143" i="1"/>
  <c r="Z137" i="1"/>
  <c r="Z136" i="1"/>
  <c r="Z117" i="1"/>
  <c r="Z59" i="1"/>
  <c r="Z111" i="1"/>
  <c r="Z175" i="1"/>
  <c r="Z173" i="1"/>
  <c r="Z71" i="1"/>
  <c r="Z161" i="1"/>
  <c r="Z58" i="1"/>
  <c r="Z73" i="1"/>
  <c r="Z43" i="1"/>
  <c r="Z81" i="1"/>
  <c r="Z181" i="1"/>
  <c r="Z37" i="1"/>
  <c r="Z77" i="1"/>
  <c r="Z112" i="1"/>
  <c r="Z84" i="1"/>
  <c r="Z76" i="1"/>
  <c r="Z178" i="1"/>
  <c r="Z151" i="1"/>
  <c r="Z163" i="1"/>
  <c r="Z99" i="1"/>
  <c r="Z134" i="1"/>
  <c r="Z87" i="1"/>
  <c r="Z92" i="1"/>
  <c r="Z142" i="1"/>
  <c r="Z80" i="1"/>
  <c r="Z34" i="1"/>
  <c r="Z38" i="1"/>
  <c r="Z130" i="1"/>
  <c r="Z48" i="1"/>
  <c r="Z131" i="1"/>
  <c r="Z55" i="1"/>
  <c r="Z68" i="1"/>
  <c r="Z133" i="1"/>
  <c r="Z35" i="1"/>
  <c r="Z51" i="1"/>
  <c r="Z36" i="1"/>
  <c r="Z69" i="1"/>
  <c r="Z154" i="1"/>
  <c r="Z89" i="1"/>
  <c r="Z160" i="1"/>
  <c r="Z27" i="1"/>
  <c r="Z150" i="1"/>
  <c r="Z146" i="1"/>
  <c r="Z144" i="1"/>
  <c r="Z114" i="1"/>
  <c r="Z127" i="1"/>
  <c r="Z97" i="1"/>
  <c r="Z100" i="1"/>
  <c r="Z121" i="1"/>
  <c r="Z79" i="1"/>
  <c r="Z67" i="1"/>
  <c r="Z57" i="1"/>
  <c r="Z123" i="1"/>
  <c r="Z185" i="1"/>
  <c r="Z108" i="1"/>
  <c r="Z64" i="1"/>
  <c r="Z53" i="1"/>
  <c r="Z95" i="1"/>
  <c r="Z47" i="1"/>
  <c r="Z30" i="1"/>
  <c r="Z31" i="1"/>
  <c r="Z152" i="1"/>
  <c r="Z23" i="1"/>
  <c r="Z61" i="1"/>
  <c r="Z153" i="1"/>
  <c r="Z141" i="1"/>
  <c r="Z145" i="1"/>
  <c r="Z167" i="1"/>
  <c r="Z101" i="1"/>
  <c r="Z103" i="1"/>
  <c r="Z105" i="1"/>
  <c r="Z91" i="1"/>
  <c r="Z120" i="1"/>
  <c r="Z52" i="1"/>
  <c r="Z94" i="1"/>
  <c r="Z82" i="1"/>
  <c r="Z32" i="1"/>
  <c r="Z122" i="1"/>
  <c r="Z176" i="1"/>
  <c r="Z179" i="1"/>
  <c r="Z75" i="1"/>
  <c r="Z180" i="1"/>
  <c r="Z70" i="1"/>
  <c r="Z132" i="1"/>
  <c r="Z107" i="1"/>
  <c r="Z28" i="1"/>
  <c r="Z49" i="1"/>
  <c r="Z148" i="1"/>
  <c r="Z149" i="1"/>
  <c r="Z169" i="1"/>
  <c r="Z164" i="1"/>
  <c r="Z88" i="1"/>
  <c r="Z104" i="1"/>
  <c r="Z158" i="1"/>
  <c r="Z106" i="1"/>
  <c r="Z78" i="1"/>
  <c r="Z26" i="1"/>
  <c r="Z118" i="1"/>
  <c r="Z29" i="1"/>
  <c r="Z66" i="1"/>
  <c r="Z74" i="1"/>
  <c r="Z24" i="1"/>
  <c r="Z125" i="1"/>
  <c r="Z63" i="1"/>
  <c r="Z177" i="1"/>
  <c r="Z62" i="1"/>
  <c r="Z119" i="1"/>
  <c r="Z25" i="1"/>
  <c r="Z113" i="1"/>
  <c r="Z85" i="1"/>
  <c r="Z156" i="1"/>
  <c r="Z147" i="1"/>
  <c r="Z172" i="1"/>
  <c r="Z183" i="1"/>
  <c r="Z98" i="1"/>
  <c r="Z110" i="1"/>
  <c r="Z102" i="1"/>
  <c r="Z157" i="1"/>
  <c r="Z20" i="1"/>
  <c r="Z50" i="1"/>
  <c r="Z93" i="1"/>
  <c r="Z45" i="1"/>
  <c r="Z33" i="1"/>
  <c r="Z72" i="1"/>
  <c r="Z60" i="1"/>
  <c r="Z124" i="1"/>
  <c r="Z129" i="1"/>
  <c r="Z128" i="1"/>
  <c r="Z54" i="1"/>
  <c r="Z159" i="1"/>
  <c r="Z39" i="1"/>
  <c r="Z22" i="1"/>
  <c r="Z19" i="1"/>
  <c r="Z140" i="1"/>
  <c r="Z135" i="1"/>
  <c r="Z109" i="1"/>
  <c r="Z21" i="1"/>
  <c r="Z165" i="1"/>
  <c r="Z166" i="1"/>
  <c r="Z171" i="1"/>
  <c r="Z182" i="1"/>
  <c r="Z90" i="1"/>
  <c r="Z162" i="1"/>
  <c r="Z115" i="1"/>
  <c r="Z170" i="1"/>
  <c r="Z56" i="1"/>
  <c r="Z44" i="1"/>
  <c r="Z116" i="1"/>
  <c r="Z42" i="1"/>
  <c r="Z83" i="1"/>
  <c r="Z96" i="1"/>
  <c r="Z65" i="1"/>
  <c r="Z174" i="1"/>
  <c r="Z86" i="1"/>
  <c r="Z46" i="1"/>
  <c r="Z41" i="1"/>
  <c r="Z40" i="1"/>
  <c r="Z168" i="1"/>
  <c r="Z126" i="1"/>
  <c r="AV154" i="1"/>
  <c r="AV169" i="1"/>
  <c r="AV141" i="1"/>
  <c r="AV182" i="1"/>
  <c r="AV104" i="1"/>
  <c r="AV110" i="1"/>
  <c r="AV92" i="1"/>
  <c r="AV133" i="1"/>
  <c r="AV49" i="1"/>
  <c r="AV173" i="1"/>
  <c r="AV30" i="1"/>
  <c r="AV160" i="1"/>
  <c r="AV76" i="1"/>
  <c r="AV20" i="1"/>
  <c r="AV128" i="1"/>
  <c r="AV108" i="1"/>
  <c r="AV41" i="1"/>
  <c r="AV33" i="1"/>
  <c r="AV40" i="1"/>
  <c r="AV67" i="1"/>
  <c r="AV148" i="1"/>
  <c r="AV68" i="1"/>
  <c r="AV111" i="1"/>
  <c r="AV139" i="1"/>
  <c r="AV155" i="1"/>
  <c r="AV147" i="1"/>
  <c r="AV168" i="1"/>
  <c r="AV157" i="1"/>
  <c r="AV98" i="1"/>
  <c r="AV99" i="1"/>
  <c r="AV119" i="1"/>
  <c r="AV86" i="1"/>
  <c r="AV130" i="1"/>
  <c r="AV85" i="1"/>
  <c r="AV175" i="1"/>
  <c r="AV58" i="1"/>
  <c r="AV21" i="1"/>
  <c r="AV55" i="1"/>
  <c r="AV176" i="1"/>
  <c r="AV74" i="1"/>
  <c r="AV37" i="1"/>
  <c r="AV63" i="1"/>
  <c r="AV79" i="1"/>
  <c r="AV19" i="1"/>
  <c r="AJ19" i="1" s="1"/>
  <c r="AV158" i="1"/>
  <c r="AV42" i="1"/>
  <c r="AV121" i="1"/>
  <c r="AV140" i="1"/>
  <c r="AV163" i="1"/>
  <c r="AV150" i="1"/>
  <c r="AV143" i="1"/>
  <c r="AV89" i="1"/>
  <c r="AV162" i="1"/>
  <c r="AV127" i="1"/>
  <c r="AV132" i="1"/>
  <c r="AV32" i="1"/>
  <c r="AV123" i="1"/>
  <c r="AV84" i="1"/>
  <c r="AV47" i="1"/>
  <c r="AV56" i="1"/>
  <c r="AV38" i="1"/>
  <c r="AV39" i="1"/>
  <c r="AV59" i="1"/>
  <c r="AV185" i="1"/>
  <c r="AV80" i="1"/>
  <c r="AV120" i="1"/>
  <c r="AV61" i="1"/>
  <c r="AV69" i="1"/>
  <c r="AV77" i="1"/>
  <c r="AV164" i="1"/>
  <c r="AV114" i="1"/>
  <c r="AV180" i="1"/>
  <c r="AV171" i="1"/>
  <c r="AV146" i="1"/>
  <c r="AV166" i="1"/>
  <c r="AV134" i="1"/>
  <c r="AV138" i="1"/>
  <c r="AV97" i="1"/>
  <c r="AV105" i="1"/>
  <c r="AV159" i="1"/>
  <c r="AV45" i="1"/>
  <c r="AV66" i="1"/>
  <c r="AV29" i="1"/>
  <c r="AV34" i="1"/>
  <c r="AV113" i="1"/>
  <c r="AV70" i="1"/>
  <c r="AV117" i="1"/>
  <c r="AV78" i="1"/>
  <c r="AV109" i="1"/>
  <c r="AV27" i="1"/>
  <c r="AV46" i="1"/>
  <c r="AV65" i="1"/>
  <c r="AV178" i="1"/>
  <c r="AV170" i="1"/>
  <c r="AV131" i="1"/>
  <c r="AV152" i="1"/>
  <c r="AV145" i="1"/>
  <c r="AV153" i="1"/>
  <c r="AV87" i="1"/>
  <c r="AV106" i="1"/>
  <c r="AV100" i="1"/>
  <c r="AV115" i="1"/>
  <c r="AV52" i="1"/>
  <c r="AV43" i="1"/>
  <c r="AV81" i="1"/>
  <c r="AV94" i="1"/>
  <c r="AV31" i="1"/>
  <c r="AV179" i="1"/>
  <c r="AV82" i="1"/>
  <c r="AV96" i="1"/>
  <c r="AV53" i="1"/>
  <c r="AV181" i="1"/>
  <c r="AV72" i="1"/>
  <c r="AV50" i="1"/>
  <c r="AV26" i="1"/>
  <c r="AV184" i="1"/>
  <c r="AV28" i="1"/>
  <c r="AV54" i="1"/>
  <c r="AV183" i="1"/>
  <c r="AV144" i="1"/>
  <c r="AV151" i="1"/>
  <c r="AV167" i="1"/>
  <c r="AV101" i="1"/>
  <c r="AV90" i="1"/>
  <c r="AV136" i="1"/>
  <c r="AV102" i="1"/>
  <c r="AV71" i="1"/>
  <c r="AV177" i="1"/>
  <c r="AV73" i="1"/>
  <c r="AV118" i="1"/>
  <c r="AV60" i="1"/>
  <c r="AV125" i="1"/>
  <c r="AV83" i="1"/>
  <c r="AV126" i="1"/>
  <c r="AV51" i="1"/>
  <c r="AV129" i="1"/>
  <c r="AV75" i="1"/>
  <c r="AV24" i="1"/>
  <c r="AV142" i="1"/>
  <c r="AV137" i="1"/>
  <c r="AV174" i="1"/>
  <c r="AV25" i="1"/>
  <c r="AV165" i="1"/>
  <c r="AV156" i="1"/>
  <c r="AV172" i="1"/>
  <c r="AV149" i="1"/>
  <c r="AV91" i="1"/>
  <c r="AV112" i="1"/>
  <c r="AV88" i="1"/>
  <c r="AV135" i="1"/>
  <c r="AV36" i="1"/>
  <c r="AV107" i="1"/>
  <c r="AV62" i="1"/>
  <c r="AV93" i="1"/>
  <c r="AV23" i="1"/>
  <c r="AV124" i="1"/>
  <c r="AV48" i="1"/>
  <c r="AV161" i="1"/>
  <c r="AV57" i="1"/>
  <c r="AV122" i="1"/>
  <c r="AV64" i="1"/>
  <c r="AV44" i="1"/>
  <c r="AV35" i="1"/>
  <c r="AV22" i="1"/>
  <c r="AV103" i="1"/>
  <c r="AV116" i="1"/>
  <c r="AV95" i="1"/>
  <c r="AJ172" i="1" l="1"/>
  <c r="AX172" i="1"/>
  <c r="AC172" i="1"/>
  <c r="AJ45" i="1"/>
  <c r="AC45" i="1"/>
  <c r="AX45" i="1"/>
  <c r="AJ130" i="1"/>
  <c r="AX130" i="1"/>
  <c r="AC130" i="1"/>
  <c r="AX156" i="1"/>
  <c r="AZ156" i="1" s="1"/>
  <c r="AJ156" i="1"/>
  <c r="AC156" i="1"/>
  <c r="AJ152" i="1"/>
  <c r="AC152" i="1"/>
  <c r="AX152" i="1"/>
  <c r="AJ139" i="1"/>
  <c r="AC139" i="1"/>
  <c r="AX139" i="1"/>
  <c r="AJ62" i="1"/>
  <c r="AC62" i="1"/>
  <c r="AX62" i="1"/>
  <c r="AJ145" i="1"/>
  <c r="AC145" i="1"/>
  <c r="AX145" i="1"/>
  <c r="AJ163" i="1"/>
  <c r="AX163" i="1"/>
  <c r="AC163" i="1"/>
  <c r="AJ144" i="1"/>
  <c r="AC144" i="1"/>
  <c r="AX144" i="1"/>
  <c r="AJ180" i="1"/>
  <c r="AC180" i="1"/>
  <c r="AX180" i="1"/>
  <c r="AJ133" i="1"/>
  <c r="AC133" i="1"/>
  <c r="AX133" i="1"/>
  <c r="AJ57" i="1"/>
  <c r="AZ57" i="1"/>
  <c r="AC57" i="1"/>
  <c r="AX57" i="1"/>
  <c r="AJ36" i="1"/>
  <c r="AX36" i="1"/>
  <c r="AC36" i="1"/>
  <c r="AJ165" i="1"/>
  <c r="AX165" i="1"/>
  <c r="AZ165" i="1" s="1"/>
  <c r="AC165" i="1"/>
  <c r="AJ51" i="1"/>
  <c r="AZ51" i="1"/>
  <c r="AC51" i="1"/>
  <c r="AX51" i="1"/>
  <c r="AJ71" i="1"/>
  <c r="AZ71" i="1"/>
  <c r="AC71" i="1"/>
  <c r="AX71" i="1"/>
  <c r="AJ183" i="1"/>
  <c r="AZ183" i="1"/>
  <c r="AX183" i="1"/>
  <c r="AC183" i="1"/>
  <c r="AJ53" i="1"/>
  <c r="AX53" i="1"/>
  <c r="AC53" i="1"/>
  <c r="AJ52" i="1"/>
  <c r="AZ52" i="1"/>
  <c r="AX52" i="1"/>
  <c r="AC52" i="1"/>
  <c r="AJ131" i="1"/>
  <c r="AC131" i="1"/>
  <c r="AX131" i="1"/>
  <c r="AJ117" i="1"/>
  <c r="AC117" i="1"/>
  <c r="AX117" i="1"/>
  <c r="AJ105" i="1"/>
  <c r="AC105" i="1"/>
  <c r="AX105" i="1"/>
  <c r="AJ114" i="1"/>
  <c r="AC114" i="1"/>
  <c r="AX114" i="1"/>
  <c r="AJ59" i="1"/>
  <c r="AZ59" i="1"/>
  <c r="AX59" i="1"/>
  <c r="AC59" i="1"/>
  <c r="AJ132" i="1"/>
  <c r="AZ132" i="1"/>
  <c r="AX132" i="1"/>
  <c r="AC132" i="1"/>
  <c r="AJ121" i="1"/>
  <c r="AC121" i="1"/>
  <c r="AX121" i="1"/>
  <c r="AJ176" i="1"/>
  <c r="AX176" i="1"/>
  <c r="AC176" i="1"/>
  <c r="AJ119" i="1"/>
  <c r="AX119" i="1"/>
  <c r="AC119" i="1"/>
  <c r="AJ111" i="1"/>
  <c r="AC111" i="1"/>
  <c r="AX111" i="1"/>
  <c r="AZ111" i="1" s="1"/>
  <c r="AJ128" i="1"/>
  <c r="AX128" i="1"/>
  <c r="AC128" i="1"/>
  <c r="AJ92" i="1"/>
  <c r="AX92" i="1"/>
  <c r="AC92" i="1"/>
  <c r="AJ64" i="1"/>
  <c r="AC64" i="1"/>
  <c r="AX64" i="1"/>
  <c r="AJ81" i="1"/>
  <c r="AC81" i="1"/>
  <c r="AX81" i="1"/>
  <c r="AJ37" i="1"/>
  <c r="AC37" i="1"/>
  <c r="AX37" i="1"/>
  <c r="AJ177" i="1"/>
  <c r="AC177" i="1"/>
  <c r="AX177" i="1"/>
  <c r="AZ177" i="1" s="1"/>
  <c r="AJ185" i="1"/>
  <c r="AX185" i="1"/>
  <c r="AC185" i="1"/>
  <c r="AJ108" i="1"/>
  <c r="AC108" i="1"/>
  <c r="AX108" i="1"/>
  <c r="AJ116" i="1"/>
  <c r="AX116" i="1"/>
  <c r="AC116" i="1"/>
  <c r="AJ25" i="1"/>
  <c r="AZ25" i="1"/>
  <c r="AC25" i="1"/>
  <c r="AX25" i="1"/>
  <c r="AJ126" i="1"/>
  <c r="AZ126" i="1"/>
  <c r="AC126" i="1"/>
  <c r="AX126" i="1"/>
  <c r="AJ102" i="1"/>
  <c r="AX102" i="1"/>
  <c r="AC102" i="1"/>
  <c r="AJ54" i="1"/>
  <c r="AX54" i="1"/>
  <c r="AC54" i="1"/>
  <c r="AJ96" i="1"/>
  <c r="AC96" i="1"/>
  <c r="AX96" i="1"/>
  <c r="AJ115" i="1"/>
  <c r="AC115" i="1"/>
  <c r="AX115" i="1"/>
  <c r="AZ115" i="1" s="1"/>
  <c r="AJ170" i="1"/>
  <c r="AX170" i="1"/>
  <c r="AC170" i="1"/>
  <c r="AJ70" i="1"/>
  <c r="AC70" i="1"/>
  <c r="AX70" i="1"/>
  <c r="AJ97" i="1"/>
  <c r="AX97" i="1"/>
  <c r="AC97" i="1"/>
  <c r="AJ164" i="1"/>
  <c r="AX164" i="1"/>
  <c r="AC164" i="1"/>
  <c r="AJ39" i="1"/>
  <c r="AZ39" i="1"/>
  <c r="AC39" i="1"/>
  <c r="AX39" i="1"/>
  <c r="AJ127" i="1"/>
  <c r="AZ127" i="1"/>
  <c r="AX127" i="1"/>
  <c r="AC127" i="1"/>
  <c r="AJ42" i="1"/>
  <c r="AZ42" i="1"/>
  <c r="AX42" i="1"/>
  <c r="AC42" i="1"/>
  <c r="AJ55" i="1"/>
  <c r="AZ55" i="1"/>
  <c r="AC55" i="1"/>
  <c r="AX55" i="1"/>
  <c r="AJ99" i="1"/>
  <c r="AZ99" i="1"/>
  <c r="AC99" i="1"/>
  <c r="AX99" i="1"/>
  <c r="AJ68" i="1"/>
  <c r="AX68" i="1"/>
  <c r="AC68" i="1"/>
  <c r="AJ20" i="1"/>
  <c r="AZ20" i="1"/>
  <c r="AC20" i="1"/>
  <c r="AX20" i="1"/>
  <c r="AJ110" i="1"/>
  <c r="AX110" i="1"/>
  <c r="AC110" i="1"/>
  <c r="AJ72" i="1"/>
  <c r="AC72" i="1"/>
  <c r="AX72" i="1"/>
  <c r="AJ123" i="1"/>
  <c r="AC123" i="1"/>
  <c r="AX123" i="1"/>
  <c r="AJ154" i="1"/>
  <c r="AX154" i="1"/>
  <c r="AC154" i="1"/>
  <c r="AJ122" i="1"/>
  <c r="AC122" i="1"/>
  <c r="AX122" i="1"/>
  <c r="AJ43" i="1"/>
  <c r="AZ43" i="1"/>
  <c r="AX43" i="1"/>
  <c r="AC43" i="1"/>
  <c r="AJ140" i="1"/>
  <c r="AX140" i="1"/>
  <c r="AC140" i="1"/>
  <c r="AJ161" i="1"/>
  <c r="AC161" i="1"/>
  <c r="AX161" i="1"/>
  <c r="AJ103" i="1"/>
  <c r="AZ103" i="1"/>
  <c r="AX103" i="1"/>
  <c r="AC103" i="1"/>
  <c r="AJ48" i="1"/>
  <c r="AZ48" i="1"/>
  <c r="AC48" i="1"/>
  <c r="AX48" i="1"/>
  <c r="AJ88" i="1"/>
  <c r="AZ88" i="1"/>
  <c r="AX88" i="1"/>
  <c r="AC88" i="1"/>
  <c r="AJ174" i="1"/>
  <c r="AC174" i="1"/>
  <c r="AX174" i="1"/>
  <c r="AJ83" i="1"/>
  <c r="AC83" i="1"/>
  <c r="AX83" i="1"/>
  <c r="AJ136" i="1"/>
  <c r="AC136" i="1"/>
  <c r="AX136" i="1"/>
  <c r="AJ28" i="1"/>
  <c r="AX28" i="1"/>
  <c r="AC28" i="1"/>
  <c r="AJ82" i="1"/>
  <c r="AC82" i="1"/>
  <c r="AX82" i="1"/>
  <c r="AJ100" i="1"/>
  <c r="AC100" i="1"/>
  <c r="AX100" i="1"/>
  <c r="AJ178" i="1"/>
  <c r="AX178" i="1"/>
  <c r="AC178" i="1"/>
  <c r="AJ113" i="1"/>
  <c r="AC113" i="1"/>
  <c r="AX113" i="1"/>
  <c r="AJ138" i="1"/>
  <c r="AC138" i="1"/>
  <c r="AX138" i="1"/>
  <c r="AX77" i="1"/>
  <c r="AC77" i="1"/>
  <c r="AJ77" i="1"/>
  <c r="AJ38" i="1"/>
  <c r="AZ38" i="1"/>
  <c r="AX38" i="1"/>
  <c r="AC38" i="1"/>
  <c r="AZ162" i="1"/>
  <c r="AJ162" i="1"/>
  <c r="AX162" i="1"/>
  <c r="AC162" i="1"/>
  <c r="AJ158" i="1"/>
  <c r="AZ158" i="1"/>
  <c r="AC158" i="1"/>
  <c r="AX158" i="1"/>
  <c r="AJ21" i="1"/>
  <c r="AZ21" i="1"/>
  <c r="AC21" i="1"/>
  <c r="AX21" i="1"/>
  <c r="AJ98" i="1"/>
  <c r="AZ98" i="1"/>
  <c r="AC98" i="1"/>
  <c r="AX98" i="1"/>
  <c r="AJ148" i="1"/>
  <c r="AZ148" i="1"/>
  <c r="AX148" i="1"/>
  <c r="AC148" i="1"/>
  <c r="AJ76" i="1"/>
  <c r="AC76" i="1"/>
  <c r="AX76" i="1"/>
  <c r="AJ104" i="1"/>
  <c r="AZ104" i="1"/>
  <c r="AC104" i="1"/>
  <c r="AX104" i="1"/>
  <c r="AJ75" i="1"/>
  <c r="AX75" i="1"/>
  <c r="AC75" i="1"/>
  <c r="AJ109" i="1"/>
  <c r="AC109" i="1"/>
  <c r="AX109" i="1"/>
  <c r="AJ155" i="1"/>
  <c r="AX155" i="1"/>
  <c r="AC155" i="1"/>
  <c r="AJ107" i="1"/>
  <c r="AX107" i="1"/>
  <c r="AC107" i="1"/>
  <c r="AJ78" i="1"/>
  <c r="AZ78" i="1"/>
  <c r="AX78" i="1"/>
  <c r="AC78" i="1"/>
  <c r="AJ86" i="1"/>
  <c r="AX86" i="1"/>
  <c r="AC86" i="1"/>
  <c r="AJ95" i="1"/>
  <c r="AZ95" i="1"/>
  <c r="AC95" i="1"/>
  <c r="AX95" i="1"/>
  <c r="AC22" i="1"/>
  <c r="AX22" i="1"/>
  <c r="AZ22" i="1" s="1"/>
  <c r="AS22" i="1" s="1"/>
  <c r="AJ22" i="1"/>
  <c r="AJ112" i="1"/>
  <c r="AX112" i="1"/>
  <c r="AC112" i="1"/>
  <c r="AJ137" i="1"/>
  <c r="AX137" i="1"/>
  <c r="AC137" i="1"/>
  <c r="AJ125" i="1"/>
  <c r="AC125" i="1"/>
  <c r="AX125" i="1"/>
  <c r="AJ90" i="1"/>
  <c r="AZ90" i="1"/>
  <c r="AX90" i="1"/>
  <c r="AC90" i="1"/>
  <c r="AJ184" i="1"/>
  <c r="AX184" i="1"/>
  <c r="AC184" i="1"/>
  <c r="AJ179" i="1"/>
  <c r="AX179" i="1"/>
  <c r="AC179" i="1"/>
  <c r="AJ106" i="1"/>
  <c r="AZ106" i="1"/>
  <c r="AC106" i="1"/>
  <c r="AX106" i="1"/>
  <c r="AJ65" i="1"/>
  <c r="AZ65" i="1"/>
  <c r="AX65" i="1"/>
  <c r="AC65" i="1"/>
  <c r="AJ34" i="1"/>
  <c r="AZ34" i="1"/>
  <c r="AX34" i="1"/>
  <c r="AC34" i="1"/>
  <c r="AJ134" i="1"/>
  <c r="AZ134" i="1"/>
  <c r="AX134" i="1"/>
  <c r="AC134" i="1"/>
  <c r="AC69" i="1"/>
  <c r="AX69" i="1"/>
  <c r="AJ69" i="1"/>
  <c r="AJ56" i="1"/>
  <c r="AC56" i="1"/>
  <c r="AX56" i="1"/>
  <c r="AJ89" i="1"/>
  <c r="AX89" i="1"/>
  <c r="AC89" i="1"/>
  <c r="AX19" i="1"/>
  <c r="AU19" i="1" s="1"/>
  <c r="AC19" i="1"/>
  <c r="AJ58" i="1"/>
  <c r="AX58" i="1"/>
  <c r="AC58" i="1"/>
  <c r="AJ157" i="1"/>
  <c r="AX157" i="1"/>
  <c r="AC157" i="1"/>
  <c r="AJ67" i="1"/>
  <c r="AX67" i="1"/>
  <c r="AC67" i="1"/>
  <c r="AJ160" i="1"/>
  <c r="AX160" i="1"/>
  <c r="AC160" i="1"/>
  <c r="AJ182" i="1"/>
  <c r="AC182" i="1"/>
  <c r="AX182" i="1"/>
  <c r="AJ73" i="1"/>
  <c r="AZ73" i="1"/>
  <c r="AX73" i="1"/>
  <c r="AC73" i="1"/>
  <c r="AJ171" i="1"/>
  <c r="AC171" i="1"/>
  <c r="AX171" i="1"/>
  <c r="AJ41" i="1"/>
  <c r="AX41" i="1"/>
  <c r="AC41" i="1"/>
  <c r="AJ129" i="1"/>
  <c r="AC129" i="1"/>
  <c r="AX129" i="1"/>
  <c r="AZ129" i="1" s="1"/>
  <c r="AJ159" i="1"/>
  <c r="AX159" i="1"/>
  <c r="AC159" i="1"/>
  <c r="AJ74" i="1"/>
  <c r="AX74" i="1"/>
  <c r="AC74" i="1"/>
  <c r="AJ135" i="1"/>
  <c r="AZ135" i="1"/>
  <c r="AX135" i="1"/>
  <c r="AC135" i="1"/>
  <c r="AJ23" i="1"/>
  <c r="AC23" i="1"/>
  <c r="AX23" i="1"/>
  <c r="AJ91" i="1"/>
  <c r="AZ91" i="1"/>
  <c r="AX91" i="1"/>
  <c r="AC91" i="1"/>
  <c r="AJ142" i="1"/>
  <c r="AC142" i="1"/>
  <c r="AX142" i="1"/>
  <c r="AJ60" i="1"/>
  <c r="AX60" i="1"/>
  <c r="AC60" i="1"/>
  <c r="AJ101" i="1"/>
  <c r="AZ101" i="1"/>
  <c r="AC101" i="1"/>
  <c r="AX101" i="1"/>
  <c r="AJ26" i="1"/>
  <c r="AZ26" i="1"/>
  <c r="AC26" i="1"/>
  <c r="AX26" i="1"/>
  <c r="AX31" i="1"/>
  <c r="AZ31" i="1" s="1"/>
  <c r="AJ31" i="1"/>
  <c r="AC31" i="1"/>
  <c r="AJ87" i="1"/>
  <c r="AZ87" i="1"/>
  <c r="AX87" i="1"/>
  <c r="AC87" i="1"/>
  <c r="AJ46" i="1"/>
  <c r="AZ46" i="1"/>
  <c r="AC46" i="1"/>
  <c r="AX46" i="1"/>
  <c r="AJ29" i="1"/>
  <c r="AC29" i="1"/>
  <c r="AX29" i="1"/>
  <c r="AJ166" i="1"/>
  <c r="AZ166" i="1"/>
  <c r="AC166" i="1"/>
  <c r="AX166" i="1"/>
  <c r="AJ61" i="1"/>
  <c r="AX61" i="1"/>
  <c r="AC61" i="1"/>
  <c r="AJ47" i="1"/>
  <c r="AZ47" i="1"/>
  <c r="AC47" i="1"/>
  <c r="AX47" i="1"/>
  <c r="AJ143" i="1"/>
  <c r="AC143" i="1"/>
  <c r="AX143" i="1"/>
  <c r="AJ79" i="1"/>
  <c r="AC79" i="1"/>
  <c r="AX79" i="1"/>
  <c r="AJ175" i="1"/>
  <c r="AX175" i="1"/>
  <c r="AC175" i="1"/>
  <c r="AJ168" i="1"/>
  <c r="AZ168" i="1"/>
  <c r="AC168" i="1"/>
  <c r="AX168" i="1"/>
  <c r="AJ40" i="1"/>
  <c r="AZ40" i="1"/>
  <c r="AX40" i="1"/>
  <c r="AC40" i="1"/>
  <c r="AJ30" i="1"/>
  <c r="AZ30" i="1"/>
  <c r="AC30" i="1"/>
  <c r="AX30" i="1"/>
  <c r="AJ141" i="1"/>
  <c r="AZ141" i="1"/>
  <c r="AX141" i="1"/>
  <c r="AC141" i="1"/>
  <c r="AJ151" i="1"/>
  <c r="AC151" i="1"/>
  <c r="AX151" i="1"/>
  <c r="AJ80" i="1"/>
  <c r="AZ80" i="1"/>
  <c r="AC80" i="1"/>
  <c r="AX80" i="1"/>
  <c r="AJ49" i="1"/>
  <c r="AC49" i="1"/>
  <c r="AX49" i="1"/>
  <c r="AZ49" i="1" s="1"/>
  <c r="AJ181" i="1"/>
  <c r="AC181" i="1"/>
  <c r="AX181" i="1"/>
  <c r="AJ32" i="1"/>
  <c r="AX32" i="1"/>
  <c r="AC32" i="1"/>
  <c r="AZ74" i="1"/>
  <c r="BA74" i="1" s="1"/>
  <c r="AJ124" i="1"/>
  <c r="AX124" i="1"/>
  <c r="AC124" i="1"/>
  <c r="AJ35" i="1"/>
  <c r="AX35" i="1"/>
  <c r="AC35" i="1"/>
  <c r="AJ44" i="1"/>
  <c r="AZ44" i="1"/>
  <c r="AX44" i="1"/>
  <c r="AC44" i="1"/>
  <c r="AJ93" i="1"/>
  <c r="AX93" i="1"/>
  <c r="AC93" i="1"/>
  <c r="AJ149" i="1"/>
  <c r="AZ149" i="1"/>
  <c r="AC149" i="1"/>
  <c r="AX149" i="1"/>
  <c r="AJ24" i="1"/>
  <c r="AC24" i="1"/>
  <c r="AX24" i="1"/>
  <c r="AJ118" i="1"/>
  <c r="AC118" i="1"/>
  <c r="AX118" i="1"/>
  <c r="AZ118" i="1" s="1"/>
  <c r="AJ167" i="1"/>
  <c r="AZ167" i="1"/>
  <c r="AC167" i="1"/>
  <c r="AX167" i="1"/>
  <c r="AJ50" i="1"/>
  <c r="AC50" i="1"/>
  <c r="AX50" i="1"/>
  <c r="AZ50" i="1" s="1"/>
  <c r="AJ94" i="1"/>
  <c r="AZ94" i="1"/>
  <c r="AC94" i="1"/>
  <c r="AX94" i="1"/>
  <c r="AJ153" i="1"/>
  <c r="AX153" i="1"/>
  <c r="AZ153" i="1" s="1"/>
  <c r="AC153" i="1"/>
  <c r="AJ27" i="1"/>
  <c r="AX27" i="1"/>
  <c r="AC27" i="1"/>
  <c r="AJ66" i="1"/>
  <c r="AZ66" i="1"/>
  <c r="AX66" i="1"/>
  <c r="AC66" i="1"/>
  <c r="AJ146" i="1"/>
  <c r="AC146" i="1"/>
  <c r="AX146" i="1"/>
  <c r="AJ120" i="1"/>
  <c r="AZ120" i="1"/>
  <c r="AX120" i="1"/>
  <c r="AC120" i="1"/>
  <c r="AJ84" i="1"/>
  <c r="AC84" i="1"/>
  <c r="AX84" i="1"/>
  <c r="AJ150" i="1"/>
  <c r="AZ150" i="1"/>
  <c r="AC150" i="1"/>
  <c r="AX150" i="1"/>
  <c r="AJ63" i="1"/>
  <c r="AC63" i="1"/>
  <c r="AX63" i="1"/>
  <c r="AJ85" i="1"/>
  <c r="AC85" i="1"/>
  <c r="AX85" i="1"/>
  <c r="AJ147" i="1"/>
  <c r="AZ147" i="1"/>
  <c r="AC147" i="1"/>
  <c r="AX147" i="1"/>
  <c r="AJ33" i="1"/>
  <c r="AZ33" i="1"/>
  <c r="AC33" i="1"/>
  <c r="AX33" i="1"/>
  <c r="AJ173" i="1"/>
  <c r="AX173" i="1"/>
  <c r="AC173" i="1"/>
  <c r="AJ169" i="1"/>
  <c r="AX169" i="1"/>
  <c r="AC169" i="1"/>
  <c r="AZ19" i="1" l="1"/>
  <c r="BF19" i="1" s="1"/>
  <c r="BB19" i="1"/>
  <c r="AT19" i="1"/>
  <c r="AN19" i="1"/>
  <c r="BF118" i="1"/>
  <c r="W118" i="1" s="1"/>
  <c r="AS118" i="1"/>
  <c r="BA118" i="1"/>
  <c r="AS31" i="1"/>
  <c r="BF31" i="1"/>
  <c r="W31" i="1" s="1"/>
  <c r="BA31" i="1"/>
  <c r="AS165" i="1"/>
  <c r="BA165" i="1"/>
  <c r="BF165" i="1"/>
  <c r="AS115" i="1"/>
  <c r="BF115" i="1"/>
  <c r="BA115" i="1"/>
  <c r="AS129" i="1"/>
  <c r="BF129" i="1"/>
  <c r="W129" i="1" s="1"/>
  <c r="BA129" i="1"/>
  <c r="AS153" i="1"/>
  <c r="BA153" i="1"/>
  <c r="BF153" i="1"/>
  <c r="W153" i="1" s="1"/>
  <c r="BF177" i="1"/>
  <c r="W177" i="1" s="1"/>
  <c r="BA177" i="1"/>
  <c r="AS177" i="1"/>
  <c r="AS156" i="1"/>
  <c r="BA156" i="1"/>
  <c r="BF156" i="1"/>
  <c r="W156" i="1" s="1"/>
  <c r="BF49" i="1"/>
  <c r="W49" i="1" s="1"/>
  <c r="BA49" i="1"/>
  <c r="AS49" i="1"/>
  <c r="BF50" i="1"/>
  <c r="W50" i="1" s="1"/>
  <c r="AS50" i="1"/>
  <c r="BA50" i="1"/>
  <c r="BF111" i="1"/>
  <c r="BA111" i="1"/>
  <c r="AS111" i="1"/>
  <c r="BF147" i="1"/>
  <c r="AS147" i="1"/>
  <c r="BA147" i="1"/>
  <c r="AS149" i="1"/>
  <c r="BA149" i="1"/>
  <c r="BF149" i="1"/>
  <c r="W149" i="1" s="1"/>
  <c r="AT61" i="1"/>
  <c r="BB61" i="1"/>
  <c r="AN61" i="1"/>
  <c r="AU61" i="1"/>
  <c r="AU157" i="1"/>
  <c r="BB157" i="1"/>
  <c r="AT157" i="1"/>
  <c r="AN157" i="1"/>
  <c r="AN75" i="1"/>
  <c r="BB75" i="1"/>
  <c r="AU75" i="1"/>
  <c r="AT75" i="1"/>
  <c r="BF103" i="1"/>
  <c r="W103" i="1" s="1"/>
  <c r="AS103" i="1"/>
  <c r="BA103" i="1"/>
  <c r="AS42" i="1"/>
  <c r="BA42" i="1"/>
  <c r="BF42" i="1"/>
  <c r="BB54" i="1"/>
  <c r="AU54" i="1"/>
  <c r="AN54" i="1"/>
  <c r="AT54" i="1"/>
  <c r="AT176" i="1"/>
  <c r="BC176" i="1" s="1"/>
  <c r="BD176" i="1" s="1"/>
  <c r="BB176" i="1"/>
  <c r="AN176" i="1"/>
  <c r="AU176" i="1"/>
  <c r="BF132" i="1"/>
  <c r="W132" i="1" s="1"/>
  <c r="AS132" i="1"/>
  <c r="BA132" i="1"/>
  <c r="AZ131" i="1"/>
  <c r="AT131" i="1"/>
  <c r="BC131" i="1" s="1"/>
  <c r="BD131" i="1" s="1"/>
  <c r="AU131" i="1"/>
  <c r="AN131" i="1"/>
  <c r="BB131" i="1"/>
  <c r="AT53" i="1"/>
  <c r="AU53" i="1"/>
  <c r="BB53" i="1"/>
  <c r="AN53" i="1"/>
  <c r="BF131" i="1"/>
  <c r="W131" i="1" s="1"/>
  <c r="BF57" i="1"/>
  <c r="W57" i="1" s="1"/>
  <c r="BA57" i="1"/>
  <c r="AS57" i="1"/>
  <c r="AT45" i="1"/>
  <c r="AU45" i="1"/>
  <c r="BB45" i="1"/>
  <c r="AN45" i="1"/>
  <c r="BF22" i="1"/>
  <c r="W22" i="1" s="1"/>
  <c r="AN150" i="1"/>
  <c r="BB150" i="1"/>
  <c r="AU150" i="1"/>
  <c r="AT150" i="1"/>
  <c r="BB120" i="1"/>
  <c r="AU120" i="1"/>
  <c r="AN120" i="1"/>
  <c r="AT120" i="1"/>
  <c r="BC120" i="1" s="1"/>
  <c r="BD120" i="1" s="1"/>
  <c r="AU66" i="1"/>
  <c r="BB66" i="1"/>
  <c r="AN66" i="1"/>
  <c r="AT66" i="1"/>
  <c r="AZ61" i="1"/>
  <c r="AN142" i="1"/>
  <c r="AT142" i="1"/>
  <c r="AU142" i="1"/>
  <c r="BB142" i="1"/>
  <c r="AZ23" i="1"/>
  <c r="BB23" i="1"/>
  <c r="AN23" i="1"/>
  <c r="AU23" i="1"/>
  <c r="AT23" i="1"/>
  <c r="AZ157" i="1"/>
  <c r="BB89" i="1"/>
  <c r="AT89" i="1"/>
  <c r="AU89" i="1"/>
  <c r="AN89" i="1"/>
  <c r="AN137" i="1"/>
  <c r="AT137" i="1"/>
  <c r="BB137" i="1"/>
  <c r="AU137" i="1"/>
  <c r="AU155" i="1"/>
  <c r="AN155" i="1"/>
  <c r="AT155" i="1"/>
  <c r="BB155" i="1"/>
  <c r="AZ75" i="1"/>
  <c r="AN113" i="1"/>
  <c r="BB113" i="1"/>
  <c r="AU113" i="1"/>
  <c r="AT113" i="1"/>
  <c r="BC113" i="1" s="1"/>
  <c r="BD113" i="1" s="1"/>
  <c r="AU100" i="1"/>
  <c r="AN100" i="1"/>
  <c r="BB100" i="1"/>
  <c r="AT100" i="1"/>
  <c r="AN154" i="1"/>
  <c r="AT154" i="1"/>
  <c r="BC154" i="1" s="1"/>
  <c r="BD154" i="1" s="1"/>
  <c r="AU154" i="1"/>
  <c r="BB154" i="1"/>
  <c r="BA20" i="1"/>
  <c r="BF20" i="1"/>
  <c r="W20" i="1" s="1"/>
  <c r="AS20" i="1"/>
  <c r="AZ70" i="1"/>
  <c r="AU70" i="1"/>
  <c r="AT70" i="1"/>
  <c r="BC70" i="1" s="1"/>
  <c r="BB70" i="1"/>
  <c r="AN70" i="1"/>
  <c r="AZ54" i="1"/>
  <c r="AS126" i="1"/>
  <c r="BF126" i="1"/>
  <c r="W126" i="1" s="1"/>
  <c r="BA126" i="1"/>
  <c r="AT92" i="1"/>
  <c r="AN92" i="1"/>
  <c r="BB92" i="1"/>
  <c r="AU92" i="1"/>
  <c r="AZ176" i="1"/>
  <c r="BE132" i="1"/>
  <c r="AT105" i="1"/>
  <c r="BC105" i="1" s="1"/>
  <c r="BD105" i="1" s="1"/>
  <c r="AU105" i="1"/>
  <c r="BB105" i="1"/>
  <c r="AN105" i="1"/>
  <c r="AZ53" i="1"/>
  <c r="BA71" i="1"/>
  <c r="AS71" i="1"/>
  <c r="BF71" i="1"/>
  <c r="W71" i="1" s="1"/>
  <c r="AT144" i="1"/>
  <c r="AU144" i="1"/>
  <c r="BB144" i="1"/>
  <c r="AN144" i="1"/>
  <c r="AN145" i="1"/>
  <c r="BB145" i="1"/>
  <c r="AU145" i="1"/>
  <c r="AT145" i="1"/>
  <c r="AU139" i="1"/>
  <c r="AN139" i="1"/>
  <c r="BB139" i="1"/>
  <c r="AT139" i="1"/>
  <c r="BC139" i="1" s="1"/>
  <c r="BD139" i="1" s="1"/>
  <c r="BF87" i="1"/>
  <c r="AS87" i="1"/>
  <c r="BA87" i="1"/>
  <c r="AT69" i="1"/>
  <c r="AN69" i="1"/>
  <c r="AU69" i="1"/>
  <c r="AZ69" i="1"/>
  <c r="AS69" i="1" s="1"/>
  <c r="BB69" i="1"/>
  <c r="BF98" i="1"/>
  <c r="AS98" i="1"/>
  <c r="BA98" i="1"/>
  <c r="AS39" i="1"/>
  <c r="BA39" i="1"/>
  <c r="BF39" i="1"/>
  <c r="W39" i="1" s="1"/>
  <c r="AU81" i="1"/>
  <c r="AT81" i="1"/>
  <c r="AN81" i="1"/>
  <c r="BB81" i="1"/>
  <c r="BF74" i="1"/>
  <c r="W74" i="1" s="1"/>
  <c r="BB33" i="1"/>
  <c r="AN33" i="1"/>
  <c r="AT33" i="1"/>
  <c r="BC33" i="1" s="1"/>
  <c r="BD33" i="1" s="1"/>
  <c r="AU33" i="1"/>
  <c r="AZ85" i="1"/>
  <c r="AU85" i="1"/>
  <c r="AN85" i="1"/>
  <c r="BB85" i="1"/>
  <c r="AT85" i="1"/>
  <c r="BF120" i="1"/>
  <c r="BA120" i="1"/>
  <c r="AS120" i="1"/>
  <c r="AS66" i="1"/>
  <c r="BA66" i="1"/>
  <c r="BF66" i="1"/>
  <c r="W66" i="1" s="1"/>
  <c r="AN35" i="1"/>
  <c r="BB35" i="1"/>
  <c r="AU35" i="1"/>
  <c r="AT35" i="1"/>
  <c r="BC35" i="1" s="1"/>
  <c r="BD35" i="1" s="1"/>
  <c r="AZ32" i="1"/>
  <c r="AU32" i="1"/>
  <c r="BB32" i="1"/>
  <c r="AT32" i="1"/>
  <c r="BC32" i="1" s="1"/>
  <c r="BD32" i="1" s="1"/>
  <c r="AN32" i="1"/>
  <c r="AT46" i="1"/>
  <c r="BC46" i="1" s="1"/>
  <c r="BD46" i="1" s="1"/>
  <c r="AN46" i="1"/>
  <c r="AU46" i="1"/>
  <c r="BB46" i="1"/>
  <c r="BB101" i="1"/>
  <c r="AT101" i="1"/>
  <c r="BC101" i="1" s="1"/>
  <c r="BD101" i="1" s="1"/>
  <c r="AU101" i="1"/>
  <c r="AN101" i="1"/>
  <c r="BE101" i="1" s="1"/>
  <c r="AT74" i="1"/>
  <c r="BC74" i="1" s="1"/>
  <c r="BD74" i="1" s="1"/>
  <c r="AN74" i="1"/>
  <c r="BB74" i="1"/>
  <c r="AU74" i="1"/>
  <c r="AU73" i="1"/>
  <c r="AN73" i="1"/>
  <c r="AT73" i="1"/>
  <c r="BC73" i="1" s="1"/>
  <c r="BD73" i="1" s="1"/>
  <c r="BB73" i="1"/>
  <c r="AZ160" i="1"/>
  <c r="AN160" i="1"/>
  <c r="AU160" i="1"/>
  <c r="AT160" i="1"/>
  <c r="BC160" i="1" s="1"/>
  <c r="BD160" i="1" s="1"/>
  <c r="BB160" i="1"/>
  <c r="AZ89" i="1"/>
  <c r="AU90" i="1"/>
  <c r="AT90" i="1"/>
  <c r="AN90" i="1"/>
  <c r="BB90" i="1"/>
  <c r="AZ137" i="1"/>
  <c r="BB95" i="1"/>
  <c r="AN95" i="1"/>
  <c r="AT95" i="1"/>
  <c r="BC95" i="1" s="1"/>
  <c r="BD95" i="1" s="1"/>
  <c r="AU95" i="1"/>
  <c r="AN78" i="1"/>
  <c r="BB78" i="1"/>
  <c r="AT78" i="1"/>
  <c r="AU78" i="1"/>
  <c r="AZ155" i="1"/>
  <c r="AT21" i="1"/>
  <c r="BC21" i="1" s="1"/>
  <c r="BD21" i="1" s="1"/>
  <c r="BB21" i="1"/>
  <c r="AN21" i="1"/>
  <c r="AU21" i="1"/>
  <c r="AZ28" i="1"/>
  <c r="AT28" i="1"/>
  <c r="BC28" i="1" s="1"/>
  <c r="BD28" i="1" s="1"/>
  <c r="BB28" i="1"/>
  <c r="AU28" i="1"/>
  <c r="AN28" i="1"/>
  <c r="AU48" i="1"/>
  <c r="AT48" i="1"/>
  <c r="AN48" i="1"/>
  <c r="BB48" i="1"/>
  <c r="AZ161" i="1"/>
  <c r="AN161" i="1"/>
  <c r="BB161" i="1"/>
  <c r="AU161" i="1"/>
  <c r="AT161" i="1"/>
  <c r="AN43" i="1"/>
  <c r="BB43" i="1"/>
  <c r="AT43" i="1"/>
  <c r="BC43" i="1" s="1"/>
  <c r="BD43" i="1" s="1"/>
  <c r="AU43" i="1"/>
  <c r="AZ154" i="1"/>
  <c r="AU55" i="1"/>
  <c r="AT55" i="1"/>
  <c r="BB55" i="1"/>
  <c r="AN55" i="1"/>
  <c r="AZ108" i="1"/>
  <c r="BB108" i="1"/>
  <c r="AU108" i="1"/>
  <c r="AN108" i="1"/>
  <c r="AT108" i="1"/>
  <c r="BC108" i="1" s="1"/>
  <c r="BD108" i="1" s="1"/>
  <c r="AZ81" i="1"/>
  <c r="AZ92" i="1"/>
  <c r="BB133" i="1"/>
  <c r="AT133" i="1"/>
  <c r="BC133" i="1" s="1"/>
  <c r="BD133" i="1" s="1"/>
  <c r="AN133" i="1"/>
  <c r="AU133" i="1"/>
  <c r="AZ45" i="1"/>
  <c r="AZ143" i="1"/>
  <c r="AN143" i="1"/>
  <c r="AT143" i="1"/>
  <c r="BB143" i="1"/>
  <c r="AU143" i="1"/>
  <c r="AS106" i="1"/>
  <c r="BA106" i="1"/>
  <c r="BF106" i="1"/>
  <c r="W106" i="1" s="1"/>
  <c r="AZ83" i="1"/>
  <c r="BB83" i="1"/>
  <c r="AT83" i="1"/>
  <c r="BC83" i="1" s="1"/>
  <c r="BD83" i="1" s="1"/>
  <c r="AU83" i="1"/>
  <c r="AN83" i="1"/>
  <c r="AU115" i="1"/>
  <c r="AN115" i="1"/>
  <c r="BB115" i="1"/>
  <c r="AT115" i="1"/>
  <c r="AZ116" i="1"/>
  <c r="AT116" i="1"/>
  <c r="BB116" i="1"/>
  <c r="AU116" i="1"/>
  <c r="AN116" i="1"/>
  <c r="BB165" i="1"/>
  <c r="AT165" i="1"/>
  <c r="AU165" i="1"/>
  <c r="AN165" i="1"/>
  <c r="AS150" i="1"/>
  <c r="BF150" i="1"/>
  <c r="W150" i="1" s="1"/>
  <c r="BA150" i="1"/>
  <c r="BE120" i="1"/>
  <c r="AN94" i="1"/>
  <c r="BB94" i="1"/>
  <c r="AT94" i="1"/>
  <c r="BC94" i="1" s="1"/>
  <c r="BD94" i="1" s="1"/>
  <c r="AU94" i="1"/>
  <c r="AU167" i="1"/>
  <c r="AT167" i="1"/>
  <c r="BC167" i="1" s="1"/>
  <c r="BD167" i="1" s="1"/>
  <c r="AN167" i="1"/>
  <c r="BB167" i="1"/>
  <c r="AZ24" i="1"/>
  <c r="BB24" i="1"/>
  <c r="AT24" i="1"/>
  <c r="BC24" i="1" s="1"/>
  <c r="BD24" i="1" s="1"/>
  <c r="AU24" i="1"/>
  <c r="AN24" i="1"/>
  <c r="AZ93" i="1"/>
  <c r="AN93" i="1"/>
  <c r="AU93" i="1"/>
  <c r="BB93" i="1"/>
  <c r="AT93" i="1"/>
  <c r="BC93" i="1" s="1"/>
  <c r="BD93" i="1" s="1"/>
  <c r="AZ35" i="1"/>
  <c r="AN80" i="1"/>
  <c r="BB80" i="1"/>
  <c r="AU80" i="1"/>
  <c r="AT80" i="1"/>
  <c r="AN141" i="1"/>
  <c r="AU141" i="1"/>
  <c r="BB141" i="1"/>
  <c r="AT141" i="1"/>
  <c r="AN40" i="1"/>
  <c r="AU40" i="1"/>
  <c r="AT40" i="1"/>
  <c r="BB40" i="1"/>
  <c r="AZ175" i="1"/>
  <c r="BB175" i="1"/>
  <c r="AT175" i="1"/>
  <c r="BC175" i="1" s="1"/>
  <c r="BD175" i="1" s="1"/>
  <c r="AN175" i="1"/>
  <c r="AU175" i="1"/>
  <c r="AN47" i="1"/>
  <c r="BB47" i="1"/>
  <c r="AU47" i="1"/>
  <c r="AT47" i="1"/>
  <c r="AN166" i="1"/>
  <c r="BB166" i="1"/>
  <c r="AU166" i="1"/>
  <c r="AT166" i="1"/>
  <c r="AZ142" i="1"/>
  <c r="AS73" i="1"/>
  <c r="BA73" i="1"/>
  <c r="BF73" i="1"/>
  <c r="W73" i="1" s="1"/>
  <c r="AU134" i="1"/>
  <c r="BB134" i="1"/>
  <c r="AT134" i="1"/>
  <c r="BC134" i="1" s="1"/>
  <c r="BD134" i="1" s="1"/>
  <c r="AN134" i="1"/>
  <c r="AN65" i="1"/>
  <c r="BB65" i="1"/>
  <c r="AT65" i="1"/>
  <c r="BC65" i="1" s="1"/>
  <c r="BD65" i="1" s="1"/>
  <c r="AU65" i="1"/>
  <c r="AZ179" i="1"/>
  <c r="AU179" i="1"/>
  <c r="AT179" i="1"/>
  <c r="BB179" i="1"/>
  <c r="AN179" i="1"/>
  <c r="AS90" i="1"/>
  <c r="BA90" i="1"/>
  <c r="BF90" i="1"/>
  <c r="W90" i="1" s="1"/>
  <c r="BF78" i="1"/>
  <c r="W78" i="1" s="1"/>
  <c r="BA78" i="1"/>
  <c r="AS78" i="1"/>
  <c r="AN104" i="1"/>
  <c r="AT104" i="1"/>
  <c r="BC104" i="1" s="1"/>
  <c r="BD104" i="1" s="1"/>
  <c r="BB104" i="1"/>
  <c r="AU104" i="1"/>
  <c r="BB148" i="1"/>
  <c r="AT148" i="1"/>
  <c r="BC148" i="1" s="1"/>
  <c r="BD148" i="1" s="1"/>
  <c r="AN148" i="1"/>
  <c r="AU148" i="1"/>
  <c r="BB162" i="1"/>
  <c r="AT162" i="1"/>
  <c r="BC162" i="1" s="1"/>
  <c r="BD162" i="1" s="1"/>
  <c r="AN162" i="1"/>
  <c r="AU162" i="1"/>
  <c r="AZ113" i="1"/>
  <c r="AZ100" i="1"/>
  <c r="AZ174" i="1"/>
  <c r="AN174" i="1"/>
  <c r="AU174" i="1"/>
  <c r="BB174" i="1"/>
  <c r="AT174" i="1"/>
  <c r="BA43" i="1"/>
  <c r="BF43" i="1"/>
  <c r="W43" i="1" s="1"/>
  <c r="AS43" i="1"/>
  <c r="AT127" i="1"/>
  <c r="AU127" i="1"/>
  <c r="BB127" i="1"/>
  <c r="AN127" i="1"/>
  <c r="AZ164" i="1"/>
  <c r="BB164" i="1"/>
  <c r="AT164" i="1"/>
  <c r="AN164" i="1"/>
  <c r="AU164" i="1"/>
  <c r="AN25" i="1"/>
  <c r="AU25" i="1"/>
  <c r="AT25" i="1"/>
  <c r="BB25" i="1"/>
  <c r="AZ121" i="1"/>
  <c r="AN121" i="1"/>
  <c r="BB121" i="1"/>
  <c r="AU121" i="1"/>
  <c r="AT121" i="1"/>
  <c r="BC121" i="1" s="1"/>
  <c r="BD121" i="1" s="1"/>
  <c r="AN59" i="1"/>
  <c r="AU59" i="1"/>
  <c r="BB59" i="1"/>
  <c r="AT59" i="1"/>
  <c r="BC59" i="1" s="1"/>
  <c r="BD59" i="1" s="1"/>
  <c r="AZ105" i="1"/>
  <c r="AT51" i="1"/>
  <c r="AU51" i="1"/>
  <c r="AN51" i="1"/>
  <c r="BB51" i="1"/>
  <c r="AZ144" i="1"/>
  <c r="AZ145" i="1"/>
  <c r="AZ139" i="1"/>
  <c r="BF26" i="1"/>
  <c r="W26" i="1" s="1"/>
  <c r="BA26" i="1"/>
  <c r="AS26" i="1"/>
  <c r="AS88" i="1"/>
  <c r="BA88" i="1"/>
  <c r="BF88" i="1"/>
  <c r="W88" i="1" s="1"/>
  <c r="BF99" i="1"/>
  <c r="W99" i="1" s="1"/>
  <c r="AS99" i="1"/>
  <c r="BA99" i="1"/>
  <c r="AU177" i="1"/>
  <c r="AT177" i="1"/>
  <c r="AN177" i="1"/>
  <c r="BB177" i="1"/>
  <c r="AS74" i="1"/>
  <c r="BA33" i="1"/>
  <c r="AS33" i="1"/>
  <c r="BF33" i="1"/>
  <c r="W33" i="1" s="1"/>
  <c r="BB146" i="1"/>
  <c r="AT146" i="1"/>
  <c r="AN146" i="1"/>
  <c r="AU146" i="1"/>
  <c r="AZ181" i="1"/>
  <c r="AU181" i="1"/>
  <c r="AN181" i="1"/>
  <c r="AT181" i="1"/>
  <c r="BB181" i="1"/>
  <c r="AS141" i="1"/>
  <c r="BF141" i="1"/>
  <c r="W141" i="1" s="1"/>
  <c r="BA141" i="1"/>
  <c r="BA40" i="1"/>
  <c r="AS40" i="1"/>
  <c r="BF40" i="1"/>
  <c r="W40" i="1" s="1"/>
  <c r="BF46" i="1"/>
  <c r="W46" i="1" s="1"/>
  <c r="AS46" i="1"/>
  <c r="BA46" i="1"/>
  <c r="AS101" i="1"/>
  <c r="BA101" i="1"/>
  <c r="BF101" i="1"/>
  <c r="W101" i="1" s="1"/>
  <c r="AZ41" i="1"/>
  <c r="BB41" i="1"/>
  <c r="AT41" i="1"/>
  <c r="BC41" i="1" s="1"/>
  <c r="BD41" i="1" s="1"/>
  <c r="AU41" i="1"/>
  <c r="AN41" i="1"/>
  <c r="AZ58" i="1"/>
  <c r="AT58" i="1"/>
  <c r="AU58" i="1"/>
  <c r="BB58" i="1"/>
  <c r="AN58" i="1"/>
  <c r="AZ56" i="1"/>
  <c r="AU56" i="1"/>
  <c r="AN56" i="1"/>
  <c r="BB56" i="1"/>
  <c r="AT56" i="1"/>
  <c r="AS134" i="1"/>
  <c r="BF134" i="1"/>
  <c r="W134" i="1" s="1"/>
  <c r="BA134" i="1"/>
  <c r="BF65" i="1"/>
  <c r="W65" i="1" s="1"/>
  <c r="BA65" i="1"/>
  <c r="AS65" i="1"/>
  <c r="BF95" i="1"/>
  <c r="W95" i="1" s="1"/>
  <c r="BA95" i="1"/>
  <c r="AS95" i="1"/>
  <c r="BE95" i="1" s="1"/>
  <c r="AZ109" i="1"/>
  <c r="AT109" i="1"/>
  <c r="BC109" i="1" s="1"/>
  <c r="BD109" i="1" s="1"/>
  <c r="AN109" i="1"/>
  <c r="AU109" i="1"/>
  <c r="BB109" i="1"/>
  <c r="AS148" i="1"/>
  <c r="BE148" i="1" s="1"/>
  <c r="BF148" i="1"/>
  <c r="W148" i="1" s="1"/>
  <c r="BA148" i="1"/>
  <c r="BA79" i="1"/>
  <c r="BF21" i="1"/>
  <c r="W21" i="1" s="1"/>
  <c r="BA21" i="1"/>
  <c r="AS21" i="1"/>
  <c r="AZ77" i="1"/>
  <c r="AS77" i="1" s="1"/>
  <c r="AT77" i="1"/>
  <c r="AN77" i="1"/>
  <c r="AU77" i="1"/>
  <c r="BB77" i="1"/>
  <c r="AN136" i="1"/>
  <c r="BB136" i="1"/>
  <c r="AT136" i="1"/>
  <c r="BC136" i="1" s="1"/>
  <c r="BD136" i="1" s="1"/>
  <c r="AU136" i="1"/>
  <c r="BA48" i="1"/>
  <c r="BF48" i="1"/>
  <c r="W48" i="1" s="1"/>
  <c r="AS48" i="1"/>
  <c r="BE43" i="1"/>
  <c r="AT123" i="1"/>
  <c r="AN123" i="1"/>
  <c r="BB123" i="1"/>
  <c r="AU123" i="1"/>
  <c r="AT110" i="1"/>
  <c r="AN110" i="1"/>
  <c r="BB110" i="1"/>
  <c r="AU110" i="1"/>
  <c r="AZ68" i="1"/>
  <c r="AU68" i="1"/>
  <c r="AN68" i="1"/>
  <c r="AT68" i="1"/>
  <c r="BC68" i="1" s="1"/>
  <c r="BD68" i="1" s="1"/>
  <c r="BB68" i="1"/>
  <c r="BF181" i="1"/>
  <c r="W181" i="1" s="1"/>
  <c r="BF55" i="1"/>
  <c r="W55" i="1" s="1"/>
  <c r="BA55" i="1"/>
  <c r="AS55" i="1"/>
  <c r="AS127" i="1"/>
  <c r="BA127" i="1"/>
  <c r="BF127" i="1"/>
  <c r="W127" i="1" s="1"/>
  <c r="AZ96" i="1"/>
  <c r="BB96" i="1"/>
  <c r="AN96" i="1"/>
  <c r="AT96" i="1"/>
  <c r="BC96" i="1" s="1"/>
  <c r="BD96" i="1" s="1"/>
  <c r="AU96" i="1"/>
  <c r="AU102" i="1"/>
  <c r="AT102" i="1"/>
  <c r="BC102" i="1" s="1"/>
  <c r="BD102" i="1" s="1"/>
  <c r="BB102" i="1"/>
  <c r="AN102" i="1"/>
  <c r="AN37" i="1"/>
  <c r="AU37" i="1"/>
  <c r="AT37" i="1"/>
  <c r="BB37" i="1"/>
  <c r="AT64" i="1"/>
  <c r="BC64" i="1" s="1"/>
  <c r="BD64" i="1" s="1"/>
  <c r="AU64" i="1"/>
  <c r="AN64" i="1"/>
  <c r="BB64" i="1"/>
  <c r="BA59" i="1"/>
  <c r="AS59" i="1"/>
  <c r="BF59" i="1"/>
  <c r="W59" i="1" s="1"/>
  <c r="BB52" i="1"/>
  <c r="AU52" i="1"/>
  <c r="AT52" i="1"/>
  <c r="AN52" i="1"/>
  <c r="AN183" i="1"/>
  <c r="AT183" i="1"/>
  <c r="BC183" i="1" s="1"/>
  <c r="BD183" i="1" s="1"/>
  <c r="AU183" i="1"/>
  <c r="BB183" i="1"/>
  <c r="AN36" i="1"/>
  <c r="AZ36" i="1"/>
  <c r="AU36" i="1"/>
  <c r="AT36" i="1"/>
  <c r="BB36" i="1"/>
  <c r="AZ133" i="1"/>
  <c r="AU156" i="1"/>
  <c r="AN156" i="1"/>
  <c r="AT156" i="1"/>
  <c r="BB156" i="1"/>
  <c r="AT153" i="1"/>
  <c r="BC153" i="1" s="1"/>
  <c r="BD153" i="1" s="1"/>
  <c r="BB153" i="1"/>
  <c r="AU153" i="1"/>
  <c r="AN153" i="1"/>
  <c r="BE153" i="1" s="1"/>
  <c r="BF168" i="1"/>
  <c r="W168" i="1" s="1"/>
  <c r="BA168" i="1"/>
  <c r="AS168" i="1"/>
  <c r="BF38" i="1"/>
  <c r="W38" i="1" s="1"/>
  <c r="BA38" i="1"/>
  <c r="AS38" i="1"/>
  <c r="BE33" i="1"/>
  <c r="AZ84" i="1"/>
  <c r="AN84" i="1"/>
  <c r="BB84" i="1"/>
  <c r="AT84" i="1"/>
  <c r="BC84" i="1" s="1"/>
  <c r="BD84" i="1" s="1"/>
  <c r="AU84" i="1"/>
  <c r="AZ27" i="1"/>
  <c r="AU27" i="1"/>
  <c r="AT27" i="1"/>
  <c r="AN27" i="1"/>
  <c r="BB27" i="1"/>
  <c r="BA167" i="1"/>
  <c r="BF167" i="1"/>
  <c r="AS167" i="1"/>
  <c r="AS80" i="1"/>
  <c r="BA80" i="1"/>
  <c r="BF80" i="1"/>
  <c r="W80" i="1" s="1"/>
  <c r="AZ79" i="1"/>
  <c r="BB79" i="1"/>
  <c r="AT79" i="1"/>
  <c r="AN79" i="1"/>
  <c r="AU79" i="1"/>
  <c r="BA47" i="1"/>
  <c r="BF47" i="1"/>
  <c r="W47" i="1" s="1"/>
  <c r="AS47" i="1"/>
  <c r="AS166" i="1"/>
  <c r="BA166" i="1"/>
  <c r="BF166" i="1"/>
  <c r="W166" i="1" s="1"/>
  <c r="BE46" i="1"/>
  <c r="AT31" i="1"/>
  <c r="BB31" i="1"/>
  <c r="AU31" i="1"/>
  <c r="AN31" i="1"/>
  <c r="AZ159" i="1"/>
  <c r="AN159" i="1"/>
  <c r="AT159" i="1"/>
  <c r="BC159" i="1" s="1"/>
  <c r="BD159" i="1" s="1"/>
  <c r="AU159" i="1"/>
  <c r="BB159" i="1"/>
  <c r="BB182" i="1"/>
  <c r="AU182" i="1"/>
  <c r="AN182" i="1"/>
  <c r="AT182" i="1"/>
  <c r="BC182" i="1" s="1"/>
  <c r="BD182" i="1" s="1"/>
  <c r="AZ67" i="1"/>
  <c r="AT67" i="1"/>
  <c r="BB67" i="1"/>
  <c r="AN67" i="1"/>
  <c r="AU67" i="1"/>
  <c r="BE134" i="1"/>
  <c r="BE65" i="1"/>
  <c r="AZ125" i="1"/>
  <c r="AT125" i="1"/>
  <c r="BC125" i="1" s="1"/>
  <c r="BD125" i="1" s="1"/>
  <c r="AU125" i="1"/>
  <c r="AN125" i="1"/>
  <c r="BB125" i="1"/>
  <c r="AZ112" i="1"/>
  <c r="AN112" i="1"/>
  <c r="AT112" i="1"/>
  <c r="BC112" i="1" s="1"/>
  <c r="BD112" i="1" s="1"/>
  <c r="AU112" i="1"/>
  <c r="BB112" i="1"/>
  <c r="BA104" i="1"/>
  <c r="BF104" i="1"/>
  <c r="AS104" i="1"/>
  <c r="BE21" i="1"/>
  <c r="AS162" i="1"/>
  <c r="BE162" i="1" s="1"/>
  <c r="BA162" i="1"/>
  <c r="BF162" i="1"/>
  <c r="W162" i="1" s="1"/>
  <c r="AN138" i="1"/>
  <c r="AU138" i="1"/>
  <c r="BB138" i="1"/>
  <c r="AT138" i="1"/>
  <c r="AN82" i="1"/>
  <c r="AU82" i="1"/>
  <c r="AT82" i="1"/>
  <c r="BB82" i="1"/>
  <c r="AZ122" i="1"/>
  <c r="AN122" i="1"/>
  <c r="AU122" i="1"/>
  <c r="BB122" i="1"/>
  <c r="AT122" i="1"/>
  <c r="BC122" i="1" s="1"/>
  <c r="BD122" i="1" s="1"/>
  <c r="AZ110" i="1"/>
  <c r="AT170" i="1"/>
  <c r="BB170" i="1"/>
  <c r="AU170" i="1"/>
  <c r="AN170" i="1"/>
  <c r="AZ102" i="1"/>
  <c r="AS25" i="1"/>
  <c r="BA25" i="1"/>
  <c r="BF25" i="1"/>
  <c r="W25" i="1" s="1"/>
  <c r="AU128" i="1"/>
  <c r="BB128" i="1"/>
  <c r="AT128" i="1"/>
  <c r="BC128" i="1" s="1"/>
  <c r="BD128" i="1" s="1"/>
  <c r="AN128" i="1"/>
  <c r="AZ119" i="1"/>
  <c r="AT119" i="1"/>
  <c r="AU119" i="1"/>
  <c r="AN119" i="1"/>
  <c r="BB119" i="1"/>
  <c r="BE59" i="1"/>
  <c r="AZ117" i="1"/>
  <c r="BB117" i="1"/>
  <c r="AU117" i="1"/>
  <c r="AT117" i="1"/>
  <c r="BC117" i="1" s="1"/>
  <c r="BD117" i="1" s="1"/>
  <c r="AN117" i="1"/>
  <c r="AS52" i="1"/>
  <c r="BA52" i="1"/>
  <c r="BF52" i="1"/>
  <c r="W52" i="1" s="1"/>
  <c r="AS183" i="1"/>
  <c r="BF183" i="1"/>
  <c r="W183" i="1" s="1"/>
  <c r="BA183" i="1"/>
  <c r="BA70" i="1"/>
  <c r="AS51" i="1"/>
  <c r="BA51" i="1"/>
  <c r="BF51" i="1"/>
  <c r="W51" i="1" s="1"/>
  <c r="AN62" i="1"/>
  <c r="AU62" i="1"/>
  <c r="AT62" i="1"/>
  <c r="BC62" i="1" s="1"/>
  <c r="BD62" i="1" s="1"/>
  <c r="BB62" i="1"/>
  <c r="AU152" i="1"/>
  <c r="BB152" i="1"/>
  <c r="AT152" i="1"/>
  <c r="BC152" i="1" s="1"/>
  <c r="BD152" i="1" s="1"/>
  <c r="AN152" i="1"/>
  <c r="AU172" i="1"/>
  <c r="AN172" i="1"/>
  <c r="BB172" i="1"/>
  <c r="AT172" i="1"/>
  <c r="BC172" i="1" s="1"/>
  <c r="BD172" i="1" s="1"/>
  <c r="BF160" i="1"/>
  <c r="W160" i="1" s="1"/>
  <c r="BF34" i="1"/>
  <c r="W34" i="1" s="1"/>
  <c r="BA34" i="1"/>
  <c r="AS34" i="1"/>
  <c r="AZ169" i="1"/>
  <c r="AN169" i="1"/>
  <c r="AT169" i="1"/>
  <c r="BC169" i="1" s="1"/>
  <c r="BD169" i="1" s="1"/>
  <c r="AU169" i="1"/>
  <c r="BB169" i="1"/>
  <c r="AT63" i="1"/>
  <c r="AU63" i="1"/>
  <c r="BB63" i="1"/>
  <c r="AN63" i="1"/>
  <c r="AS94" i="1"/>
  <c r="BA94" i="1"/>
  <c r="BF94" i="1"/>
  <c r="W94" i="1" s="1"/>
  <c r="AN147" i="1"/>
  <c r="BB147" i="1"/>
  <c r="AU147" i="1"/>
  <c r="AT147" i="1"/>
  <c r="AZ146" i="1"/>
  <c r="BE94" i="1"/>
  <c r="AU149" i="1"/>
  <c r="AN149" i="1"/>
  <c r="BE149" i="1" s="1"/>
  <c r="AT149" i="1"/>
  <c r="BC149" i="1" s="1"/>
  <c r="BD149" i="1" s="1"/>
  <c r="BB149" i="1"/>
  <c r="AT44" i="1"/>
  <c r="AN44" i="1"/>
  <c r="BB44" i="1"/>
  <c r="AU44" i="1"/>
  <c r="AZ124" i="1"/>
  <c r="BB124" i="1"/>
  <c r="AT124" i="1"/>
  <c r="AU124" i="1"/>
  <c r="AN124" i="1"/>
  <c r="AN30" i="1"/>
  <c r="AU30" i="1"/>
  <c r="AT30" i="1"/>
  <c r="BB30" i="1"/>
  <c r="AT168" i="1"/>
  <c r="BC168" i="1" s="1"/>
  <c r="BD168" i="1" s="1"/>
  <c r="AN168" i="1"/>
  <c r="BE168" i="1" s="1"/>
  <c r="AU168" i="1"/>
  <c r="BB168" i="1"/>
  <c r="AU26" i="1"/>
  <c r="BB26" i="1"/>
  <c r="AT26" i="1"/>
  <c r="BC26" i="1" s="1"/>
  <c r="BD26" i="1" s="1"/>
  <c r="AN26" i="1"/>
  <c r="BB91" i="1"/>
  <c r="AN91" i="1"/>
  <c r="AU91" i="1"/>
  <c r="AT91" i="1"/>
  <c r="AT135" i="1"/>
  <c r="AN135" i="1"/>
  <c r="BB135" i="1"/>
  <c r="AU135" i="1"/>
  <c r="AZ171" i="1"/>
  <c r="AN171" i="1"/>
  <c r="AT171" i="1"/>
  <c r="BB171" i="1"/>
  <c r="AU171" i="1"/>
  <c r="BB106" i="1"/>
  <c r="AN106" i="1"/>
  <c r="AU106" i="1"/>
  <c r="AT106" i="1"/>
  <c r="AN184" i="1"/>
  <c r="AU184" i="1"/>
  <c r="BB184" i="1"/>
  <c r="AT184" i="1"/>
  <c r="BC184" i="1" s="1"/>
  <c r="BD184" i="1" s="1"/>
  <c r="AZ107" i="1"/>
  <c r="AU107" i="1"/>
  <c r="BB107" i="1"/>
  <c r="AT107" i="1"/>
  <c r="AN107" i="1"/>
  <c r="BE104" i="1"/>
  <c r="AU98" i="1"/>
  <c r="AT98" i="1"/>
  <c r="BC98" i="1" s="1"/>
  <c r="BD98" i="1" s="1"/>
  <c r="AN98" i="1"/>
  <c r="BE98" i="1" s="1"/>
  <c r="BB98" i="1"/>
  <c r="BB158" i="1"/>
  <c r="AN158" i="1"/>
  <c r="BE158" i="1" s="1"/>
  <c r="AT158" i="1"/>
  <c r="BC158" i="1" s="1"/>
  <c r="BD158" i="1" s="1"/>
  <c r="AU158" i="1"/>
  <c r="AU178" i="1"/>
  <c r="AT178" i="1"/>
  <c r="BC178" i="1" s="1"/>
  <c r="BD178" i="1" s="1"/>
  <c r="BB178" i="1"/>
  <c r="AN178" i="1"/>
  <c r="AZ136" i="1"/>
  <c r="AT140" i="1"/>
  <c r="AU140" i="1"/>
  <c r="AN140" i="1"/>
  <c r="BB140" i="1"/>
  <c r="AZ123" i="1"/>
  <c r="BB99" i="1"/>
  <c r="AN99" i="1"/>
  <c r="BE99" i="1" s="1"/>
  <c r="AU99" i="1"/>
  <c r="AT99" i="1"/>
  <c r="BC99" i="1" s="1"/>
  <c r="BD99" i="1" s="1"/>
  <c r="AN39" i="1"/>
  <c r="AT39" i="1"/>
  <c r="BB39" i="1"/>
  <c r="AU39" i="1"/>
  <c r="AU97" i="1"/>
  <c r="AT97" i="1"/>
  <c r="AN97" i="1"/>
  <c r="BB97" i="1"/>
  <c r="AZ170" i="1"/>
  <c r="AZ185" i="1"/>
  <c r="AT185" i="1"/>
  <c r="BB185" i="1"/>
  <c r="AN185" i="1"/>
  <c r="AU185" i="1"/>
  <c r="AZ37" i="1"/>
  <c r="AZ64" i="1"/>
  <c r="AZ128" i="1"/>
  <c r="AZ114" i="1"/>
  <c r="BB114" i="1"/>
  <c r="AN114" i="1"/>
  <c r="AU114" i="1"/>
  <c r="AT114" i="1"/>
  <c r="BE183" i="1"/>
  <c r="AU57" i="1"/>
  <c r="AT57" i="1"/>
  <c r="AN57" i="1"/>
  <c r="BB57" i="1"/>
  <c r="AZ180" i="1"/>
  <c r="BB180" i="1"/>
  <c r="AU180" i="1"/>
  <c r="AN180" i="1"/>
  <c r="AT180" i="1"/>
  <c r="BC180" i="1" s="1"/>
  <c r="BD180" i="1" s="1"/>
  <c r="BB163" i="1"/>
  <c r="AU163" i="1"/>
  <c r="AN163" i="1"/>
  <c r="AT163" i="1"/>
  <c r="BC163" i="1" s="1"/>
  <c r="BD163" i="1" s="1"/>
  <c r="AZ130" i="1"/>
  <c r="AU130" i="1"/>
  <c r="BB130" i="1"/>
  <c r="AT130" i="1"/>
  <c r="BC130" i="1" s="1"/>
  <c r="BD130" i="1" s="1"/>
  <c r="AN130" i="1"/>
  <c r="AZ172" i="1"/>
  <c r="AU173" i="1"/>
  <c r="BB173" i="1"/>
  <c r="AT173" i="1"/>
  <c r="BC173" i="1" s="1"/>
  <c r="BD173" i="1" s="1"/>
  <c r="AN173" i="1"/>
  <c r="AZ173" i="1"/>
  <c r="AS30" i="1"/>
  <c r="BA30" i="1"/>
  <c r="BF30" i="1"/>
  <c r="W30" i="1" s="1"/>
  <c r="AN22" i="1"/>
  <c r="AU22" i="1"/>
  <c r="BB22" i="1"/>
  <c r="AT22" i="1"/>
  <c r="BF158" i="1"/>
  <c r="W158" i="1" s="1"/>
  <c r="BA158" i="1"/>
  <c r="AS158" i="1"/>
  <c r="AZ72" i="1"/>
  <c r="AU72" i="1"/>
  <c r="BB72" i="1"/>
  <c r="AT72" i="1"/>
  <c r="BC72" i="1" s="1"/>
  <c r="BD72" i="1" s="1"/>
  <c r="AN72" i="1"/>
  <c r="AT111" i="1"/>
  <c r="BC111" i="1" s="1"/>
  <c r="BD111" i="1" s="1"/>
  <c r="AU111" i="1"/>
  <c r="AN111" i="1"/>
  <c r="BE111" i="1" s="1"/>
  <c r="BB111" i="1"/>
  <c r="AZ63" i="1"/>
  <c r="AN50" i="1"/>
  <c r="BB50" i="1"/>
  <c r="AU50" i="1"/>
  <c r="AT50" i="1"/>
  <c r="BB118" i="1"/>
  <c r="AN118" i="1"/>
  <c r="BE118" i="1" s="1"/>
  <c r="AT118" i="1"/>
  <c r="BC118" i="1" s="1"/>
  <c r="BD118" i="1" s="1"/>
  <c r="AU118" i="1"/>
  <c r="BF44" i="1"/>
  <c r="W44" i="1" s="1"/>
  <c r="BA44" i="1"/>
  <c r="AS44" i="1"/>
  <c r="BB49" i="1"/>
  <c r="AU49" i="1"/>
  <c r="AN49" i="1"/>
  <c r="BE49" i="1" s="1"/>
  <c r="AT49" i="1"/>
  <c r="BC49" i="1" s="1"/>
  <c r="BD49" i="1" s="1"/>
  <c r="AZ151" i="1"/>
  <c r="AN151" i="1"/>
  <c r="BB151" i="1"/>
  <c r="AU151" i="1"/>
  <c r="AT151" i="1"/>
  <c r="AZ29" i="1"/>
  <c r="AT29" i="1"/>
  <c r="BB29" i="1"/>
  <c r="AN29" i="1"/>
  <c r="AU29" i="1"/>
  <c r="BB87" i="1"/>
  <c r="AT87" i="1"/>
  <c r="AU87" i="1"/>
  <c r="AN87" i="1"/>
  <c r="AZ60" i="1"/>
  <c r="AN60" i="1"/>
  <c r="BB60" i="1"/>
  <c r="AT60" i="1"/>
  <c r="BC60" i="1" s="1"/>
  <c r="BD60" i="1" s="1"/>
  <c r="AU60" i="1"/>
  <c r="BF91" i="1"/>
  <c r="AS91" i="1"/>
  <c r="BA91" i="1"/>
  <c r="AS135" i="1"/>
  <c r="BA135" i="1"/>
  <c r="BF135" i="1"/>
  <c r="W135" i="1" s="1"/>
  <c r="BB129" i="1"/>
  <c r="AU129" i="1"/>
  <c r="AN129" i="1"/>
  <c r="AT129" i="1"/>
  <c r="AZ182" i="1"/>
  <c r="BB34" i="1"/>
  <c r="AT34" i="1"/>
  <c r="AU34" i="1"/>
  <c r="AN34" i="1"/>
  <c r="AZ184" i="1"/>
  <c r="AZ86" i="1"/>
  <c r="AT86" i="1"/>
  <c r="AU86" i="1"/>
  <c r="AN86" i="1"/>
  <c r="BB86" i="1"/>
  <c r="AZ76" i="1"/>
  <c r="BB76" i="1"/>
  <c r="AN76" i="1"/>
  <c r="AU76" i="1"/>
  <c r="AT76" i="1"/>
  <c r="BC76" i="1" s="1"/>
  <c r="BD76" i="1" s="1"/>
  <c r="AU38" i="1"/>
  <c r="AT38" i="1"/>
  <c r="BC38" i="1" s="1"/>
  <c r="BD38" i="1" s="1"/>
  <c r="AN38" i="1"/>
  <c r="BB38" i="1"/>
  <c r="AZ138" i="1"/>
  <c r="AZ178" i="1"/>
  <c r="AZ82" i="1"/>
  <c r="BB88" i="1"/>
  <c r="AT88" i="1"/>
  <c r="BC88" i="1" s="1"/>
  <c r="BD88" i="1" s="1"/>
  <c r="AN88" i="1"/>
  <c r="BE88" i="1" s="1"/>
  <c r="AU88" i="1"/>
  <c r="BB103" i="1"/>
  <c r="AT103" i="1"/>
  <c r="AU103" i="1"/>
  <c r="AN103" i="1"/>
  <c r="AZ140" i="1"/>
  <c r="AN20" i="1"/>
  <c r="AT20" i="1"/>
  <c r="AU20" i="1"/>
  <c r="BB20" i="1"/>
  <c r="AN42" i="1"/>
  <c r="BE42" i="1" s="1"/>
  <c r="BB42" i="1"/>
  <c r="AT42" i="1"/>
  <c r="BC42" i="1" s="1"/>
  <c r="BD42" i="1" s="1"/>
  <c r="AU42" i="1"/>
  <c r="AZ97" i="1"/>
  <c r="AT126" i="1"/>
  <c r="AU126" i="1"/>
  <c r="AN126" i="1"/>
  <c r="BB126" i="1"/>
  <c r="AU132" i="1"/>
  <c r="AN132" i="1"/>
  <c r="BB132" i="1"/>
  <c r="AT132" i="1"/>
  <c r="BC132" i="1" s="1"/>
  <c r="BD132" i="1" s="1"/>
  <c r="AT71" i="1"/>
  <c r="AU71" i="1"/>
  <c r="BB71" i="1"/>
  <c r="AN71" i="1"/>
  <c r="AZ163" i="1"/>
  <c r="AZ62" i="1"/>
  <c r="AZ152" i="1"/>
  <c r="BE74" i="1"/>
  <c r="BA69" i="1"/>
  <c r="BF69" i="1"/>
  <c r="W69" i="1" s="1"/>
  <c r="W91" i="1"/>
  <c r="BA22" i="1"/>
  <c r="BF77" i="1"/>
  <c r="BA77" i="1"/>
  <c r="BC19" i="1"/>
  <c r="BD19" i="1" s="1"/>
  <c r="AS19" i="1" l="1"/>
  <c r="BA19" i="1"/>
  <c r="BE20" i="1"/>
  <c r="BE30" i="1"/>
  <c r="BE129" i="1"/>
  <c r="BE140" i="1"/>
  <c r="W111" i="1"/>
  <c r="BF152" i="1"/>
  <c r="W152" i="1" s="1"/>
  <c r="BA152" i="1"/>
  <c r="AS152" i="1"/>
  <c r="BE152" i="1" s="1"/>
  <c r="BF140" i="1"/>
  <c r="W140" i="1" s="1"/>
  <c r="BA140" i="1"/>
  <c r="AS140" i="1"/>
  <c r="BC34" i="1"/>
  <c r="BD34" i="1" s="1"/>
  <c r="AS151" i="1"/>
  <c r="BE151" i="1" s="1"/>
  <c r="BF151" i="1"/>
  <c r="W151" i="1" s="1"/>
  <c r="BC22" i="1"/>
  <c r="BA93" i="1"/>
  <c r="AS64" i="1"/>
  <c r="BE64" i="1" s="1"/>
  <c r="BF64" i="1"/>
  <c r="BA64" i="1"/>
  <c r="BF146" i="1"/>
  <c r="W146" i="1" s="1"/>
  <c r="BA146" i="1"/>
  <c r="AS146" i="1"/>
  <c r="BC138" i="1"/>
  <c r="BD138" i="1" s="1"/>
  <c r="BF159" i="1"/>
  <c r="W159" i="1" s="1"/>
  <c r="AS159" i="1"/>
  <c r="BE159" i="1" s="1"/>
  <c r="BA159" i="1"/>
  <c r="BC79" i="1"/>
  <c r="BD79" i="1" s="1"/>
  <c r="BA27" i="1"/>
  <c r="AS27" i="1"/>
  <c r="BA56" i="1"/>
  <c r="AS56" i="1"/>
  <c r="BF56" i="1"/>
  <c r="W56" i="1" s="1"/>
  <c r="BF27" i="1"/>
  <c r="W27" i="1" s="1"/>
  <c r="AS181" i="1"/>
  <c r="BA181" i="1"/>
  <c r="BE26" i="1"/>
  <c r="BC51" i="1"/>
  <c r="BD51" i="1" s="1"/>
  <c r="BC25" i="1"/>
  <c r="BC174" i="1"/>
  <c r="BD174" i="1" s="1"/>
  <c r="BF179" i="1"/>
  <c r="W179" i="1" s="1"/>
  <c r="AS179" i="1"/>
  <c r="BE179" i="1" s="1"/>
  <c r="BA179" i="1"/>
  <c r="BC166" i="1"/>
  <c r="AS154" i="1"/>
  <c r="BE154" i="1" s="1"/>
  <c r="BA154" i="1"/>
  <c r="BF154" i="1"/>
  <c r="W154" i="1" s="1"/>
  <c r="AS85" i="1"/>
  <c r="BA85" i="1"/>
  <c r="BF85" i="1"/>
  <c r="BC81" i="1"/>
  <c r="BD81" i="1" s="1"/>
  <c r="BF176" i="1"/>
  <c r="W176" i="1" s="1"/>
  <c r="AS176" i="1"/>
  <c r="BE176" i="1" s="1"/>
  <c r="BA176" i="1"/>
  <c r="BC155" i="1"/>
  <c r="BD155" i="1" s="1"/>
  <c r="AS131" i="1"/>
  <c r="BE131" i="1" s="1"/>
  <c r="BA131" i="1"/>
  <c r="BC54" i="1"/>
  <c r="BD54" i="1" s="1"/>
  <c r="BC157" i="1"/>
  <c r="BD157" i="1" s="1"/>
  <c r="BA151" i="1"/>
  <c r="BA123" i="1"/>
  <c r="AS123" i="1"/>
  <c r="BF123" i="1"/>
  <c r="W123" i="1" s="1"/>
  <c r="BF109" i="1"/>
  <c r="BA60" i="1"/>
  <c r="BF60" i="1"/>
  <c r="W60" i="1" s="1"/>
  <c r="AS60" i="1"/>
  <c r="BE60" i="1" s="1"/>
  <c r="BC29" i="1"/>
  <c r="BD29" i="1" s="1"/>
  <c r="AS130" i="1"/>
  <c r="BE130" i="1" s="1"/>
  <c r="BA130" i="1"/>
  <c r="BF130" i="1"/>
  <c r="W130" i="1" s="1"/>
  <c r="BC114" i="1"/>
  <c r="BD114" i="1" s="1"/>
  <c r="BA68" i="1"/>
  <c r="BF37" i="1"/>
  <c r="W37" i="1" s="1"/>
  <c r="AS37" i="1"/>
  <c r="BA37" i="1"/>
  <c r="BC39" i="1"/>
  <c r="BC44" i="1"/>
  <c r="BD44" i="1" s="1"/>
  <c r="BC147" i="1"/>
  <c r="BD147" i="1" s="1"/>
  <c r="AS169" i="1"/>
  <c r="BE169" i="1" s="1"/>
  <c r="BA169" i="1"/>
  <c r="BE51" i="1"/>
  <c r="BC170" i="1"/>
  <c r="BD170" i="1" s="1"/>
  <c r="AS112" i="1"/>
  <c r="BE112" i="1" s="1"/>
  <c r="BF112" i="1"/>
  <c r="BA112" i="1"/>
  <c r="BE167" i="1"/>
  <c r="BC37" i="1"/>
  <c r="BD37" i="1" s="1"/>
  <c r="BC77" i="1"/>
  <c r="BC141" i="1"/>
  <c r="BD141" i="1" s="1"/>
  <c r="BC116" i="1"/>
  <c r="BD116" i="1" s="1"/>
  <c r="BA92" i="1"/>
  <c r="AS92" i="1"/>
  <c r="BF92" i="1"/>
  <c r="W92" i="1" s="1"/>
  <c r="BA161" i="1"/>
  <c r="AS161" i="1"/>
  <c r="BE161" i="1" s="1"/>
  <c r="BF161" i="1"/>
  <c r="W161" i="1" s="1"/>
  <c r="AS155" i="1"/>
  <c r="BE155" i="1" s="1"/>
  <c r="BF155" i="1"/>
  <c r="W155" i="1" s="1"/>
  <c r="BA155" i="1"/>
  <c r="BC92" i="1"/>
  <c r="BD92" i="1" s="1"/>
  <c r="AS54" i="1"/>
  <c r="BE54" i="1" s="1"/>
  <c r="BA54" i="1"/>
  <c r="BF54" i="1"/>
  <c r="W54" i="1" s="1"/>
  <c r="AS61" i="1"/>
  <c r="BA61" i="1"/>
  <c r="BF61" i="1"/>
  <c r="W61" i="1" s="1"/>
  <c r="AS109" i="1"/>
  <c r="BE109" i="1" s="1"/>
  <c r="BA109" i="1"/>
  <c r="BF62" i="1"/>
  <c r="W62" i="1" s="1"/>
  <c r="AS62" i="1"/>
  <c r="BE62" i="1" s="1"/>
  <c r="BA62" i="1"/>
  <c r="BC86" i="1"/>
  <c r="BD86" i="1" s="1"/>
  <c r="BF182" i="1"/>
  <c r="W182" i="1" s="1"/>
  <c r="AS182" i="1"/>
  <c r="BE182" i="1" s="1"/>
  <c r="BA182" i="1"/>
  <c r="BF170" i="1"/>
  <c r="W170" i="1" s="1"/>
  <c r="BA170" i="1"/>
  <c r="AS170" i="1"/>
  <c r="BE170" i="1" s="1"/>
  <c r="AS122" i="1"/>
  <c r="BE122" i="1" s="1"/>
  <c r="BF122" i="1"/>
  <c r="BA122" i="1"/>
  <c r="W147" i="1"/>
  <c r="W104" i="1"/>
  <c r="AS79" i="1"/>
  <c r="BE79" i="1" s="1"/>
  <c r="BF79" i="1"/>
  <c r="BF133" i="1"/>
  <c r="W133" i="1" s="1"/>
  <c r="AS133" i="1"/>
  <c r="BE133" i="1" s="1"/>
  <c r="BA133" i="1"/>
  <c r="AS68" i="1"/>
  <c r="BE68" i="1" s="1"/>
  <c r="BF68" i="1"/>
  <c r="W68" i="1" s="1"/>
  <c r="BC123" i="1"/>
  <c r="BD123" i="1" s="1"/>
  <c r="AS105" i="1"/>
  <c r="BE105" i="1" s="1"/>
  <c r="BF105" i="1"/>
  <c r="W105" i="1" s="1"/>
  <c r="BA105" i="1"/>
  <c r="BA35" i="1"/>
  <c r="BF35" i="1"/>
  <c r="W35" i="1" s="1"/>
  <c r="AS35" i="1"/>
  <c r="BE35" i="1" s="1"/>
  <c r="BA116" i="1"/>
  <c r="BF116" i="1"/>
  <c r="AS116" i="1"/>
  <c r="BE116" i="1" s="1"/>
  <c r="AS81" i="1"/>
  <c r="BE81" i="1" s="1"/>
  <c r="BA81" i="1"/>
  <c r="BF81" i="1"/>
  <c r="W81" i="1" s="1"/>
  <c r="BF137" i="1"/>
  <c r="BA137" i="1"/>
  <c r="AS137" i="1"/>
  <c r="BF117" i="1"/>
  <c r="BF53" i="1"/>
  <c r="W53" i="1" s="1"/>
  <c r="BA53" i="1"/>
  <c r="AS53" i="1"/>
  <c r="BE53" i="1" s="1"/>
  <c r="BA23" i="1"/>
  <c r="AS23" i="1"/>
  <c r="BF23" i="1"/>
  <c r="W23" i="1" s="1"/>
  <c r="BE38" i="1"/>
  <c r="AS113" i="1"/>
  <c r="BE113" i="1" s="1"/>
  <c r="BF113" i="1"/>
  <c r="BA113" i="1"/>
  <c r="BF45" i="1"/>
  <c r="W45" i="1" s="1"/>
  <c r="BA45" i="1"/>
  <c r="AS45" i="1"/>
  <c r="BF89" i="1"/>
  <c r="W89" i="1" s="1"/>
  <c r="BA89" i="1"/>
  <c r="AS89" i="1"/>
  <c r="W137" i="1"/>
  <c r="W98" i="1"/>
  <c r="AS82" i="1"/>
  <c r="BE82" i="1" s="1"/>
  <c r="BA82" i="1"/>
  <c r="BF82" i="1"/>
  <c r="W82" i="1" s="1"/>
  <c r="AS29" i="1"/>
  <c r="BE29" i="1" s="1"/>
  <c r="BF29" i="1"/>
  <c r="W29" i="1" s="1"/>
  <c r="BA29" i="1"/>
  <c r="AS180" i="1"/>
  <c r="BE180" i="1" s="1"/>
  <c r="BA180" i="1"/>
  <c r="BF180" i="1"/>
  <c r="W180" i="1" s="1"/>
  <c r="BC126" i="1"/>
  <c r="BD126" i="1" s="1"/>
  <c r="BC103" i="1"/>
  <c r="BD103" i="1" s="1"/>
  <c r="AS86" i="1"/>
  <c r="BE86" i="1" s="1"/>
  <c r="BF86" i="1"/>
  <c r="BA86" i="1"/>
  <c r="BC129" i="1"/>
  <c r="BD129" i="1" s="1"/>
  <c r="BC124" i="1"/>
  <c r="BD124" i="1" s="1"/>
  <c r="BC110" i="1"/>
  <c r="BD110" i="1" s="1"/>
  <c r="AS41" i="1"/>
  <c r="BE41" i="1" s="1"/>
  <c r="BF41" i="1"/>
  <c r="W41" i="1" s="1"/>
  <c r="BA41" i="1"/>
  <c r="BF139" i="1"/>
  <c r="W139" i="1" s="1"/>
  <c r="BA139" i="1"/>
  <c r="AS139" i="1"/>
  <c r="BE139" i="1" s="1"/>
  <c r="AS121" i="1"/>
  <c r="BE121" i="1" s="1"/>
  <c r="BA121" i="1"/>
  <c r="BF121" i="1"/>
  <c r="W121" i="1" s="1"/>
  <c r="BC127" i="1"/>
  <c r="BC115" i="1"/>
  <c r="BD115" i="1" s="1"/>
  <c r="BF83" i="1"/>
  <c r="W83" i="1" s="1"/>
  <c r="AS83" i="1"/>
  <c r="BE83" i="1" s="1"/>
  <c r="BA83" i="1"/>
  <c r="AS28" i="1"/>
  <c r="BE28" i="1" s="1"/>
  <c r="BF28" i="1"/>
  <c r="W28" i="1" s="1"/>
  <c r="BA28" i="1"/>
  <c r="BC78" i="1"/>
  <c r="BC100" i="1"/>
  <c r="BD100" i="1" s="1"/>
  <c r="BC89" i="1"/>
  <c r="BD89" i="1" s="1"/>
  <c r="BC53" i="1"/>
  <c r="BD53" i="1" s="1"/>
  <c r="BC75" i="1"/>
  <c r="BD75" i="1" s="1"/>
  <c r="BC61" i="1"/>
  <c r="BD61" i="1" s="1"/>
  <c r="W167" i="1"/>
  <c r="W115" i="1"/>
  <c r="BF163" i="1"/>
  <c r="W163" i="1" s="1"/>
  <c r="BA163" i="1"/>
  <c r="AS163" i="1"/>
  <c r="BE163" i="1" s="1"/>
  <c r="AS178" i="1"/>
  <c r="BE178" i="1" s="1"/>
  <c r="BF178" i="1"/>
  <c r="W178" i="1" s="1"/>
  <c r="BA178" i="1"/>
  <c r="AS63" i="1"/>
  <c r="BE63" i="1" s="1"/>
  <c r="BA63" i="1"/>
  <c r="BF63" i="1"/>
  <c r="BC140" i="1"/>
  <c r="BD140" i="1" s="1"/>
  <c r="BC20" i="1"/>
  <c r="BD20" i="1" s="1"/>
  <c r="BF138" i="1"/>
  <c r="W138" i="1" s="1"/>
  <c r="BA138" i="1"/>
  <c r="AS138" i="1"/>
  <c r="BE138" i="1" s="1"/>
  <c r="BC87" i="1"/>
  <c r="BD87" i="1" s="1"/>
  <c r="BC151" i="1"/>
  <c r="BD151" i="1" s="1"/>
  <c r="AS72" i="1"/>
  <c r="BE72" i="1" s="1"/>
  <c r="BA72" i="1"/>
  <c r="BF72" i="1"/>
  <c r="W72" i="1" s="1"/>
  <c r="AS172" i="1"/>
  <c r="BE172" i="1" s="1"/>
  <c r="BF172" i="1"/>
  <c r="W172" i="1" s="1"/>
  <c r="BA172" i="1"/>
  <c r="AS136" i="1"/>
  <c r="BE136" i="1" s="1"/>
  <c r="BF136" i="1"/>
  <c r="W136" i="1" s="1"/>
  <c r="BA136" i="1"/>
  <c r="BC107" i="1"/>
  <c r="BD107" i="1" s="1"/>
  <c r="BC135" i="1"/>
  <c r="BD135" i="1" s="1"/>
  <c r="BC30" i="1"/>
  <c r="BD30" i="1" s="1"/>
  <c r="BC63" i="1"/>
  <c r="BD63" i="1" s="1"/>
  <c r="BC119" i="1"/>
  <c r="BD119" i="1" s="1"/>
  <c r="BC156" i="1"/>
  <c r="BD156" i="1" s="1"/>
  <c r="BC36" i="1"/>
  <c r="BD36" i="1" s="1"/>
  <c r="BC56" i="1"/>
  <c r="BD56" i="1" s="1"/>
  <c r="BC58" i="1"/>
  <c r="BD58" i="1" s="1"/>
  <c r="BF145" i="1"/>
  <c r="W145" i="1" s="1"/>
  <c r="AS145" i="1"/>
  <c r="BA145" i="1"/>
  <c r="BF174" i="1"/>
  <c r="W174" i="1" s="1"/>
  <c r="AS174" i="1"/>
  <c r="BE174" i="1" s="1"/>
  <c r="BA174" i="1"/>
  <c r="BC47" i="1"/>
  <c r="BD47" i="1" s="1"/>
  <c r="BA175" i="1"/>
  <c r="AS175" i="1"/>
  <c r="BE175" i="1" s="1"/>
  <c r="BF175" i="1"/>
  <c r="W175" i="1" s="1"/>
  <c r="AS24" i="1"/>
  <c r="BE24" i="1" s="1"/>
  <c r="BF24" i="1"/>
  <c r="W24" i="1" s="1"/>
  <c r="BA24" i="1"/>
  <c r="BC165" i="1"/>
  <c r="BD165" i="1" s="1"/>
  <c r="BC143" i="1"/>
  <c r="BD143" i="1" s="1"/>
  <c r="BC55" i="1"/>
  <c r="BC48" i="1"/>
  <c r="BD48" i="1" s="1"/>
  <c r="BC85" i="1"/>
  <c r="BD70" i="1"/>
  <c r="W58" i="1"/>
  <c r="W42" i="1"/>
  <c r="BE115" i="1"/>
  <c r="BF173" i="1"/>
  <c r="W173" i="1" s="1"/>
  <c r="AS173" i="1"/>
  <c r="BE173" i="1" s="1"/>
  <c r="BA173" i="1"/>
  <c r="AS171" i="1"/>
  <c r="BE171" i="1" s="1"/>
  <c r="BF171" i="1"/>
  <c r="BA171" i="1"/>
  <c r="AS93" i="1"/>
  <c r="BE93" i="1" s="1"/>
  <c r="BF93" i="1"/>
  <c r="W93" i="1" s="1"/>
  <c r="BC71" i="1"/>
  <c r="BD71" i="1" s="1"/>
  <c r="AS97" i="1"/>
  <c r="BE97" i="1" s="1"/>
  <c r="BF97" i="1"/>
  <c r="W97" i="1" s="1"/>
  <c r="BA97" i="1"/>
  <c r="BA76" i="1"/>
  <c r="AS76" i="1"/>
  <c r="BE76" i="1" s="1"/>
  <c r="BF76" i="1"/>
  <c r="W76" i="1" s="1"/>
  <c r="AS184" i="1"/>
  <c r="BE184" i="1" s="1"/>
  <c r="BF184" i="1"/>
  <c r="W184" i="1" s="1"/>
  <c r="BA184" i="1"/>
  <c r="BC50" i="1"/>
  <c r="BD50" i="1" s="1"/>
  <c r="BC57" i="1"/>
  <c r="BD57" i="1" s="1"/>
  <c r="AS114" i="1"/>
  <c r="BE114" i="1" s="1"/>
  <c r="BA114" i="1"/>
  <c r="BF114" i="1"/>
  <c r="W114" i="1" s="1"/>
  <c r="BC185" i="1"/>
  <c r="BD185" i="1" s="1"/>
  <c r="BC97" i="1"/>
  <c r="BD97" i="1" s="1"/>
  <c r="BC106" i="1"/>
  <c r="BD106" i="1" s="1"/>
  <c r="BC171" i="1"/>
  <c r="BD171" i="1" s="1"/>
  <c r="BC91" i="1"/>
  <c r="BD91" i="1" s="1"/>
  <c r="AS124" i="1"/>
  <c r="BE124" i="1" s="1"/>
  <c r="BA124" i="1"/>
  <c r="BF119" i="1"/>
  <c r="W119" i="1" s="1"/>
  <c r="BA119" i="1"/>
  <c r="AS119" i="1"/>
  <c r="BE119" i="1" s="1"/>
  <c r="BF102" i="1"/>
  <c r="W102" i="1" s="1"/>
  <c r="AS102" i="1"/>
  <c r="BE102" i="1" s="1"/>
  <c r="BA102" i="1"/>
  <c r="AS110" i="1"/>
  <c r="BA110" i="1"/>
  <c r="BF110" i="1"/>
  <c r="BC82" i="1"/>
  <c r="BD82" i="1" s="1"/>
  <c r="BC67" i="1"/>
  <c r="BD67" i="1" s="1"/>
  <c r="BC31" i="1"/>
  <c r="BD31" i="1" s="1"/>
  <c r="BF124" i="1"/>
  <c r="W124" i="1" s="1"/>
  <c r="AS84" i="1"/>
  <c r="BE84" i="1" s="1"/>
  <c r="BA84" i="1"/>
  <c r="BF84" i="1"/>
  <c r="W84" i="1" s="1"/>
  <c r="BC52" i="1"/>
  <c r="AS96" i="1"/>
  <c r="BE96" i="1" s="1"/>
  <c r="BF96" i="1"/>
  <c r="BA96" i="1"/>
  <c r="BE48" i="1"/>
  <c r="BF58" i="1"/>
  <c r="BA58" i="1"/>
  <c r="AS58" i="1"/>
  <c r="BE58" i="1" s="1"/>
  <c r="BC181" i="1"/>
  <c r="BD181" i="1" s="1"/>
  <c r="BC146" i="1"/>
  <c r="BD146" i="1" s="1"/>
  <c r="BF144" i="1"/>
  <c r="W144" i="1" s="1"/>
  <c r="AS144" i="1"/>
  <c r="BE144" i="1" s="1"/>
  <c r="BA144" i="1"/>
  <c r="BC164" i="1"/>
  <c r="BD164" i="1" s="1"/>
  <c r="BC80" i="1"/>
  <c r="BC161" i="1"/>
  <c r="BD161" i="1" s="1"/>
  <c r="BC90" i="1"/>
  <c r="BD90" i="1" s="1"/>
  <c r="AS160" i="1"/>
  <c r="BE160" i="1" s="1"/>
  <c r="BA160" i="1"/>
  <c r="BC69" i="1"/>
  <c r="BC144" i="1"/>
  <c r="BD144" i="1" s="1"/>
  <c r="BC137" i="1"/>
  <c r="BD137" i="1" s="1"/>
  <c r="BF157" i="1"/>
  <c r="W157" i="1" s="1"/>
  <c r="AS157" i="1"/>
  <c r="BE157" i="1" s="1"/>
  <c r="BA157" i="1"/>
  <c r="BC142" i="1"/>
  <c r="BD142" i="1" s="1"/>
  <c r="BF128" i="1"/>
  <c r="W128" i="1" s="1"/>
  <c r="AS128" i="1"/>
  <c r="BE128" i="1" s="1"/>
  <c r="BA128" i="1"/>
  <c r="BF107" i="1"/>
  <c r="AS107" i="1"/>
  <c r="BE107" i="1" s="1"/>
  <c r="BA107" i="1"/>
  <c r="AS164" i="1"/>
  <c r="BE164" i="1" s="1"/>
  <c r="BA164" i="1"/>
  <c r="BF164" i="1"/>
  <c r="BF142" i="1"/>
  <c r="W142" i="1" s="1"/>
  <c r="AS142" i="1"/>
  <c r="BE142" i="1" s="1"/>
  <c r="BA142" i="1"/>
  <c r="AS108" i="1"/>
  <c r="BE108" i="1" s="1"/>
  <c r="BF108" i="1"/>
  <c r="W108" i="1" s="1"/>
  <c r="BA108" i="1"/>
  <c r="BF185" i="1"/>
  <c r="W185" i="1" s="1"/>
  <c r="BA185" i="1"/>
  <c r="AS185" i="1"/>
  <c r="BE185" i="1" s="1"/>
  <c r="BF169" i="1"/>
  <c r="W169" i="1" s="1"/>
  <c r="AS117" i="1"/>
  <c r="BE117" i="1" s="1"/>
  <c r="BA117" i="1"/>
  <c r="AS125" i="1"/>
  <c r="BE125" i="1" s="1"/>
  <c r="BF125" i="1"/>
  <c r="W125" i="1" s="1"/>
  <c r="BA125" i="1"/>
  <c r="AS67" i="1"/>
  <c r="BE67" i="1" s="1"/>
  <c r="BF67" i="1"/>
  <c r="BA67" i="1"/>
  <c r="BC27" i="1"/>
  <c r="BD27" i="1" s="1"/>
  <c r="BF36" i="1"/>
  <c r="W36" i="1" s="1"/>
  <c r="BA36" i="1"/>
  <c r="AS36" i="1"/>
  <c r="BE36" i="1" s="1"/>
  <c r="BE73" i="1"/>
  <c r="BC177" i="1"/>
  <c r="AS100" i="1"/>
  <c r="BE100" i="1" s="1"/>
  <c r="BA100" i="1"/>
  <c r="BF100" i="1"/>
  <c r="W100" i="1" s="1"/>
  <c r="BC179" i="1"/>
  <c r="BD179" i="1" s="1"/>
  <c r="BC40" i="1"/>
  <c r="AS143" i="1"/>
  <c r="BE143" i="1" s="1"/>
  <c r="BF143" i="1"/>
  <c r="W143" i="1" s="1"/>
  <c r="BA143" i="1"/>
  <c r="AS32" i="1"/>
  <c r="BE32" i="1" s="1"/>
  <c r="BA32" i="1"/>
  <c r="BF32" i="1"/>
  <c r="W32" i="1" s="1"/>
  <c r="BC145" i="1"/>
  <c r="BD145" i="1" s="1"/>
  <c r="AS70" i="1"/>
  <c r="BE70" i="1" s="1"/>
  <c r="BF70" i="1"/>
  <c r="W70" i="1" s="1"/>
  <c r="AS75" i="1"/>
  <c r="BE75" i="1" s="1"/>
  <c r="BF75" i="1"/>
  <c r="BA75" i="1"/>
  <c r="BC23" i="1"/>
  <c r="BD23" i="1" s="1"/>
  <c r="BC66" i="1"/>
  <c r="BD66" i="1" s="1"/>
  <c r="BC150" i="1"/>
  <c r="BD150" i="1" s="1"/>
  <c r="BC45" i="1"/>
  <c r="BD45" i="1" s="1"/>
  <c r="W109" i="1"/>
  <c r="W77" i="1"/>
  <c r="W19" i="1"/>
  <c r="BE19" i="1"/>
  <c r="BE57" i="1" l="1"/>
  <c r="BE141" i="1"/>
  <c r="BE156" i="1"/>
  <c r="BD52" i="1"/>
  <c r="BE52" i="1"/>
  <c r="BD80" i="1"/>
  <c r="BE80" i="1"/>
  <c r="BE110" i="1"/>
  <c r="W110" i="1"/>
  <c r="W79" i="1"/>
  <c r="BE56" i="1"/>
  <c r="BD22" i="1"/>
  <c r="BE22" i="1"/>
  <c r="BE47" i="1"/>
  <c r="BD40" i="1"/>
  <c r="BE40" i="1"/>
  <c r="W165" i="1"/>
  <c r="W113" i="1"/>
  <c r="BE92" i="1"/>
  <c r="BE123" i="1"/>
  <c r="BD25" i="1"/>
  <c r="BE25" i="1"/>
  <c r="BE146" i="1"/>
  <c r="BE165" i="1"/>
  <c r="BE147" i="1"/>
  <c r="BD77" i="1"/>
  <c r="BE77" i="1"/>
  <c r="BE90" i="1"/>
  <c r="BE85" i="1"/>
  <c r="BD85" i="1"/>
  <c r="BE145" i="1"/>
  <c r="BE89" i="1"/>
  <c r="W171" i="1"/>
  <c r="W117" i="1"/>
  <c r="W164" i="1"/>
  <c r="W112" i="1"/>
  <c r="BD39" i="1"/>
  <c r="BE39" i="1"/>
  <c r="BE27" i="1"/>
  <c r="BE126" i="1"/>
  <c r="BE50" i="1"/>
  <c r="BE106" i="1"/>
  <c r="BE91" i="1"/>
  <c r="W96" i="1"/>
  <c r="W67" i="1"/>
  <c r="BD69" i="1"/>
  <c r="BE69" i="1"/>
  <c r="BE137" i="1"/>
  <c r="BE103" i="1"/>
  <c r="W116" i="1"/>
  <c r="W85" i="1"/>
  <c r="W107" i="1"/>
  <c r="W75" i="1"/>
  <c r="BD177" i="1"/>
  <c r="BE177" i="1"/>
  <c r="BD55" i="1"/>
  <c r="BE55" i="1"/>
  <c r="BE150" i="1"/>
  <c r="BE37" i="1"/>
  <c r="BE71" i="1"/>
  <c r="BD166" i="1"/>
  <c r="BE166" i="1"/>
  <c r="BE66" i="1"/>
  <c r="BE31" i="1"/>
  <c r="BE135" i="1"/>
  <c r="BE44" i="1"/>
  <c r="W86" i="1"/>
  <c r="W63" i="1"/>
  <c r="Y41" i="6" s="1" a="1"/>
  <c r="Y41" i="6" s="1"/>
  <c r="BD78" i="1"/>
  <c r="BE78" i="1"/>
  <c r="BD127" i="1"/>
  <c r="BE127" i="1"/>
  <c r="BE45" i="1"/>
  <c r="BE23" i="1"/>
  <c r="W120" i="1"/>
  <c r="W122" i="1"/>
  <c r="BE61" i="1"/>
  <c r="BE181" i="1"/>
  <c r="W87" i="1"/>
  <c r="W64" i="1"/>
  <c r="BE34" i="1"/>
  <c r="BE87" i="1"/>
  <c r="AD41" i="6" a="1"/>
  <c r="AD41" i="6" s="1"/>
  <c r="AH42" i="6" a="1"/>
  <c r="AH42" i="6" s="1"/>
  <c r="AM42" i="6" a="1"/>
  <c r="AM42" i="6" s="1"/>
  <c r="AF43" i="6" a="1"/>
  <c r="AF43" i="6" s="1"/>
  <c r="AK43" i="6" a="1"/>
  <c r="AK43" i="6" s="1"/>
  <c r="AD44" i="6" a="1"/>
  <c r="AD44" i="6" s="1"/>
  <c r="AJ44" i="6" a="1"/>
  <c r="AJ44" i="6" s="1"/>
  <c r="AC45" i="6" a="1"/>
  <c r="AC45" i="6" s="1"/>
  <c r="AM45" i="6" a="1"/>
  <c r="AM45" i="6" s="1"/>
  <c r="AA46" i="6" a="1"/>
  <c r="AA46" i="6" s="1"/>
  <c r="AK46" i="6" a="1"/>
  <c r="AK46" i="6" s="1"/>
  <c r="Z47" i="6" a="1"/>
  <c r="Z47" i="6" s="1"/>
  <c r="AO47" i="6" a="1"/>
  <c r="AO47" i="6" s="1"/>
  <c r="AC48" i="6" a="1"/>
  <c r="AC48" i="6" s="1"/>
  <c r="AH48" i="6" a="1"/>
  <c r="AH48" i="6" s="1"/>
  <c r="AM48" i="6" a="1"/>
  <c r="AM48" i="6" s="1"/>
  <c r="AF49" i="6" a="1"/>
  <c r="AF49" i="6" s="1"/>
  <c r="Z50" i="6" a="1"/>
  <c r="Z50" i="6" s="1"/>
  <c r="AE50" i="6" a="1"/>
  <c r="AE50" i="6" s="1"/>
  <c r="AO50" i="6" a="1"/>
  <c r="AO50" i="6" s="1"/>
  <c r="AC51" i="6" a="1"/>
  <c r="AC51" i="6" s="1"/>
  <c r="AM51" i="6" a="1"/>
  <c r="AM51" i="6" s="1"/>
  <c r="AB52" i="6" a="1"/>
  <c r="AB52" i="6" s="1"/>
  <c r="AL52" i="6" a="1"/>
  <c r="AL52" i="6" s="1"/>
  <c r="AE53" i="6" a="1"/>
  <c r="AE53" i="6" s="1"/>
  <c r="AJ53" i="6" a="1"/>
  <c r="AJ53" i="6" s="1"/>
  <c r="AC54" i="6" a="1"/>
  <c r="AC54" i="6" s="1"/>
  <c r="AI54" i="6" a="1"/>
  <c r="AI54" i="6" s="1"/>
  <c r="AG55" i="6" a="1"/>
  <c r="AG55" i="6" s="1"/>
  <c r="AL55" i="6" a="1"/>
  <c r="AL55" i="6" s="1"/>
  <c r="Z56" i="6" a="1"/>
  <c r="Z56" i="6" s="1"/>
  <c r="AE56" i="6" a="1"/>
  <c r="AE56" i="6" s="1"/>
  <c r="AO56" i="6" a="1"/>
  <c r="AO56" i="6" s="1"/>
  <c r="AI57" i="6" a="1"/>
  <c r="AI57" i="6" s="1"/>
  <c r="AN57" i="6" a="1"/>
  <c r="AN57" i="6" s="1"/>
  <c r="AG58" i="6" a="1"/>
  <c r="AG58" i="6" s="1"/>
  <c r="AL58" i="6" a="1"/>
  <c r="AL58" i="6" s="1"/>
  <c r="AE59" i="6" a="1"/>
  <c r="AE59" i="6" s="1"/>
  <c r="AK59" i="6" a="1"/>
  <c r="AK59" i="6" s="1"/>
  <c r="AD60" i="6" a="1"/>
  <c r="AD60" i="6" s="1"/>
  <c r="AN60" i="6" a="1"/>
  <c r="AN60" i="6" s="1"/>
  <c r="AB61" i="6" a="1"/>
  <c r="AB61" i="6" s="1"/>
  <c r="AK61" i="6" a="1"/>
  <c r="AK61" i="6" s="1"/>
  <c r="E41" i="6" a="1"/>
  <c r="E41" i="6" s="1"/>
  <c r="K41" i="6" a="1"/>
  <c r="K41" i="6" s="1"/>
  <c r="P41" i="6" a="1"/>
  <c r="P41" i="6" s="1"/>
  <c r="G42" i="6" a="1"/>
  <c r="G42" i="6" s="1"/>
  <c r="M42" i="6" a="1"/>
  <c r="M42" i="6" s="1"/>
  <c r="R42" i="6" a="1"/>
  <c r="R42" i="6" s="1"/>
  <c r="X42" i="6" a="1"/>
  <c r="X42" i="6" s="1"/>
  <c r="N43" i="6" a="1"/>
  <c r="N43" i="6" s="1"/>
  <c r="K44" i="6" a="1"/>
  <c r="K44" i="6" s="1"/>
  <c r="U44" i="6" a="1"/>
  <c r="U44" i="6" s="1"/>
  <c r="AE41" i="6" a="1"/>
  <c r="AE41" i="6" s="1"/>
  <c r="AJ41" i="6" a="1"/>
  <c r="AJ41" i="6" s="1"/>
  <c r="AO41" i="6" a="1"/>
  <c r="AO41" i="6" s="1"/>
  <c r="AC42" i="6" a="1"/>
  <c r="AC42" i="6" s="1"/>
  <c r="AA43" i="6" a="1"/>
  <c r="AA43" i="6" s="1"/>
  <c r="AG43" i="6" a="1"/>
  <c r="AG43" i="6" s="1"/>
  <c r="Z44" i="6" a="1"/>
  <c r="Z44" i="6" s="1"/>
  <c r="AE44" i="6" a="1"/>
  <c r="AE44" i="6" s="1"/>
  <c r="AO44" i="6" a="1"/>
  <c r="AO44" i="6" s="1"/>
  <c r="AH45" i="6" a="1"/>
  <c r="AH45" i="6" s="1"/>
  <c r="AN45" i="6" a="1"/>
  <c r="AN45" i="6" s="1"/>
  <c r="AG46" i="6" a="1"/>
  <c r="AG46" i="6" s="1"/>
  <c r="AL46" i="6" a="1"/>
  <c r="AL46" i="6" s="1"/>
  <c r="AE47" i="6" a="1"/>
  <c r="AE47" i="6" s="1"/>
  <c r="AJ47" i="6" a="1"/>
  <c r="AJ47" i="6" s="1"/>
  <c r="AD48" i="6" a="1"/>
  <c r="AD48" i="6" s="1"/>
  <c r="AN48" i="6" a="1"/>
  <c r="AN48" i="6" s="1"/>
  <c r="AB49" i="6" a="1"/>
  <c r="AB49" i="6" s="1"/>
  <c r="AG49" i="6" a="1"/>
  <c r="AG49" i="6" s="1"/>
  <c r="AL49" i="6" a="1"/>
  <c r="AL49" i="6" s="1"/>
  <c r="AJ50" i="6" a="1"/>
  <c r="AJ50" i="6" s="1"/>
  <c r="Y51" i="6" a="1"/>
  <c r="Y51" i="6" s="1"/>
  <c r="AI51" i="6" a="1"/>
  <c r="AI51" i="6" s="1"/>
  <c r="AN51" i="6" a="1"/>
  <c r="AN51" i="6" s="1"/>
  <c r="AG52" i="6" a="1"/>
  <c r="AG52" i="6" s="1"/>
  <c r="Z53" i="6" a="1"/>
  <c r="Z53" i="6" s="1"/>
  <c r="AF53" i="6" a="1"/>
  <c r="AF53" i="6" s="1"/>
  <c r="Y54" i="6" a="1"/>
  <c r="Y54" i="6" s="1"/>
  <c r="AD54" i="6" a="1"/>
  <c r="AD54" i="6" s="1"/>
  <c r="AN54" i="6" a="1"/>
  <c r="AN54" i="6" s="1"/>
  <c r="AB55" i="6" a="1"/>
  <c r="AB55" i="6" s="1"/>
  <c r="AM55" i="6" a="1"/>
  <c r="AM55" i="6" s="1"/>
  <c r="AF56" i="6" a="1"/>
  <c r="AF56" i="6" s="1"/>
  <c r="AK56" i="6" a="1"/>
  <c r="AK56" i="6" s="1"/>
  <c r="Y57" i="6" a="1"/>
  <c r="Y57" i="6" s="1"/>
  <c r="AD57" i="6" a="1"/>
  <c r="AD57" i="6" s="1"/>
  <c r="AB58" i="6" a="1"/>
  <c r="AB58" i="6" s="1"/>
  <c r="AH58" i="6" a="1"/>
  <c r="AH58" i="6" s="1"/>
  <c r="AA59" i="6" a="1"/>
  <c r="AA59" i="6" s="1"/>
  <c r="AF59" i="6" a="1"/>
  <c r="AF59" i="6" s="1"/>
  <c r="Y60" i="6" a="1"/>
  <c r="Y60" i="6" s="1"/>
  <c r="Z41" i="6" a="1"/>
  <c r="Z41" i="6" s="1"/>
  <c r="AF41" i="6" a="1"/>
  <c r="AF41" i="6" s="1"/>
  <c r="AD42" i="6" a="1"/>
  <c r="AD42" i="6" s="1"/>
  <c r="AI42" i="6" a="1"/>
  <c r="AI42" i="6" s="1"/>
  <c r="AN42" i="6" a="1"/>
  <c r="AN42" i="6" s="1"/>
  <c r="AB43" i="6" a="1"/>
  <c r="AB43" i="6" s="1"/>
  <c r="AL43" i="6" a="1"/>
  <c r="AL43" i="6" s="1"/>
  <c r="AF44" i="6" a="1"/>
  <c r="AF44" i="6" s="1"/>
  <c r="AK44" i="6" a="1"/>
  <c r="AK44" i="6" s="1"/>
  <c r="AD45" i="6" a="1"/>
  <c r="AD45" i="6" s="1"/>
  <c r="AI45" i="6" a="1"/>
  <c r="AI45" i="6" s="1"/>
  <c r="AB46" i="6" a="1"/>
  <c r="AB46" i="6" s="1"/>
  <c r="AH46" i="6" a="1"/>
  <c r="AH46" i="6" s="1"/>
  <c r="AA47" i="6" a="1"/>
  <c r="AA47" i="6" s="1"/>
  <c r="AK47" i="6" a="1"/>
  <c r="AK47" i="6" s="1"/>
  <c r="Y48" i="6" a="1"/>
  <c r="Y48" i="6" s="1"/>
  <c r="AI48" i="6" a="1"/>
  <c r="AI48" i="6" s="1"/>
  <c r="AO48" i="6" a="1"/>
  <c r="AO48" i="6" s="1"/>
  <c r="AM49" i="6" a="1"/>
  <c r="AM49" i="6" s="1"/>
  <c r="AA50" i="6" a="1"/>
  <c r="AA50" i="6" s="1"/>
  <c r="AF50" i="6" a="1"/>
  <c r="AF50" i="6" s="1"/>
  <c r="AK50" i="6" a="1"/>
  <c r="AK50" i="6" s="1"/>
  <c r="AD51" i="6" a="1"/>
  <c r="AD51" i="6" s="1"/>
  <c r="AO51" i="6" a="1"/>
  <c r="AO51" i="6" s="1"/>
  <c r="AC52" i="6" a="1"/>
  <c r="AC52" i="6" s="1"/>
  <c r="AM52" i="6" a="1"/>
  <c r="AM52" i="6" s="1"/>
  <c r="AA53" i="6" a="1"/>
  <c r="AA53" i="6" s="1"/>
  <c r="AK53" i="6" a="1"/>
  <c r="AK53" i="6" s="1"/>
  <c r="Z54" i="6" a="1"/>
  <c r="Z54" i="6" s="1"/>
  <c r="AJ54" i="6" a="1"/>
  <c r="AJ54" i="6" s="1"/>
  <c r="AC55" i="6" a="1"/>
  <c r="AC55" i="6" s="1"/>
  <c r="AH55" i="6" a="1"/>
  <c r="AH55" i="6" s="1"/>
  <c r="AA56" i="6" a="1"/>
  <c r="AA56" i="6" s="1"/>
  <c r="AG56" i="6" a="1"/>
  <c r="AG56" i="6" s="1"/>
  <c r="AE57" i="6" a="1"/>
  <c r="AE57" i="6" s="1"/>
  <c r="AJ57" i="6" a="1"/>
  <c r="AJ57" i="6" s="1"/>
  <c r="AO57" i="6" a="1"/>
  <c r="AO57" i="6" s="1"/>
  <c r="AC58" i="6" a="1"/>
  <c r="AC58" i="6" s="1"/>
  <c r="AM58" i="6" a="1"/>
  <c r="AM58" i="6" s="1"/>
  <c r="AG59" i="6" a="1"/>
  <c r="AG59" i="6" s="1"/>
  <c r="AL59" i="6" a="1"/>
  <c r="AL59" i="6" s="1"/>
  <c r="AE60" i="6" a="1"/>
  <c r="AE60" i="6" s="1"/>
  <c r="AJ60" i="6" a="1"/>
  <c r="AJ60" i="6" s="1"/>
  <c r="AC61" i="6" a="1"/>
  <c r="AC61" i="6" s="1"/>
  <c r="AL61" i="6" a="1"/>
  <c r="AL61" i="6" s="1"/>
  <c r="G41" i="6" a="1"/>
  <c r="G41" i="6" s="1"/>
  <c r="Q41" i="6" a="1"/>
  <c r="Q41" i="6" s="1"/>
  <c r="W41" i="6" a="1"/>
  <c r="W41" i="6" s="1"/>
  <c r="H42" i="6" a="1"/>
  <c r="H42" i="6" s="1"/>
  <c r="AA41" i="6" a="1"/>
  <c r="AA41" i="6" s="1"/>
  <c r="AK41" i="6" a="1"/>
  <c r="AK41" i="6" s="1"/>
  <c r="Y42" i="6" a="1"/>
  <c r="Y42" i="6" s="1"/>
  <c r="AJ42" i="6" a="1"/>
  <c r="AJ42" i="6" s="1"/>
  <c r="AC43" i="6" a="1"/>
  <c r="AC43" i="6" s="1"/>
  <c r="AH43" i="6" a="1"/>
  <c r="AH43" i="6" s="1"/>
  <c r="AM43" i="6" a="1"/>
  <c r="AM43" i="6" s="1"/>
  <c r="AA44" i="6" a="1"/>
  <c r="AA44" i="6" s="1"/>
  <c r="Y45" i="6" a="1"/>
  <c r="Y45" i="6" s="1"/>
  <c r="AE45" i="6" a="1"/>
  <c r="AE45" i="6" s="1"/>
  <c r="AO45" i="6" a="1"/>
  <c r="AO45" i="6" s="1"/>
  <c r="AC46" i="6" a="1"/>
  <c r="AC46" i="6" s="1"/>
  <c r="AM46" i="6" a="1"/>
  <c r="AM46" i="6" s="1"/>
  <c r="AF47" i="6" a="1"/>
  <c r="AF47" i="6" s="1"/>
  <c r="AL47" i="6" a="1"/>
  <c r="AL47" i="6" s="1"/>
  <c r="AE48" i="6" a="1"/>
  <c r="AE48" i="6" s="1"/>
  <c r="AJ48" i="6" a="1"/>
  <c r="AJ48" i="6" s="1"/>
  <c r="AC49" i="6" a="1"/>
  <c r="AC49" i="6" s="1"/>
  <c r="AH49" i="6" a="1"/>
  <c r="AH49" i="6" s="1"/>
  <c r="AB50" i="6" a="1"/>
  <c r="AB50" i="6" s="1"/>
  <c r="AL50" i="6" a="1"/>
  <c r="AL50" i="6" s="1"/>
  <c r="Z51" i="6" a="1"/>
  <c r="Z51" i="6" s="1"/>
  <c r="AE51" i="6" a="1"/>
  <c r="AE51" i="6" s="1"/>
  <c r="AJ51" i="6" a="1"/>
  <c r="AJ51" i="6" s="1"/>
  <c r="AH52" i="6" a="1"/>
  <c r="AH52" i="6" s="1"/>
  <c r="AN52" i="6" a="1"/>
  <c r="AN52" i="6" s="1"/>
  <c r="AG53" i="6" a="1"/>
  <c r="AG53" i="6" s="1"/>
  <c r="AL53" i="6" a="1"/>
  <c r="AL53" i="6" s="1"/>
  <c r="AE54" i="6" a="1"/>
  <c r="AE54" i="6" s="1"/>
  <c r="AO54" i="6" a="1"/>
  <c r="AO54" i="6" s="1"/>
  <c r="AD55" i="6" a="1"/>
  <c r="AD55" i="6" s="1"/>
  <c r="AN55" i="6" a="1"/>
  <c r="AN55" i="6" s="1"/>
  <c r="AB56" i="6" a="1"/>
  <c r="AB56" i="6" s="1"/>
  <c r="AL56" i="6" a="1"/>
  <c r="AL56" i="6" s="1"/>
  <c r="Z57" i="6" a="1"/>
  <c r="Z57" i="6" s="1"/>
  <c r="AK57" i="6" a="1"/>
  <c r="AK57" i="6" s="1"/>
  <c r="AD58" i="6" a="1"/>
  <c r="AD58" i="6" s="1"/>
  <c r="AI58" i="6" a="1"/>
  <c r="AI58" i="6" s="1"/>
  <c r="AN58" i="6" a="1"/>
  <c r="AN58" i="6" s="1"/>
  <c r="AB59" i="6" a="1"/>
  <c r="AB59" i="6" s="1"/>
  <c r="Z60" i="6" a="1"/>
  <c r="Z60" i="6" s="1"/>
  <c r="AF60" i="6" a="1"/>
  <c r="AF60" i="6" s="1"/>
  <c r="Y61" i="6" a="1"/>
  <c r="Y61" i="6" s="1"/>
  <c r="AH61" i="6" a="1"/>
  <c r="AH61" i="6" s="1"/>
  <c r="M41" i="6" a="1"/>
  <c r="M41" i="6" s="1"/>
  <c r="X41" i="6" a="1"/>
  <c r="X41" i="6" s="1"/>
  <c r="I42" i="6" a="1"/>
  <c r="I42" i="6" s="1"/>
  <c r="O42" i="6" a="1"/>
  <c r="O42" i="6" s="1"/>
  <c r="T42" i="6" a="1"/>
  <c r="T42" i="6" s="1"/>
  <c r="AG41" i="6" a="1"/>
  <c r="AG41" i="6" s="1"/>
  <c r="Z42" i="6" a="1"/>
  <c r="Z42" i="6" s="1"/>
  <c r="AE42" i="6" a="1"/>
  <c r="AE42" i="6" s="1"/>
  <c r="AO42" i="6" a="1"/>
  <c r="AO42" i="6" s="1"/>
  <c r="AD43" i="6" a="1"/>
  <c r="AD43" i="6" s="1"/>
  <c r="AB44" i="6" a="1"/>
  <c r="AB44" i="6" s="1"/>
  <c r="AG44" i="6" a="1"/>
  <c r="AG44" i="6" s="1"/>
  <c r="AL44" i="6" a="1"/>
  <c r="AL44" i="6" s="1"/>
  <c r="Z45" i="6" a="1"/>
  <c r="Z45" i="6" s="1"/>
  <c r="AJ45" i="6" a="1"/>
  <c r="AJ45" i="6" s="1"/>
  <c r="AD46" i="6" a="1"/>
  <c r="AD46" i="6" s="1"/>
  <c r="AI46" i="6" a="1"/>
  <c r="AI46" i="6" s="1"/>
  <c r="AB47" i="6" a="1"/>
  <c r="AB47" i="6" s="1"/>
  <c r="AG47" i="6" a="1"/>
  <c r="AG47" i="6" s="1"/>
  <c r="Z48" i="6" a="1"/>
  <c r="Z48" i="6" s="1"/>
  <c r="AF48" i="6" a="1"/>
  <c r="AF48" i="6" s="1"/>
  <c r="Y49" i="6" a="1"/>
  <c r="Y49" i="6" s="1"/>
  <c r="AB41" i="6" a="1"/>
  <c r="AB41" i="6" s="1"/>
  <c r="AL42" i="6" a="1"/>
  <c r="AL42" i="6" s="1"/>
  <c r="AI43" i="6" a="1"/>
  <c r="AI43" i="6" s="1"/>
  <c r="AB45" i="6" a="1"/>
  <c r="AB45" i="6" s="1"/>
  <c r="Y46" i="6" a="1"/>
  <c r="Y46" i="6" s="1"/>
  <c r="AH47" i="6" a="1"/>
  <c r="AH47" i="6" s="1"/>
  <c r="AA49" i="6" a="1"/>
  <c r="AA49" i="6" s="1"/>
  <c r="AK49" i="6" a="1"/>
  <c r="AK49" i="6" s="1"/>
  <c r="AH51" i="6" a="1"/>
  <c r="AH51" i="6" s="1"/>
  <c r="AA52" i="6" a="1"/>
  <c r="AA52" i="6" s="1"/>
  <c r="AD53" i="6" a="1"/>
  <c r="AD53" i="6" s="1"/>
  <c r="AO53" i="6" a="1"/>
  <c r="AO53" i="6" s="1"/>
  <c r="AH54" i="6" a="1"/>
  <c r="AH54" i="6" s="1"/>
  <c r="AA55" i="6" a="1"/>
  <c r="AA55" i="6" s="1"/>
  <c r="AD56" i="6" a="1"/>
  <c r="AD56" i="6" s="1"/>
  <c r="AH57" i="6" a="1"/>
  <c r="AH57" i="6" s="1"/>
  <c r="AA58" i="6" a="1"/>
  <c r="AA58" i="6" s="1"/>
  <c r="AK58" i="6" a="1"/>
  <c r="AK58" i="6" s="1"/>
  <c r="AO59" i="6" a="1"/>
  <c r="AO59" i="6" s="1"/>
  <c r="AF61" i="6" a="1"/>
  <c r="AF61" i="6" s="1"/>
  <c r="AN61" i="6" a="1"/>
  <c r="AN61" i="6" s="1"/>
  <c r="L41" i="6" a="1"/>
  <c r="L41" i="6" s="1"/>
  <c r="T41" i="6" a="1"/>
  <c r="T41" i="6" s="1"/>
  <c r="J42" i="6" a="1"/>
  <c r="J42" i="6" s="1"/>
  <c r="W43" i="6" a="1"/>
  <c r="W43" i="6" s="1"/>
  <c r="O44" i="6" a="1"/>
  <c r="O44" i="6" s="1"/>
  <c r="G45" i="6" a="1"/>
  <c r="G45" i="6" s="1"/>
  <c r="L45" i="6" a="1"/>
  <c r="L45" i="6" s="1"/>
  <c r="R45" i="6" a="1"/>
  <c r="R45" i="6" s="1"/>
  <c r="I46" i="6" a="1"/>
  <c r="I46" i="6" s="1"/>
  <c r="T46" i="6" a="1"/>
  <c r="T46" i="6" s="1"/>
  <c r="E47" i="6" a="1"/>
  <c r="E47" i="6" s="1"/>
  <c r="K47" i="6" a="1"/>
  <c r="K47" i="6" s="1"/>
  <c r="P47" i="6" a="1"/>
  <c r="P47" i="6" s="1"/>
  <c r="F48" i="6" a="1"/>
  <c r="F48" i="6" s="1"/>
  <c r="R48" i="6" a="1"/>
  <c r="R48" i="6" s="1"/>
  <c r="N49" i="6" a="1"/>
  <c r="N49" i="6" s="1"/>
  <c r="S49" i="6" a="1"/>
  <c r="S49" i="6" s="1"/>
  <c r="E50" i="6" a="1"/>
  <c r="E50" i="6" s="1"/>
  <c r="K50" i="6" a="1"/>
  <c r="K50" i="6" s="1"/>
  <c r="P50" i="6" a="1"/>
  <c r="P50" i="6" s="1"/>
  <c r="U50" i="6" a="1"/>
  <c r="U50" i="6" s="1"/>
  <c r="G51" i="6" a="1"/>
  <c r="G51" i="6" s="1"/>
  <c r="L51" i="6" a="1"/>
  <c r="L51" i="6" s="1"/>
  <c r="N52" i="6" a="1"/>
  <c r="N52" i="6" s="1"/>
  <c r="E53" i="6" a="1"/>
  <c r="E53" i="6" s="1"/>
  <c r="J53" i="6" a="1"/>
  <c r="J53" i="6" s="1"/>
  <c r="P53" i="6" a="1"/>
  <c r="P53" i="6" s="1"/>
  <c r="U53" i="6" a="1"/>
  <c r="U53" i="6" s="1"/>
  <c r="G54" i="6" a="1"/>
  <c r="G54" i="6" s="1"/>
  <c r="L54" i="6" a="1"/>
  <c r="L54" i="6" s="1"/>
  <c r="W54" i="6" a="1"/>
  <c r="W54" i="6" s="1"/>
  <c r="I55" i="6" a="1"/>
  <c r="I55" i="6" s="1"/>
  <c r="N55" i="6" a="1"/>
  <c r="N55" i="6" s="1"/>
  <c r="T55" i="6" a="1"/>
  <c r="T55" i="6" s="1"/>
  <c r="J56" i="6" a="1"/>
  <c r="J56" i="6" s="1"/>
  <c r="AA42" i="6" a="1"/>
  <c r="AA42" i="6" s="1"/>
  <c r="AH44" i="6" a="1"/>
  <c r="AH44" i="6" s="1"/>
  <c r="Z46" i="6" a="1"/>
  <c r="Z46" i="6" s="1"/>
  <c r="AN46" i="6" a="1"/>
  <c r="AN46" i="6" s="1"/>
  <c r="AI47" i="6" a="1"/>
  <c r="AI47" i="6" s="1"/>
  <c r="AG48" i="6" a="1"/>
  <c r="AG48" i="6" s="1"/>
  <c r="AN49" i="6" a="1"/>
  <c r="AN49" i="6" s="1"/>
  <c r="AG50" i="6" a="1"/>
  <c r="AG50" i="6" s="1"/>
  <c r="AK51" i="6" a="1"/>
  <c r="AK51" i="6" s="1"/>
  <c r="AD52" i="6" a="1"/>
  <c r="AD52" i="6" s="1"/>
  <c r="AA54" i="6" a="1"/>
  <c r="AA54" i="6" s="1"/>
  <c r="AK54" i="6" a="1"/>
  <c r="AK54" i="6" s="1"/>
  <c r="AO55" i="6" a="1"/>
  <c r="AO55" i="6" s="1"/>
  <c r="AH56" i="6" a="1"/>
  <c r="AH56" i="6" s="1"/>
  <c r="AA57" i="6" a="1"/>
  <c r="AA57" i="6" s="1"/>
  <c r="AE58" i="6" a="1"/>
  <c r="AE58" i="6" s="1"/>
  <c r="AH59" i="6" a="1"/>
  <c r="AH59" i="6" s="1"/>
  <c r="AA60" i="6" a="1"/>
  <c r="AA60" i="6" s="1"/>
  <c r="AH60" i="6" a="1"/>
  <c r="AH60" i="6" s="1"/>
  <c r="Z61" i="6" a="1"/>
  <c r="Z61" i="6" s="1"/>
  <c r="AG61" i="6" a="1"/>
  <c r="AG61" i="6" s="1"/>
  <c r="U41" i="6" a="1"/>
  <c r="U41" i="6" s="1"/>
  <c r="K42" i="6" a="1"/>
  <c r="K42" i="6" s="1"/>
  <c r="Q42" i="6" a="1"/>
  <c r="Q42" i="6" s="1"/>
  <c r="E43" i="6" a="1"/>
  <c r="E43" i="6" s="1"/>
  <c r="J43" i="6" a="1"/>
  <c r="J43" i="6" s="1"/>
  <c r="Q43" i="6" a="1"/>
  <c r="Q43" i="6" s="1"/>
  <c r="I44" i="6" a="1"/>
  <c r="I44" i="6" s="1"/>
  <c r="P44" i="6" a="1"/>
  <c r="P44" i="6" s="1"/>
  <c r="H45" i="6" a="1"/>
  <c r="H45" i="6" s="1"/>
  <c r="M45" i="6" a="1"/>
  <c r="M45" i="6" s="1"/>
  <c r="S45" i="6" a="1"/>
  <c r="S45" i="6" s="1"/>
  <c r="X45" i="6" a="1"/>
  <c r="X45" i="6" s="1"/>
  <c r="N46" i="6" a="1"/>
  <c r="N46" i="6" s="1"/>
  <c r="F47" i="6" a="1"/>
  <c r="F47" i="6" s="1"/>
  <c r="V47" i="6" a="1"/>
  <c r="V47" i="6" s="1"/>
  <c r="G48" i="6" a="1"/>
  <c r="G48" i="6" s="1"/>
  <c r="M48" i="6" a="1"/>
  <c r="M48" i="6" s="1"/>
  <c r="S48" i="6" a="1"/>
  <c r="S48" i="6" s="1"/>
  <c r="X48" i="6" a="1"/>
  <c r="X48" i="6" s="1"/>
  <c r="I49" i="6" a="1"/>
  <c r="I49" i="6" s="1"/>
  <c r="O49" i="6" a="1"/>
  <c r="O49" i="6" s="1"/>
  <c r="T49" i="6" a="1"/>
  <c r="T49" i="6" s="1"/>
  <c r="V50" i="6" a="1"/>
  <c r="V50" i="6" s="1"/>
  <c r="M51" i="6" a="1"/>
  <c r="M51" i="6" s="1"/>
  <c r="R51" i="6" a="1"/>
  <c r="R51" i="6" s="1"/>
  <c r="X51" i="6" a="1"/>
  <c r="X51" i="6" s="1"/>
  <c r="I52" i="6" a="1"/>
  <c r="I52" i="6" s="1"/>
  <c r="O52" i="6" a="1"/>
  <c r="O52" i="6" s="1"/>
  <c r="T52" i="6" a="1"/>
  <c r="T52" i="6" s="1"/>
  <c r="K53" i="6" a="1"/>
  <c r="K53" i="6" s="1"/>
  <c r="Q53" i="6" a="1"/>
  <c r="Q53" i="6" s="1"/>
  <c r="V53" i="6" a="1"/>
  <c r="V53" i="6" s="1"/>
  <c r="H54" i="6" a="1"/>
  <c r="H54" i="6" s="1"/>
  <c r="R54" i="6" a="1"/>
  <c r="R54" i="6" s="1"/>
  <c r="O55" i="6" a="1"/>
  <c r="O55" i="6" s="1"/>
  <c r="E56" i="6" a="1"/>
  <c r="E56" i="6" s="1"/>
  <c r="AC41" i="6" a="1"/>
  <c r="AC41" i="6" s="1"/>
  <c r="Y43" i="6" a="1"/>
  <c r="Y43" i="6" s="1"/>
  <c r="AJ43" i="6" a="1"/>
  <c r="AJ43" i="6" s="1"/>
  <c r="AF45" i="6" a="1"/>
  <c r="AF45" i="6" s="1"/>
  <c r="AO46" i="6" a="1"/>
  <c r="AO46" i="6" s="1"/>
  <c r="AM47" i="6" a="1"/>
  <c r="AM47" i="6" s="1"/>
  <c r="AD49" i="6" a="1"/>
  <c r="AD49" i="6" s="1"/>
  <c r="AH50" i="6" a="1"/>
  <c r="AH50" i="6" s="1"/>
  <c r="AA51" i="6" a="1"/>
  <c r="AA51" i="6" s="1"/>
  <c r="AO52" i="6" a="1"/>
  <c r="AO52" i="6" s="1"/>
  <c r="AH53" i="6" a="1"/>
  <c r="AH53" i="6" s="1"/>
  <c r="AL54" i="6" a="1"/>
  <c r="AL54" i="6" s="1"/>
  <c r="AE55" i="6" a="1"/>
  <c r="AE55" i="6" s="1"/>
  <c r="AB57" i="6" a="1"/>
  <c r="AB57" i="6" s="1"/>
  <c r="AL57" i="6" a="1"/>
  <c r="AL57" i="6" s="1"/>
  <c r="AO58" i="6" a="1"/>
  <c r="AO58" i="6" s="1"/>
  <c r="AI59" i="6" a="1"/>
  <c r="AI59" i="6" s="1"/>
  <c r="AB60" i="6" a="1"/>
  <c r="AB60" i="6" s="1"/>
  <c r="AI60" i="6" a="1"/>
  <c r="AI60" i="6" s="1"/>
  <c r="AO61" i="6" a="1"/>
  <c r="AO61" i="6" s="1"/>
  <c r="N41" i="6" a="1"/>
  <c r="N41" i="6" s="1"/>
  <c r="V41" i="6" a="1"/>
  <c r="V41" i="6" s="1"/>
  <c r="S42" i="6" a="1"/>
  <c r="S42" i="6" s="1"/>
  <c r="K43" i="6" a="1"/>
  <c r="K43" i="6" s="1"/>
  <c r="X43" i="6" a="1"/>
  <c r="X43" i="6" s="1"/>
  <c r="J44" i="6" a="1"/>
  <c r="J44" i="6" s="1"/>
  <c r="Q44" i="6" a="1"/>
  <c r="Q44" i="6" s="1"/>
  <c r="V44" i="6" a="1"/>
  <c r="V44" i="6" s="1"/>
  <c r="N45" i="6" a="1"/>
  <c r="N45" i="6" s="1"/>
  <c r="J46" i="6" a="1"/>
  <c r="J46" i="6" s="1"/>
  <c r="O46" i="6" a="1"/>
  <c r="O46" i="6" s="1"/>
  <c r="U46" i="6" a="1"/>
  <c r="U46" i="6" s="1"/>
  <c r="G47" i="6" a="1"/>
  <c r="G47" i="6" s="1"/>
  <c r="L47" i="6" a="1"/>
  <c r="L47" i="6" s="1"/>
  <c r="Q47" i="6" a="1"/>
  <c r="Q47" i="6" s="1"/>
  <c r="W47" i="6" a="1"/>
  <c r="W47" i="6" s="1"/>
  <c r="H48" i="6" a="1"/>
  <c r="H48" i="6" s="1"/>
  <c r="J49" i="6" a="1"/>
  <c r="J49" i="6" s="1"/>
  <c r="U49" i="6" a="1"/>
  <c r="U49" i="6" s="1"/>
  <c r="F50" i="6" a="1"/>
  <c r="F50" i="6" s="1"/>
  <c r="L50" i="6" a="1"/>
  <c r="L50" i="6" s="1"/>
  <c r="Q50" i="6" a="1"/>
  <c r="Q50" i="6" s="1"/>
  <c r="W50" i="6" a="1"/>
  <c r="W50" i="6" s="1"/>
  <c r="H51" i="6" a="1"/>
  <c r="H51" i="6" s="1"/>
  <c r="S51" i="6" a="1"/>
  <c r="S51" i="6" s="1"/>
  <c r="E52" i="6" a="1"/>
  <c r="E52" i="6" s="1"/>
  <c r="AB42" i="6" a="1"/>
  <c r="AB42" i="6" s="1"/>
  <c r="AN43" i="6" a="1"/>
  <c r="AN43" i="6" s="1"/>
  <c r="AI44" i="6" a="1"/>
  <c r="AI44" i="6" s="1"/>
  <c r="Y47" i="6" a="1"/>
  <c r="Y47" i="6" s="1"/>
  <c r="AK48" i="6" a="1"/>
  <c r="AK48" i="6" s="1"/>
  <c r="AE49" i="6" a="1"/>
  <c r="AE49" i="6" s="1"/>
  <c r="AO49" i="6" a="1"/>
  <c r="AO49" i="6" s="1"/>
  <c r="AL51" i="6" a="1"/>
  <c r="AL51" i="6" s="1"/>
  <c r="AE52" i="6" a="1"/>
  <c r="AE52" i="6" s="1"/>
  <c r="AI53" i="6" a="1"/>
  <c r="AI53" i="6" s="1"/>
  <c r="AB54" i="6" a="1"/>
  <c r="AB54" i="6" s="1"/>
  <c r="Y56" i="6" a="1"/>
  <c r="Y56" i="6" s="1"/>
  <c r="AI56" i="6" a="1"/>
  <c r="AI56" i="6" s="1"/>
  <c r="AM57" i="6" a="1"/>
  <c r="AM57" i="6" s="1"/>
  <c r="AF58" i="6" a="1"/>
  <c r="AF58" i="6" s="1"/>
  <c r="Y59" i="6" a="1"/>
  <c r="Y59" i="6" s="1"/>
  <c r="AC60" i="6" a="1"/>
  <c r="AC60" i="6" s="1"/>
  <c r="AK60" i="6" a="1"/>
  <c r="AK60" i="6" s="1"/>
  <c r="AA61" i="6" a="1"/>
  <c r="AA61" i="6" s="1"/>
  <c r="AI61" i="6" a="1"/>
  <c r="AI61" i="6" s="1"/>
  <c r="F41" i="6" a="1"/>
  <c r="F41" i="6" s="1"/>
  <c r="O41" i="6" a="1"/>
  <c r="O41" i="6" s="1"/>
  <c r="L42" i="6" a="1"/>
  <c r="L42" i="6" s="1"/>
  <c r="F43" i="6" a="1"/>
  <c r="F43" i="6" s="1"/>
  <c r="L43" i="6" a="1"/>
  <c r="L43" i="6" s="1"/>
  <c r="R43" i="6" a="1"/>
  <c r="R43" i="6" s="1"/>
  <c r="E44" i="6" a="1"/>
  <c r="E44" i="6" s="1"/>
  <c r="W44" i="6" a="1"/>
  <c r="W44" i="6" s="1"/>
  <c r="I45" i="6" a="1"/>
  <c r="I45" i="6" s="1"/>
  <c r="O45" i="6" a="1"/>
  <c r="O45" i="6" s="1"/>
  <c r="T45" i="6" a="1"/>
  <c r="T45" i="6" s="1"/>
  <c r="E46" i="6" a="1"/>
  <c r="E46" i="6" s="1"/>
  <c r="K46" i="6" a="1"/>
  <c r="K46" i="6" s="1"/>
  <c r="P46" i="6" a="1"/>
  <c r="P46" i="6" s="1"/>
  <c r="R47" i="6" a="1"/>
  <c r="R47" i="6" s="1"/>
  <c r="I48" i="6" a="1"/>
  <c r="I48" i="6" s="1"/>
  <c r="N48" i="6" a="1"/>
  <c r="N48" i="6" s="1"/>
  <c r="T48" i="6" a="1"/>
  <c r="T48" i="6" s="1"/>
  <c r="E49" i="6" a="1"/>
  <c r="E49" i="6" s="1"/>
  <c r="K49" i="6" a="1"/>
  <c r="K49" i="6" s="1"/>
  <c r="P49" i="6" a="1"/>
  <c r="P49" i="6" s="1"/>
  <c r="G50" i="6" a="1"/>
  <c r="G50" i="6" s="1"/>
  <c r="M50" i="6" a="1"/>
  <c r="M50" i="6" s="1"/>
  <c r="R50" i="6" a="1"/>
  <c r="R50" i="6" s="1"/>
  <c r="X50" i="6" a="1"/>
  <c r="X50" i="6" s="1"/>
  <c r="N51" i="6" a="1"/>
  <c r="N51" i="6" s="1"/>
  <c r="K52" i="6" a="1"/>
  <c r="K52" i="6" s="1"/>
  <c r="U52" i="6" a="1"/>
  <c r="U52" i="6" s="1"/>
  <c r="G53" i="6" a="1"/>
  <c r="G53" i="6" s="1"/>
  <c r="L53" i="6" a="1"/>
  <c r="L53" i="6" s="1"/>
  <c r="R53" i="6" a="1"/>
  <c r="R53" i="6" s="1"/>
  <c r="I54" i="6" a="1"/>
  <c r="I54" i="6" s="1"/>
  <c r="T54" i="6" a="1"/>
  <c r="T54" i="6" s="1"/>
  <c r="E55" i="6" a="1"/>
  <c r="E55" i="6" s="1"/>
  <c r="K55" i="6" a="1"/>
  <c r="K55" i="6" s="1"/>
  <c r="P55" i="6" a="1"/>
  <c r="P55" i="6" s="1"/>
  <c r="F56" i="6" a="1"/>
  <c r="F56" i="6" s="1"/>
  <c r="AH41" i="6" a="1"/>
  <c r="AH41" i="6" s="1"/>
  <c r="Z43" i="6" a="1"/>
  <c r="Z43" i="6" s="1"/>
  <c r="AE46" i="6" a="1"/>
  <c r="AE46" i="6" s="1"/>
  <c r="AN47" i="6" a="1"/>
  <c r="AN47" i="6" s="1"/>
  <c r="AI50" i="6" a="1"/>
  <c r="AI50" i="6" s="1"/>
  <c r="Y53" i="6" a="1"/>
  <c r="Y53" i="6" s="1"/>
  <c r="AF55" i="6" a="1"/>
  <c r="AF55" i="6" s="1"/>
  <c r="AJ56" i="6" a="1"/>
  <c r="AJ56" i="6" s="1"/>
  <c r="Z59" i="6" a="1"/>
  <c r="Z59" i="6" s="1"/>
  <c r="H41" i="6" a="1"/>
  <c r="H41" i="6" s="1"/>
  <c r="E42" i="6" a="1"/>
  <c r="E42" i="6" s="1"/>
  <c r="M43" i="6" a="1"/>
  <c r="M43" i="6" s="1"/>
  <c r="F44" i="6" a="1"/>
  <c r="F44" i="6" s="1"/>
  <c r="R44" i="6" a="1"/>
  <c r="R44" i="6" s="1"/>
  <c r="V46" i="6" a="1"/>
  <c r="V46" i="6" s="1"/>
  <c r="M47" i="6" a="1"/>
  <c r="M47" i="6" s="1"/>
  <c r="X47" i="6" a="1"/>
  <c r="X47" i="6" s="1"/>
  <c r="O48" i="6" a="1"/>
  <c r="O48" i="6" s="1"/>
  <c r="F49" i="6" a="1"/>
  <c r="F49" i="6" s="1"/>
  <c r="S50" i="6" a="1"/>
  <c r="S50" i="6" s="1"/>
  <c r="I51" i="6" a="1"/>
  <c r="I51" i="6" s="1"/>
  <c r="T51" i="6" a="1"/>
  <c r="T51" i="6" s="1"/>
  <c r="J52" i="6" a="1"/>
  <c r="J52" i="6" s="1"/>
  <c r="R52" i="6" a="1"/>
  <c r="R52" i="6" s="1"/>
  <c r="H53" i="6" a="1"/>
  <c r="H53" i="6" s="1"/>
  <c r="M54" i="6" a="1"/>
  <c r="M54" i="6" s="1"/>
  <c r="S55" i="6" a="1"/>
  <c r="S55" i="6" s="1"/>
  <c r="H56" i="6" a="1"/>
  <c r="H56" i="6" s="1"/>
  <c r="N56" i="6" a="1"/>
  <c r="N56" i="6" s="1"/>
  <c r="T56" i="6" a="1"/>
  <c r="T56" i="6" s="1"/>
  <c r="E57" i="6" a="1"/>
  <c r="E57" i="6" s="1"/>
  <c r="K57" i="6" a="1"/>
  <c r="K57" i="6" s="1"/>
  <c r="P57" i="6" a="1"/>
  <c r="P57" i="6" s="1"/>
  <c r="L58" i="6" a="1"/>
  <c r="L58" i="6" s="1"/>
  <c r="R58" i="6" a="1"/>
  <c r="R58" i="6" s="1"/>
  <c r="X58" i="6" a="1"/>
  <c r="X58" i="6" s="1"/>
  <c r="Q59" i="6" a="1"/>
  <c r="Q59" i="6" s="1"/>
  <c r="W59" i="6" a="1"/>
  <c r="W59" i="6" s="1"/>
  <c r="J60" i="6" a="1"/>
  <c r="J60" i="6" s="1"/>
  <c r="P60" i="6" a="1"/>
  <c r="P60" i="6" s="1"/>
  <c r="I61" i="6" a="1"/>
  <c r="I61" i="6" s="1"/>
  <c r="O61" i="6" a="1"/>
  <c r="O61" i="6" s="1"/>
  <c r="V61" i="6" a="1"/>
  <c r="V61" i="6" s="1"/>
  <c r="D54" i="6" a="1"/>
  <c r="D54" i="6" s="1"/>
  <c r="D42" i="6" a="1"/>
  <c r="D42" i="6" s="1"/>
  <c r="AI41" i="6" a="1"/>
  <c r="AI41" i="6" s="1"/>
  <c r="AM44" i="6" a="1"/>
  <c r="AM44" i="6" s="1"/>
  <c r="AF46" i="6" a="1"/>
  <c r="AF46" i="6" s="1"/>
  <c r="AA48" i="6" a="1"/>
  <c r="AA48" i="6" s="1"/>
  <c r="AI49" i="6" a="1"/>
  <c r="AI49" i="6" s="1"/>
  <c r="AM50" i="6" a="1"/>
  <c r="AM50" i="6" s="1"/>
  <c r="Y52" i="6" a="1"/>
  <c r="Y52" i="6" s="1"/>
  <c r="AB53" i="6" a="1"/>
  <c r="AB53" i="6" s="1"/>
  <c r="AI55" i="6" a="1"/>
  <c r="AI55" i="6" s="1"/>
  <c r="Y58" i="6" a="1"/>
  <c r="Y58" i="6" s="1"/>
  <c r="AC59" i="6" a="1"/>
  <c r="AC59" i="6" s="1"/>
  <c r="AD61" i="6" a="1"/>
  <c r="AD61" i="6" s="1"/>
  <c r="U42" i="6" a="1"/>
  <c r="U42" i="6" s="1"/>
  <c r="G44" i="6" a="1"/>
  <c r="G44" i="6" s="1"/>
  <c r="S44" i="6" a="1"/>
  <c r="S44" i="6" s="1"/>
  <c r="J45" i="6" a="1"/>
  <c r="J45" i="6" s="1"/>
  <c r="U45" i="6" a="1"/>
  <c r="U45" i="6" s="1"/>
  <c r="L46" i="6" a="1"/>
  <c r="L46" i="6" s="1"/>
  <c r="W46" i="6" a="1"/>
  <c r="W46" i="6" s="1"/>
  <c r="N47" i="6" a="1"/>
  <c r="N47" i="6" s="1"/>
  <c r="G49" i="6" a="1"/>
  <c r="G49" i="6" s="1"/>
  <c r="Q49" i="6" a="1"/>
  <c r="Q49" i="6" s="1"/>
  <c r="H50" i="6" a="1"/>
  <c r="H50" i="6" s="1"/>
  <c r="U51" i="6" a="1"/>
  <c r="U51" i="6" s="1"/>
  <c r="S52" i="6" a="1"/>
  <c r="S52" i="6" s="1"/>
  <c r="E54" i="6" a="1"/>
  <c r="E54" i="6" s="1"/>
  <c r="N54" i="6" a="1"/>
  <c r="N54" i="6" s="1"/>
  <c r="V54" i="6" a="1"/>
  <c r="V54" i="6" s="1"/>
  <c r="L55" i="6" a="1"/>
  <c r="L55" i="6" s="1"/>
  <c r="U55" i="6" a="1"/>
  <c r="U55" i="6" s="1"/>
  <c r="I56" i="6" a="1"/>
  <c r="I56" i="6" s="1"/>
  <c r="O56" i="6" a="1"/>
  <c r="O56" i="6" s="1"/>
  <c r="U56" i="6" a="1"/>
  <c r="U56" i="6" s="1"/>
  <c r="F57" i="6" a="1"/>
  <c r="F57" i="6" s="1"/>
  <c r="L57" i="6" a="1"/>
  <c r="L57" i="6" s="1"/>
  <c r="V57" i="6" a="1"/>
  <c r="V57" i="6" s="1"/>
  <c r="G58" i="6" a="1"/>
  <c r="G58" i="6" s="1"/>
  <c r="E59" i="6" a="1"/>
  <c r="E59" i="6" s="1"/>
  <c r="K59" i="6" a="1"/>
  <c r="K59" i="6" s="1"/>
  <c r="R59" i="6" a="1"/>
  <c r="R59" i="6" s="1"/>
  <c r="X59" i="6" a="1"/>
  <c r="X59" i="6" s="1"/>
  <c r="Q60" i="6" a="1"/>
  <c r="Q60" i="6" s="1"/>
  <c r="W60" i="6" a="1"/>
  <c r="W60" i="6" s="1"/>
  <c r="J61" i="6" a="1"/>
  <c r="J61" i="6" s="1"/>
  <c r="P61" i="6" a="1"/>
  <c r="P61" i="6" s="1"/>
  <c r="AL41" i="6" a="1"/>
  <c r="AL41" i="6" s="1"/>
  <c r="AE43" i="6" a="1"/>
  <c r="AE43" i="6" s="1"/>
  <c r="AN44" i="6" a="1"/>
  <c r="AN44" i="6" s="1"/>
  <c r="AB48" i="6" a="1"/>
  <c r="AB48" i="6" s="1"/>
  <c r="AJ49" i="6" a="1"/>
  <c r="AJ49" i="6" s="1"/>
  <c r="Z52" i="6" a="1"/>
  <c r="Z52" i="6" s="1"/>
  <c r="AC53" i="6" a="1"/>
  <c r="AC53" i="6" s="1"/>
  <c r="AF54" i="6" a="1"/>
  <c r="AF54" i="6" s="1"/>
  <c r="AJ55" i="6" a="1"/>
  <c r="AJ55" i="6" s="1"/>
  <c r="AM56" i="6" a="1"/>
  <c r="AM56" i="6" s="1"/>
  <c r="Z58" i="6" a="1"/>
  <c r="Z58" i="6" s="1"/>
  <c r="I41" i="6" a="1"/>
  <c r="I41" i="6" s="1"/>
  <c r="F42" i="6" a="1"/>
  <c r="F42" i="6" s="1"/>
  <c r="V42" i="6" a="1"/>
  <c r="V42" i="6" s="1"/>
  <c r="O43" i="6" a="1"/>
  <c r="O43" i="6" s="1"/>
  <c r="K45" i="6" a="1"/>
  <c r="K45" i="6" s="1"/>
  <c r="V45" i="6" a="1"/>
  <c r="V45" i="6" s="1"/>
  <c r="O47" i="6" a="1"/>
  <c r="O47" i="6" s="1"/>
  <c r="E48" i="6" a="1"/>
  <c r="E48" i="6" s="1"/>
  <c r="P48" i="6" a="1"/>
  <c r="P48" i="6" s="1"/>
  <c r="I50" i="6" a="1"/>
  <c r="I50" i="6" s="1"/>
  <c r="T50" i="6" a="1"/>
  <c r="T50" i="6" s="1"/>
  <c r="J51" i="6" a="1"/>
  <c r="J51" i="6" s="1"/>
  <c r="V51" i="6" a="1"/>
  <c r="V51" i="6" s="1"/>
  <c r="L52" i="6" a="1"/>
  <c r="L52" i="6" s="1"/>
  <c r="I53" i="6" a="1"/>
  <c r="I53" i="6" s="1"/>
  <c r="S53" i="6" a="1"/>
  <c r="S53" i="6" s="1"/>
  <c r="F54" i="6" a="1"/>
  <c r="F54" i="6" s="1"/>
  <c r="O54" i="6" a="1"/>
  <c r="O54" i="6" s="1"/>
  <c r="X54" i="6" a="1"/>
  <c r="X54" i="6" s="1"/>
  <c r="V55" i="6" a="1"/>
  <c r="V55" i="6" s="1"/>
  <c r="G57" i="6" a="1"/>
  <c r="G57" i="6" s="1"/>
  <c r="Q57" i="6" a="1"/>
  <c r="Q57" i="6" s="1"/>
  <c r="W57" i="6" a="1"/>
  <c r="W57" i="6" s="1"/>
  <c r="H58" i="6" a="1"/>
  <c r="H58" i="6" s="1"/>
  <c r="M58" i="6" a="1"/>
  <c r="M58" i="6" s="1"/>
  <c r="S58" i="6" a="1"/>
  <c r="S58" i="6" s="1"/>
  <c r="F59" i="6" a="1"/>
  <c r="F59" i="6" s="1"/>
  <c r="L59" i="6" a="1"/>
  <c r="L59" i="6" s="1"/>
  <c r="E60" i="6" a="1"/>
  <c r="E60" i="6" s="1"/>
  <c r="K60" i="6" a="1"/>
  <c r="K60" i="6" s="1"/>
  <c r="R60" i="6" a="1"/>
  <c r="R60" i="6" s="1"/>
  <c r="X60" i="6" a="1"/>
  <c r="X60" i="6" s="1"/>
  <c r="Q61" i="6" a="1"/>
  <c r="Q61" i="6" s="1"/>
  <c r="AM41" i="6" a="1"/>
  <c r="AM41" i="6" s="1"/>
  <c r="AA45" i="6" a="1"/>
  <c r="AA45" i="6" s="1"/>
  <c r="AJ46" i="6" a="1"/>
  <c r="AJ46" i="6" s="1"/>
  <c r="AN50" i="6" a="1"/>
  <c r="AN50" i="6" s="1"/>
  <c r="AG54" i="6" a="1"/>
  <c r="AG54" i="6" s="1"/>
  <c r="AK55" i="6" a="1"/>
  <c r="AK55" i="6" s="1"/>
  <c r="AN56" i="6" a="1"/>
  <c r="AN56" i="6" s="1"/>
  <c r="AD59" i="6" a="1"/>
  <c r="AD59" i="6" s="1"/>
  <c r="AG60" i="6" a="1"/>
  <c r="AG60" i="6" s="1"/>
  <c r="AE61" i="6" a="1"/>
  <c r="AE61" i="6" s="1"/>
  <c r="J41" i="6" a="1"/>
  <c r="J41" i="6" s="1"/>
  <c r="W42" i="6" a="1"/>
  <c r="W42" i="6" s="1"/>
  <c r="P43" i="6" a="1"/>
  <c r="P43" i="6" s="1"/>
  <c r="H44" i="6" a="1"/>
  <c r="H44" i="6" s="1"/>
  <c r="T44" i="6" a="1"/>
  <c r="T44" i="6" s="1"/>
  <c r="W45" i="6" a="1"/>
  <c r="W45" i="6" s="1"/>
  <c r="M46" i="6" a="1"/>
  <c r="M46" i="6" s="1"/>
  <c r="X46" i="6" a="1"/>
  <c r="X46" i="6" s="1"/>
  <c r="Q48" i="6" a="1"/>
  <c r="Q48" i="6" s="1"/>
  <c r="H49" i="6" a="1"/>
  <c r="H49" i="6" s="1"/>
  <c r="R49" i="6" a="1"/>
  <c r="R49" i="6" s="1"/>
  <c r="J50" i="6" a="1"/>
  <c r="J50" i="6" s="1"/>
  <c r="K51" i="6" a="1"/>
  <c r="K51" i="6" s="1"/>
  <c r="W51" i="6" a="1"/>
  <c r="W51" i="6" s="1"/>
  <c r="P54" i="6" a="1"/>
  <c r="P54" i="6" s="1"/>
  <c r="F55" i="6" a="1"/>
  <c r="F55" i="6" s="1"/>
  <c r="M55" i="6" a="1"/>
  <c r="M55" i="6" s="1"/>
  <c r="W55" i="6" a="1"/>
  <c r="W55" i="6" s="1"/>
  <c r="K56" i="6" a="1"/>
  <c r="K56" i="6" s="1"/>
  <c r="P56" i="6" a="1"/>
  <c r="P56" i="6" s="1"/>
  <c r="V56" i="6" a="1"/>
  <c r="V56" i="6" s="1"/>
  <c r="M57" i="6" a="1"/>
  <c r="M57" i="6" s="1"/>
  <c r="X57" i="6" a="1"/>
  <c r="X57" i="6" s="1"/>
  <c r="N58" i="6" a="1"/>
  <c r="N58" i="6" s="1"/>
  <c r="T58" i="6" a="1"/>
  <c r="T58" i="6" s="1"/>
  <c r="M59" i="6" a="1"/>
  <c r="M59" i="6" s="1"/>
  <c r="S59" i="6" a="1"/>
  <c r="S59" i="6" s="1"/>
  <c r="F60" i="6" a="1"/>
  <c r="F60" i="6" s="1"/>
  <c r="L60" i="6" a="1"/>
  <c r="L60" i="6" s="1"/>
  <c r="E61" i="6" a="1"/>
  <c r="E61" i="6" s="1"/>
  <c r="K61" i="6" a="1"/>
  <c r="K61" i="6" s="1"/>
  <c r="R61" i="6" a="1"/>
  <c r="R61" i="6" s="1"/>
  <c r="X61" i="6" a="1"/>
  <c r="X61" i="6" s="1"/>
  <c r="D57" i="6" a="1"/>
  <c r="D57" i="6" s="1"/>
  <c r="L56" i="6" a="1"/>
  <c r="L56" i="6" s="1"/>
  <c r="Q56" i="6" a="1"/>
  <c r="Q56" i="6" s="1"/>
  <c r="W56" i="6" a="1"/>
  <c r="W56" i="6" s="1"/>
  <c r="H57" i="6" a="1"/>
  <c r="H57" i="6" s="1"/>
  <c r="R57" i="6" a="1"/>
  <c r="R57" i="6" s="1"/>
  <c r="I58" i="6" a="1"/>
  <c r="I58" i="6" s="1"/>
  <c r="U58" i="6" a="1"/>
  <c r="U58" i="6" s="1"/>
  <c r="G59" i="6" a="1"/>
  <c r="G59" i="6" s="1"/>
  <c r="N59" i="6" a="1"/>
  <c r="N59" i="6" s="1"/>
  <c r="T59" i="6" a="1"/>
  <c r="T59" i="6" s="1"/>
  <c r="M60" i="6" a="1"/>
  <c r="M60" i="6" s="1"/>
  <c r="S60" i="6" a="1"/>
  <c r="S60" i="6" s="1"/>
  <c r="F61" i="6" a="1"/>
  <c r="F61" i="6" s="1"/>
  <c r="AO43" i="6" a="1"/>
  <c r="AO43" i="6" s="1"/>
  <c r="AG45" i="6" a="1"/>
  <c r="AG45" i="6" s="1"/>
  <c r="AC47" i="6" a="1"/>
  <c r="AC47" i="6" s="1"/>
  <c r="Y50" i="6" a="1"/>
  <c r="Y50" i="6" s="1"/>
  <c r="AB51" i="6" a="1"/>
  <c r="AB51" i="6" s="1"/>
  <c r="AF52" i="6" a="1"/>
  <c r="AF52" i="6" s="1"/>
  <c r="AM54" i="6" a="1"/>
  <c r="AM54" i="6" s="1"/>
  <c r="AC57" i="6" a="1"/>
  <c r="AC57" i="6" s="1"/>
  <c r="AJ59" i="6" a="1"/>
  <c r="AJ59" i="6" s="1"/>
  <c r="AL60" i="6" a="1"/>
  <c r="AL60" i="6" s="1"/>
  <c r="AJ61" i="6" a="1"/>
  <c r="AJ61" i="6" s="1"/>
  <c r="G43" i="6" a="1"/>
  <c r="G43" i="6" s="1"/>
  <c r="S43" i="6" a="1"/>
  <c r="S43" i="6" s="1"/>
  <c r="L44" i="6" a="1"/>
  <c r="L44" i="6" s="1"/>
  <c r="X44" i="6" a="1"/>
  <c r="X44" i="6" s="1"/>
  <c r="F46" i="6" a="1"/>
  <c r="F46" i="6" s="1"/>
  <c r="Q46" i="6" a="1"/>
  <c r="Q46" i="6" s="1"/>
  <c r="H47" i="6" a="1"/>
  <c r="H47" i="6" s="1"/>
  <c r="S47" i="6" a="1"/>
  <c r="S47" i="6" s="1"/>
  <c r="U48" i="6" a="1"/>
  <c r="U48" i="6" s="1"/>
  <c r="L49" i="6" a="1"/>
  <c r="L49" i="6" s="1"/>
  <c r="V49" i="6" a="1"/>
  <c r="V49" i="6" s="1"/>
  <c r="O51" i="6" a="1"/>
  <c r="O51" i="6" s="1"/>
  <c r="F52" i="6" a="1"/>
  <c r="F52" i="6" s="1"/>
  <c r="M52" i="6" a="1"/>
  <c r="M52" i="6" s="1"/>
  <c r="V52" i="6" a="1"/>
  <c r="V52" i="6" s="1"/>
  <c r="T53" i="6" a="1"/>
  <c r="T53" i="6" s="1"/>
  <c r="Q54" i="6" a="1"/>
  <c r="Q54" i="6" s="1"/>
  <c r="G55" i="6" a="1"/>
  <c r="G55" i="6" s="1"/>
  <c r="AF42" i="6" a="1"/>
  <c r="AF42" i="6" s="1"/>
  <c r="AL45" i="6" a="1"/>
  <c r="AL45" i="6" s="1"/>
  <c r="AC50" i="6" a="1"/>
  <c r="AC50" i="6" s="1"/>
  <c r="AM53" i="6" a="1"/>
  <c r="AM53" i="6" s="1"/>
  <c r="I43" i="6" a="1"/>
  <c r="I43" i="6" s="1"/>
  <c r="U47" i="6" a="1"/>
  <c r="U47" i="6" s="1"/>
  <c r="M49" i="6" a="1"/>
  <c r="M49" i="6" s="1"/>
  <c r="E51" i="6" a="1"/>
  <c r="E51" i="6" s="1"/>
  <c r="H52" i="6" a="1"/>
  <c r="H52" i="6" s="1"/>
  <c r="N53" i="6" a="1"/>
  <c r="N53" i="6" s="1"/>
  <c r="S54" i="6" a="1"/>
  <c r="S54" i="6" s="1"/>
  <c r="R55" i="6" a="1"/>
  <c r="R55" i="6" s="1"/>
  <c r="S56" i="6" a="1"/>
  <c r="S56" i="6" s="1"/>
  <c r="N57" i="6" a="1"/>
  <c r="N57" i="6" s="1"/>
  <c r="F58" i="6" a="1"/>
  <c r="F58" i="6" s="1"/>
  <c r="U59" i="6" a="1"/>
  <c r="U59" i="6" s="1"/>
  <c r="O60" i="6" a="1"/>
  <c r="O60" i="6" s="1"/>
  <c r="M61" i="6" a="1"/>
  <c r="M61" i="6" s="1"/>
  <c r="W61" i="6" a="1"/>
  <c r="W61" i="6" s="1"/>
  <c r="D59" i="6" a="1"/>
  <c r="D59" i="6" s="1"/>
  <c r="D48" i="6" a="1"/>
  <c r="D48" i="6" s="1"/>
  <c r="D55" i="6" a="1"/>
  <c r="D55" i="6" s="1"/>
  <c r="N44" i="6" a="1"/>
  <c r="N44" i="6" s="1"/>
  <c r="O50" i="6" a="1"/>
  <c r="O50" i="6" s="1"/>
  <c r="I57" i="6" a="1"/>
  <c r="I57" i="6" s="1"/>
  <c r="H61" i="6" a="1"/>
  <c r="H61" i="6" s="1"/>
  <c r="AK52" i="6" a="1"/>
  <c r="AK52" i="6" s="1"/>
  <c r="H43" i="6" a="1"/>
  <c r="H43" i="6" s="1"/>
  <c r="J57" i="6" a="1"/>
  <c r="J57" i="6" s="1"/>
  <c r="D58" i="6" a="1"/>
  <c r="D58" i="6" s="1"/>
  <c r="AG42" i="6" a="1"/>
  <c r="AG42" i="6" s="1"/>
  <c r="AD50" i="6" a="1"/>
  <c r="AD50" i="6" s="1"/>
  <c r="AF57" i="6" a="1"/>
  <c r="AF57" i="6" s="1"/>
  <c r="AN59" i="6" a="1"/>
  <c r="AN59" i="6" s="1"/>
  <c r="R41" i="6" a="1"/>
  <c r="R41" i="6" s="1"/>
  <c r="T43" i="6" a="1"/>
  <c r="T43" i="6" s="1"/>
  <c r="F45" i="6" a="1"/>
  <c r="F45" i="6" s="1"/>
  <c r="R46" i="6" a="1"/>
  <c r="R46" i="6" s="1"/>
  <c r="J48" i="6" a="1"/>
  <c r="J48" i="6" s="1"/>
  <c r="P52" i="6" a="1"/>
  <c r="P52" i="6" s="1"/>
  <c r="O53" i="6" a="1"/>
  <c r="O53" i="6" s="1"/>
  <c r="X55" i="6" a="1"/>
  <c r="X55" i="6" s="1"/>
  <c r="O57" i="6" a="1"/>
  <c r="O57" i="6" s="1"/>
  <c r="J58" i="6" a="1"/>
  <c r="J58" i="6" s="1"/>
  <c r="W58" i="6" a="1"/>
  <c r="W58" i="6" s="1"/>
  <c r="V59" i="6" a="1"/>
  <c r="V59" i="6" s="1"/>
  <c r="T60" i="6" a="1"/>
  <c r="T60" i="6" s="1"/>
  <c r="N61" i="6" a="1"/>
  <c r="N61" i="6" s="1"/>
  <c r="D51" i="6" a="1"/>
  <c r="D51" i="6" s="1"/>
  <c r="D60" i="6" a="1"/>
  <c r="D60" i="6" s="1"/>
  <c r="D49" i="6" a="1"/>
  <c r="D49" i="6" s="1"/>
  <c r="AK45" i="6" a="1"/>
  <c r="AK45" i="6" s="1"/>
  <c r="H46" i="6" a="1"/>
  <c r="H46" i="6" s="1"/>
  <c r="F53" i="6" a="1"/>
  <c r="F53" i="6" s="1"/>
  <c r="O59" i="6" a="1"/>
  <c r="O59" i="6" s="1"/>
  <c r="D56" i="6" a="1"/>
  <c r="D56" i="6" s="1"/>
  <c r="AM61" i="6" a="1"/>
  <c r="AM61" i="6" s="1"/>
  <c r="Q55" i="6" a="1"/>
  <c r="Q55" i="6" s="1"/>
  <c r="L61" i="6" a="1"/>
  <c r="L61" i="6" s="1"/>
  <c r="AK42" i="6" a="1"/>
  <c r="AK42" i="6" s="1"/>
  <c r="AD47" i="6" a="1"/>
  <c r="AD47" i="6" s="1"/>
  <c r="AN53" i="6" a="1"/>
  <c r="AN53" i="6" s="1"/>
  <c r="S41" i="6" a="1"/>
  <c r="S41" i="6" s="1"/>
  <c r="U43" i="6" a="1"/>
  <c r="U43" i="6" s="1"/>
  <c r="P45" i="6" a="1"/>
  <c r="P45" i="6" s="1"/>
  <c r="S46" i="6" a="1"/>
  <c r="S46" i="6" s="1"/>
  <c r="K48" i="6" a="1"/>
  <c r="K48" i="6" s="1"/>
  <c r="W49" i="6" a="1"/>
  <c r="W49" i="6" s="1"/>
  <c r="F51" i="6" a="1"/>
  <c r="F51" i="6" s="1"/>
  <c r="Q52" i="6" a="1"/>
  <c r="Q52" i="6" s="1"/>
  <c r="U54" i="6" a="1"/>
  <c r="U54" i="6" s="1"/>
  <c r="H59" i="6" a="1"/>
  <c r="H59" i="6" s="1"/>
  <c r="U60" i="6" a="1"/>
  <c r="U60" i="6" s="1"/>
  <c r="D52" i="6" a="1"/>
  <c r="D52" i="6" s="1"/>
  <c r="D61" i="6" a="1"/>
  <c r="D61" i="6" s="1"/>
  <c r="D50" i="6" a="1"/>
  <c r="D50" i="6" s="1"/>
  <c r="Q51" i="6" a="1"/>
  <c r="Q51" i="6" s="1"/>
  <c r="J55" i="6" a="1"/>
  <c r="J55" i="6" s="1"/>
  <c r="Z49" i="6" a="1"/>
  <c r="Z49" i="6" s="1"/>
  <c r="T47" i="6" a="1"/>
  <c r="T47" i="6" s="1"/>
  <c r="K54" i="6" a="1"/>
  <c r="K54" i="6" s="1"/>
  <c r="Q58" i="6" a="1"/>
  <c r="Q58" i="6" s="1"/>
  <c r="U61" i="6" a="1"/>
  <c r="U61" i="6" s="1"/>
  <c r="AM59" i="6" a="1"/>
  <c r="AM59" i="6" s="1"/>
  <c r="M53" i="6" a="1"/>
  <c r="M53" i="6" s="1"/>
  <c r="V58" i="6" a="1"/>
  <c r="V58" i="6" s="1"/>
  <c r="Y44" i="6" a="1"/>
  <c r="Y44" i="6" s="1"/>
  <c r="AF51" i="6" a="1"/>
  <c r="AF51" i="6" s="1"/>
  <c r="Y55" i="6" a="1"/>
  <c r="Y55" i="6" s="1"/>
  <c r="AG57" i="6" a="1"/>
  <c r="AG57" i="6" s="1"/>
  <c r="AM60" i="6" a="1"/>
  <c r="AM60" i="6" s="1"/>
  <c r="N42" i="6" a="1"/>
  <c r="N42" i="6" s="1"/>
  <c r="V43" i="6" a="1"/>
  <c r="V43" i="6" s="1"/>
  <c r="Q45" i="6" a="1"/>
  <c r="Q45" i="6" s="1"/>
  <c r="I47" i="6" a="1"/>
  <c r="I47" i="6" s="1"/>
  <c r="L48" i="6" a="1"/>
  <c r="L48" i="6" s="1"/>
  <c r="X49" i="6" a="1"/>
  <c r="X49" i="6" s="1"/>
  <c r="P51" i="6" a="1"/>
  <c r="P51" i="6" s="1"/>
  <c r="W53" i="6" a="1"/>
  <c r="W53" i="6" s="1"/>
  <c r="G56" i="6" a="1"/>
  <c r="G56" i="6" s="1"/>
  <c r="X56" i="6" a="1"/>
  <c r="X56" i="6" s="1"/>
  <c r="S57" i="6" a="1"/>
  <c r="S57" i="6" s="1"/>
  <c r="K58" i="6" a="1"/>
  <c r="K58" i="6" s="1"/>
  <c r="I59" i="6" a="1"/>
  <c r="I59" i="6" s="1"/>
  <c r="G60" i="6" a="1"/>
  <c r="G60" i="6" s="1"/>
  <c r="V60" i="6" a="1"/>
  <c r="V60" i="6" s="1"/>
  <c r="D53" i="6" a="1"/>
  <c r="D53" i="6" s="1"/>
  <c r="D43" i="6" a="1"/>
  <c r="D43" i="6" s="1"/>
  <c r="D41" i="6" a="1"/>
  <c r="D41" i="6" s="1"/>
  <c r="J54" i="6" a="1"/>
  <c r="J54" i="6" s="1"/>
  <c r="U57" i="6" a="1"/>
  <c r="U57" i="6" s="1"/>
  <c r="I60" i="6" a="1"/>
  <c r="I60" i="6" s="1"/>
  <c r="T61" i="6" a="1"/>
  <c r="T61" i="6" s="1"/>
  <c r="AL48" i="6" a="1"/>
  <c r="AL48" i="6" s="1"/>
  <c r="AG51" i="6" a="1"/>
  <c r="AG51" i="6" s="1"/>
  <c r="AO60" i="6" a="1"/>
  <c r="AO60" i="6" s="1"/>
  <c r="W52" i="6" a="1"/>
  <c r="W52" i="6" s="1"/>
  <c r="X53" i="6" a="1"/>
  <c r="X53" i="6" s="1"/>
  <c r="H55" i="6" a="1"/>
  <c r="H55" i="6" s="1"/>
  <c r="T57" i="6" a="1"/>
  <c r="T57" i="6" s="1"/>
  <c r="O58" i="6" a="1"/>
  <c r="O58" i="6" s="1"/>
  <c r="J59" i="6" a="1"/>
  <c r="J59" i="6" s="1"/>
  <c r="H60" i="6" a="1"/>
  <c r="H60" i="6" s="1"/>
  <c r="S61" i="6" a="1"/>
  <c r="S61" i="6" s="1"/>
  <c r="D44" i="6" a="1"/>
  <c r="D44" i="6" s="1"/>
  <c r="AC44" i="6" a="1"/>
  <c r="AC44" i="6" s="1"/>
  <c r="AI52" i="6" a="1"/>
  <c r="AI52" i="6" s="1"/>
  <c r="Z55" i="6" a="1"/>
  <c r="Z55" i="6" s="1"/>
  <c r="AJ58" i="6" a="1"/>
  <c r="AJ58" i="6" s="1"/>
  <c r="P42" i="6" a="1"/>
  <c r="P42" i="6" s="1"/>
  <c r="M44" i="6" a="1"/>
  <c r="M44" i="6" s="1"/>
  <c r="G46" i="6" a="1"/>
  <c r="G46" i="6" s="1"/>
  <c r="J47" i="6" a="1"/>
  <c r="J47" i="6" s="1"/>
  <c r="V48" i="6" a="1"/>
  <c r="V48" i="6" s="1"/>
  <c r="N50" i="6" a="1"/>
  <c r="N50" i="6" s="1"/>
  <c r="X52" i="6" a="1"/>
  <c r="X52" i="6" s="1"/>
  <c r="M56" i="6" a="1"/>
  <c r="M56" i="6" s="1"/>
  <c r="P58" i="6" a="1"/>
  <c r="P58" i="6" s="1"/>
  <c r="G61" i="6" a="1"/>
  <c r="G61" i="6" s="1"/>
  <c r="D45" i="6" a="1"/>
  <c r="D45" i="6" s="1"/>
  <c r="AJ52" i="6" a="1"/>
  <c r="AJ52" i="6" s="1"/>
  <c r="W48" i="6" a="1"/>
  <c r="W48" i="6" s="1"/>
  <c r="G52" i="6" a="1"/>
  <c r="G52" i="6" s="1"/>
  <c r="E58" i="6" a="1"/>
  <c r="E58" i="6" s="1"/>
  <c r="N60" i="6" a="1"/>
  <c r="N60" i="6" s="1"/>
  <c r="D46" i="6" a="1"/>
  <c r="D46" i="6" s="1"/>
  <c r="AC56" i="6" a="1"/>
  <c r="AC56" i="6" s="1"/>
  <c r="E45" i="6" a="1"/>
  <c r="E45" i="6" s="1"/>
  <c r="R56" i="6" a="1"/>
  <c r="R56" i="6" s="1"/>
  <c r="P59" i="6" a="1"/>
  <c r="P59" i="6" s="1"/>
  <c r="D47" i="6" a="1"/>
  <c r="D47" i="6" s="1"/>
  <c r="C8" i="6"/>
  <c r="C15" i="6"/>
  <c r="C25" i="6"/>
  <c r="C55" i="6"/>
  <c r="C48" i="6"/>
  <c r="C43" i="6"/>
  <c r="C10" i="6"/>
  <c r="C9" i="6"/>
  <c r="C44" i="6"/>
  <c r="C16" i="6"/>
  <c r="C60" i="6"/>
  <c r="C18" i="6"/>
  <c r="C12" i="6"/>
  <c r="C57" i="6"/>
  <c r="C52" i="6"/>
  <c r="C27" i="6"/>
  <c r="C51" i="6"/>
  <c r="C61" i="6"/>
  <c r="C14" i="6"/>
  <c r="C54" i="6"/>
  <c r="C26" i="6"/>
  <c r="C11" i="6"/>
  <c r="C53" i="6"/>
  <c r="C23" i="6"/>
  <c r="C58" i="6"/>
  <c r="C19" i="6"/>
  <c r="C28" i="6"/>
  <c r="C42" i="6"/>
  <c r="C24" i="6"/>
  <c r="C21" i="6"/>
  <c r="C41" i="6"/>
  <c r="C13" i="6"/>
  <c r="C45" i="6"/>
  <c r="C46" i="6"/>
  <c r="C47" i="6"/>
  <c r="C22" i="6"/>
  <c r="C49" i="6"/>
  <c r="C56" i="6"/>
  <c r="C50" i="6"/>
  <c r="C59" i="6"/>
  <c r="C17" i="6"/>
  <c r="C20" i="6"/>
  <c r="AN41" i="6" l="1" a="1"/>
  <c r="AN41" i="6" s="1"/>
</calcChain>
</file>

<file path=xl/sharedStrings.xml><?xml version="1.0" encoding="utf-8"?>
<sst xmlns="http://schemas.openxmlformats.org/spreadsheetml/2006/main" count="2160" uniqueCount="309">
  <si>
    <t>Должность</t>
  </si>
  <si>
    <t>Необходимые умения</t>
  </si>
  <si>
    <t>Умение планировать, организовывать</t>
  </si>
  <si>
    <t>Взаимодействие и коммуникация</t>
  </si>
  <si>
    <t>Знания и умения</t>
  </si>
  <si>
    <t>Т. Ориентированные на задачи</t>
  </si>
  <si>
    <t>I. Ориентированные на конкретные процессы</t>
  </si>
  <si>
    <t>II. Однородные</t>
  </si>
  <si>
    <t>III. Разнородные</t>
  </si>
  <si>
    <t>IV. Всеохватывающие</t>
  </si>
  <si>
    <t>1. Коммуникация</t>
  </si>
  <si>
    <t>2. Обоснование и аргументация</t>
  </si>
  <si>
    <t>3. Убеждение</t>
  </si>
  <si>
    <t>Б</t>
  </si>
  <si>
    <t>Ж</t>
  </si>
  <si>
    <t>С</t>
  </si>
  <si>
    <t>А. Элементарные. Базовые.</t>
  </si>
  <si>
    <t>В. Начальные практические</t>
  </si>
  <si>
    <t>С. Общие практические</t>
  </si>
  <si>
    <t>D. Продвинутые практические</t>
  </si>
  <si>
    <t>E. Профессиональные</t>
  </si>
  <si>
    <t>F. Зрелые профессиональные</t>
  </si>
  <si>
    <t>H. Уникальные</t>
  </si>
  <si>
    <t>Сцепка</t>
  </si>
  <si>
    <t>Решение вопросов</t>
  </si>
  <si>
    <t>A.Строго "по шаблону"</t>
  </si>
  <si>
    <t>В. "По шаблону"</t>
  </si>
  <si>
    <t>С. Процедурная</t>
  </si>
  <si>
    <t>D. Нормативная</t>
  </si>
  <si>
    <t>E. Ясно определенная</t>
  </si>
  <si>
    <t>F. Широко определенная</t>
  </si>
  <si>
    <t>1. Повторяющиеся однотипные вопросы</t>
  </si>
  <si>
    <t>2. Подобные</t>
  </si>
  <si>
    <t>3. Изменчивые вопросы</t>
  </si>
  <si>
    <t>4. Нестандартные вопросы</t>
  </si>
  <si>
    <t>5. Неизученные вопросы</t>
  </si>
  <si>
    <t>А. Строго контролируемая</t>
  </si>
  <si>
    <t>В. Контролируемая</t>
  </si>
  <si>
    <t>D. Регулируемая в целом</t>
  </si>
  <si>
    <t>E. Управляемая в целом</t>
  </si>
  <si>
    <t>Очень незначительная</t>
  </si>
  <si>
    <t>Незначительная</t>
  </si>
  <si>
    <t>Средняя</t>
  </si>
  <si>
    <t>Большая</t>
  </si>
  <si>
    <t>R. Незначительное</t>
  </si>
  <si>
    <t>С. Содействующее</t>
  </si>
  <si>
    <t>S. Совместное</t>
  </si>
  <si>
    <t>I. Вспомогательное</t>
  </si>
  <si>
    <t>II. Поддерживающее</t>
  </si>
  <si>
    <t>III. Операционное</t>
  </si>
  <si>
    <t>IV. Аналитическое</t>
  </si>
  <si>
    <t>V. Направляющее</t>
  </si>
  <si>
    <t>VI. Воздействующее</t>
  </si>
  <si>
    <t>Область решаемых вопросов</t>
  </si>
  <si>
    <t>Сложность решаемых вопросов</t>
  </si>
  <si>
    <t>Свобода действий должности</t>
  </si>
  <si>
    <t>Тип влияния</t>
  </si>
  <si>
    <t>P. Основное</t>
  </si>
  <si>
    <t>Ответственность</t>
  </si>
  <si>
    <t>Модификатор</t>
  </si>
  <si>
    <t>(-)</t>
  </si>
  <si>
    <t>(+)</t>
  </si>
  <si>
    <t>С. Нормированная</t>
  </si>
  <si>
    <t>F. Управляемая в общих чертах</t>
  </si>
  <si>
    <t>G. Направляемая</t>
  </si>
  <si>
    <t>H. Стратегически ориентируемая</t>
  </si>
  <si>
    <t>Работа в рамках строгих инструкций</t>
  </si>
  <si>
    <t>Рутинная работа  с небольшим возможными отклонениями от нормы</t>
  </si>
  <si>
    <t>Оператор процесса</t>
  </si>
  <si>
    <t>Эксперт по процессу</t>
  </si>
  <si>
    <t>Совершенстовавание процедур</t>
  </si>
  <si>
    <t>Возможность выбрать последовательность действий</t>
  </si>
  <si>
    <t>Возможность выбрать решения, основываясь на опыте или регламентах</t>
  </si>
  <si>
    <t>Специалист по процессу</t>
  </si>
  <si>
    <t>Супервайзинг</t>
  </si>
  <si>
    <t>Операционная реализация</t>
  </si>
  <si>
    <t>Тактическое внедрение</t>
  </si>
  <si>
    <t>Реализация стратегии</t>
  </si>
  <si>
    <t>Согласование стратегии</t>
  </si>
  <si>
    <t>Президент или исполнительный директор. Опре</t>
  </si>
  <si>
    <t>Величина воздействия</t>
  </si>
  <si>
    <t>Неопределено количественно</t>
  </si>
  <si>
    <t xml:space="preserve">G. В целом определенная </t>
  </si>
  <si>
    <t>H. Абстрактно определенная</t>
  </si>
  <si>
    <t>Минимальные умения и навыки. Стандартные операции, работа рутинного характера</t>
  </si>
  <si>
    <t>Базовые знания полученные через обучение или практический опыт</t>
  </si>
  <si>
    <t>Уверенные навыки и знания в конкретной области, может понадобиться специализированное обучение</t>
  </si>
  <si>
    <t>Специализированные знания и умения. Включают в себя решение сложных задач</t>
  </si>
  <si>
    <t>Профессиональные знания и обширный опыт. Анализ первопричин возникших ситуаций</t>
  </si>
  <si>
    <t>Экспертные знания и лидерские качества. Управление сложными процессами</t>
  </si>
  <si>
    <t>Всесторонний бизнес-опыт, стратегические знания и опыт на уровне руководства</t>
  </si>
  <si>
    <t>G. Всесторонние</t>
  </si>
  <si>
    <t>Требуется мастерство на уровне признанного эксперта в отрасли. Влияние на стратегию компании и принятия критических решений</t>
  </si>
  <si>
    <t>Цвет</t>
  </si>
  <si>
    <t>Одинаковые вопросы, для каждого из которых существует единственное, хорошо известное решение</t>
  </si>
  <si>
    <t>Схожие вопросы, решаемые посредством выбора лучшего варианта из числа известных</t>
  </si>
  <si>
    <t>Различающиеся ситуации, требующие определения проблем и задач, применения суждений и выбора решения в рамках своей области работы</t>
  </si>
  <si>
    <t>Ситуации, требующие разработки новых решений посредством аналитического, оценочного, креативного мышления. Нет правильных ответов на вопросы</t>
  </si>
  <si>
    <t>Неизведанные ситуации и проблемы требующие создания новых концепций и разработки решений</t>
  </si>
  <si>
    <t>В рамках четких и подробных правил и инструкций и/или под постоянным контролем</t>
  </si>
  <si>
    <t>В рамках стандартных инструкций, есть возможность немедленно получить поддержку или обратиться к готовым примерам</t>
  </si>
  <si>
    <t>В рамках хорошо определенных процедур, прецендентов. Последовательность шагов не определена, только подход в целом</t>
  </si>
  <si>
    <t>В рамках различающихся процедур, стандартов и прецедентов, можно решить вопрос на основании имеющегося опыта</t>
  </si>
  <si>
    <t>В рамках четко определенных принципов, нет процедур, определены только цели, необходимо придумать как их достичь</t>
  </si>
  <si>
    <t>В рамках широко определенных целей организации. Проблемные области четко не определены, необходимо разработать план</t>
  </si>
  <si>
    <t>В рамках общих принципов и целей организации. Цели могут быть туманны, выбор дальнейшей стратегии</t>
  </si>
  <si>
    <t>В рамках общих законов, философии бизнеса и ценностей культуры</t>
  </si>
  <si>
    <t>Цвет по проценту</t>
  </si>
  <si>
    <t>Цвет по баллу</t>
  </si>
  <si>
    <t>Low</t>
  </si>
  <si>
    <t>Mid point</t>
  </si>
  <si>
    <t>High</t>
  </si>
  <si>
    <t>Hay Grade</t>
  </si>
  <si>
    <t>Sber Grade</t>
  </si>
  <si>
    <t>Грейд по HAY</t>
  </si>
  <si>
    <t>Грейд Sber</t>
  </si>
  <si>
    <t>Выполнение конкретных задач без погружения в бизнес</t>
  </si>
  <si>
    <t>Выполнение/контроль комплексных задач. Необходимо взаимодействие с коллегами и понимание смежных процессов</t>
  </si>
  <si>
    <t>Выполнение/контроль широкого спектра задач, но в рамках одной области деятельности</t>
  </si>
  <si>
    <t>Выполнение/контроль функций, которые выходят за рамки одной области деятельности</t>
  </si>
  <si>
    <t>Внедрение и управление важной операционной/стратегической функцией в рамках всей организации и управление организацией</t>
  </si>
  <si>
    <t>Взаимодействие с другими сводится к обмену информацией. Достаточно обычной вежливости и такта</t>
  </si>
  <si>
    <t>При взаимодействии необходимо применять аргументы или знания, чтобы убедить или побудить других к действию</t>
  </si>
  <si>
    <t>При взаимодействии необходимо уметь влиять, развивать мотивировать и вдохновлять людей</t>
  </si>
  <si>
    <t>D</t>
  </si>
  <si>
    <t>E</t>
  </si>
  <si>
    <t>F</t>
  </si>
  <si>
    <t>G</t>
  </si>
  <si>
    <t>H</t>
  </si>
  <si>
    <t>A</t>
  </si>
  <si>
    <t>B</t>
  </si>
  <si>
    <t>C</t>
  </si>
  <si>
    <t>I</t>
  </si>
  <si>
    <t>II</t>
  </si>
  <si>
    <t>III</t>
  </si>
  <si>
    <t>IV</t>
  </si>
  <si>
    <t>Разовые услуги, не связанные с основной работой подразделения</t>
  </si>
  <si>
    <t>Услуги по поддержке и обработке информации или обслуживанию оборудования</t>
  </si>
  <si>
    <t>Выполнение ключевых процессов или эксплуатация оборудования, связанных с основной деятельностью бизнеса</t>
  </si>
  <si>
    <t>Выполнение сложной диагностики/аналитиза/обслуживание критически важного оборудования или систем</t>
  </si>
  <si>
    <t>Руководство повседневной деятельностью группы сотрудников или проектов, включая консультирование и разработку процедур</t>
  </si>
  <si>
    <t>Обеспечение резульатов для нескольких команд или управление стратегическими программами влияющими на организацию</t>
  </si>
  <si>
    <t>Незначительное: сосредоточены на предоставлении и обработке информации после произошедшего события, без влияния на исход событитй</t>
  </si>
  <si>
    <t>Содействующее: предоставляют консультации и рекомендации, оказывая значительное влияние на принятие решений и результаты работы других сотрудников</t>
  </si>
  <si>
    <t>Совместное: партнерство и общая ответственность за результат без прямого контроля ресурсов</t>
  </si>
  <si>
    <t>Прямой: контроль за конечными результатами с прямым управлением ресурсами на определенном уровне организации</t>
  </si>
  <si>
    <t>V</t>
  </si>
  <si>
    <t>VI</t>
  </si>
  <si>
    <t>R</t>
  </si>
  <si>
    <t>S</t>
  </si>
  <si>
    <t>P</t>
  </si>
  <si>
    <t>Необходимые умения кратко</t>
  </si>
  <si>
    <t>Умение планировать, организовывать кратко</t>
  </si>
  <si>
    <t>Взаимодействие и коммуникация кратко</t>
  </si>
  <si>
    <t>Степень владения процессом кратко</t>
  </si>
  <si>
    <t>Область решаемых вопросов кратко</t>
  </si>
  <si>
    <t>Сложность решаемых вопросов кратко</t>
  </si>
  <si>
    <t>T+</t>
  </si>
  <si>
    <t>I+</t>
  </si>
  <si>
    <t>II+</t>
  </si>
  <si>
    <t>III+</t>
  </si>
  <si>
    <t>IV+</t>
  </si>
  <si>
    <t>Знания и умения балл</t>
  </si>
  <si>
    <t>Решение вопросов балл</t>
  </si>
  <si>
    <t>Свобода действий</t>
  </si>
  <si>
    <t>Ограничены четкими, детальными инструкциями и строгим постоянным контролем</t>
  </si>
  <si>
    <t>Ограничены общими рабочими инструкциями и контролем деятельности и результатов. Могут изменять последовательность действий процедуры</t>
  </si>
  <si>
    <t>Частично или полностью ограничены общими инструкциями. Возможно изменение приоритетов задач по согласованию</t>
  </si>
  <si>
    <t>Опираются на краткосрочные цели. Могут определять свои приоритеты и отклоняться от стандартных методов. Результаты соответствуют стандартам</t>
  </si>
  <si>
    <t>Определяют, как и когда будут достигнуты результаты. Определяют процедуры и инструкции</t>
  </si>
  <si>
    <t>Определяют и утверждают годовые цели и приоритеты. Сами определяют, какие ресурсы понадобятся для достижения цели</t>
  </si>
  <si>
    <t>Определяют долгосрочные стратегические цели для всей организации</t>
  </si>
  <si>
    <t>Полномочия ограничены общими тенденциями бизнеса</t>
  </si>
  <si>
    <t>3,3 млн -33 млн в год. Очень незначительное влияние на доход и достижение целей организации</t>
  </si>
  <si>
    <t>33 млн - 330 млн в год. Незначительное влияние на доход и достижение целей организации</t>
  </si>
  <si>
    <t>330 млн - 3,3 млрд в год. Среднее влияние на доход и достижение целей организации. Цели подразделения соответствуют целям организации</t>
  </si>
  <si>
    <t>3,3 млрд - 33 млрд в год. Сложные проекты, которые влияют на всю организацию или общее управление</t>
  </si>
  <si>
    <t>Баллы ответственность</t>
  </si>
  <si>
    <t>Балл итог</t>
  </si>
  <si>
    <t>A+</t>
  </si>
  <si>
    <t>B+</t>
  </si>
  <si>
    <t>C+</t>
  </si>
  <si>
    <t>D+</t>
  </si>
  <si>
    <t>E+</t>
  </si>
  <si>
    <t>F+</t>
  </si>
  <si>
    <t>G+</t>
  </si>
  <si>
    <t>H+</t>
  </si>
  <si>
    <t>-1</t>
  </si>
  <si>
    <t>-2</t>
  </si>
  <si>
    <t>-3</t>
  </si>
  <si>
    <t>-4</t>
  </si>
  <si>
    <t>-N</t>
  </si>
  <si>
    <t>Тип должности</t>
  </si>
  <si>
    <t>Профиль</t>
  </si>
  <si>
    <t>Шаги ответственность</t>
  </si>
  <si>
    <t>Число шагов</t>
  </si>
  <si>
    <t>P4</t>
  </si>
  <si>
    <t>P3</t>
  </si>
  <si>
    <t>P2</t>
  </si>
  <si>
    <t>A1</t>
  </si>
  <si>
    <t>A2</t>
  </si>
  <si>
    <t>A3</t>
  </si>
  <si>
    <t>A4</t>
  </si>
  <si>
    <t>Руководство</t>
  </si>
  <si>
    <t>Операционная деятельность</t>
  </si>
  <si>
    <t>Коммерция /маркетинг</t>
  </si>
  <si>
    <t>R&amp;D</t>
  </si>
  <si>
    <t>Логистика</t>
  </si>
  <si>
    <t>Инженерные должности</t>
  </si>
  <si>
    <t>Управление персоналом</t>
  </si>
  <si>
    <t>Финансы</t>
  </si>
  <si>
    <t>Юристы/аудит</t>
  </si>
  <si>
    <t>ИТ</t>
  </si>
  <si>
    <t>Административная поддержка</t>
  </si>
  <si>
    <t>Хазяйственные службы</t>
  </si>
  <si>
    <t>Клиентские службы</t>
  </si>
  <si>
    <t>Работа уровня P2 и P3</t>
  </si>
  <si>
    <t>Работиа от уровня A2 до Р2</t>
  </si>
  <si>
    <t>Работа от уровня А2 до L</t>
  </si>
  <si>
    <t>Работа от уровня А3 до А1</t>
  </si>
  <si>
    <t>Работа от уровня А4 до А3</t>
  </si>
  <si>
    <t>Планирование</t>
  </si>
  <si>
    <t>Производство</t>
  </si>
  <si>
    <t>Связи (продажи) / управление брендом</t>
  </si>
  <si>
    <t>Планирование продаж / исследование рынка</t>
  </si>
  <si>
    <t>Продажа продуктов / услуг</t>
  </si>
  <si>
    <t>Комиссионные продажи</t>
  </si>
  <si>
    <t>Фундаментальные</t>
  </si>
  <si>
    <t>Чистые</t>
  </si>
  <si>
    <t>Прикладные</t>
  </si>
  <si>
    <t>Разработки</t>
  </si>
  <si>
    <t>Улучшения</t>
  </si>
  <si>
    <t>Закупки</t>
  </si>
  <si>
    <t>Дистрибуция</t>
  </si>
  <si>
    <t>P1</t>
  </si>
  <si>
    <t>Конструкторские работы</t>
  </si>
  <si>
    <t>Эксплуатация</t>
  </si>
  <si>
    <t>Политика</t>
  </si>
  <si>
    <t>Консультации</t>
  </si>
  <si>
    <t>Сервисные центр  / бизнес-партнер</t>
  </si>
  <si>
    <t>Стратегия</t>
  </si>
  <si>
    <t>Переговоры / реализация</t>
  </si>
  <si>
    <t>Архитектура</t>
  </si>
  <si>
    <t>Операции / поддержка</t>
  </si>
  <si>
    <t>Админ, помощник</t>
  </si>
  <si>
    <t>Обработка данных сделок</t>
  </si>
  <si>
    <t>Ввод данных</t>
  </si>
  <si>
    <t>Аналитическая поддержка</t>
  </si>
  <si>
    <t>Услуги</t>
  </si>
  <si>
    <t>Практическая операционная деятельность</t>
  </si>
  <si>
    <t>Информационная поддержка</t>
  </si>
  <si>
    <t>Операционная поддержка / сервисный центр</t>
  </si>
  <si>
    <t>Исходящие звонки / коссиры</t>
  </si>
  <si>
    <t>Комментарий к профилю</t>
  </si>
  <si>
    <t>Основная цель должности - участие в длительных фундаментальных исследованиях, гре сроки и бюджет играют минимальную роль. Работа состредоточена на поиске решения, однако само его нахождение не является кульминационным моментом.</t>
  </si>
  <si>
    <t xml:space="preserve">Эти должности состредоточены на исследованиях или разработке концептуальных дизайнов. Вклад сотрудника в виде знаний и идей значительно важнее, чем его участие в достижении немедленных результатов. </t>
  </si>
  <si>
    <t>Эти должности ориентированы на долгосрочные рабработки, которые требует месяцев работы и минимального вовлечение в повседневные задачи. Результаты представляются в виде идей, планов или проектов, которые затем используются или пересматриваются другими, например в стратегическом планировании или разработке продукта</t>
  </si>
  <si>
    <t>Равновесный профиль связан с должностями, которые разрабатывают процессы и стратегии, но мало чуаствуют в их реализации. Они предоставляют поддержку операциионной деятельности, рассматриваются как должности заднего плана</t>
  </si>
  <si>
    <t>Эти должности обеспечивают специализированные услуги, такие как административная поддержка, юридическое консультирование и проектное управление. В крупных ролях разрабатывают и внедряют политтику, в меньших - выполняют административные задачи с гибкими сроками</t>
  </si>
  <si>
    <t>Цель должности - поддержка с акцентом на сроки и рентабельность или выполнение задач, влияющих на производительность, включая руководяющие роли в обслуживании или управлении персоналом</t>
  </si>
  <si>
    <t>Связан с высокоответственными должностями, ориентированными на измеримые результаты (себестоимость, объем, продажи) и требующими способности достиигать резулоьтатов и принимать рещения</t>
  </si>
  <si>
    <t>Эти должности заметны и требуют большой ответственности, но отличаются от профиля А3 тем, что связаны с большим объемом и простыми методами или процессами. Проблемы решаюбтся быстро или передаются другим</t>
  </si>
  <si>
    <t>Баллы относительно медианы</t>
  </si>
  <si>
    <t>Профиль с количеством шагов</t>
  </si>
  <si>
    <t>Профили больше А3 и P4 говорят о сомнительных результатах. Необходимо проверить, является ли такое представление дожности достоверным</t>
  </si>
  <si>
    <t>Результат показывает, есть ли куда расти относительно вилки баллов</t>
  </si>
  <si>
    <t>Итоговая формула оценки</t>
  </si>
  <si>
    <t>Технические столбцы для расчета знаний и умений</t>
  </si>
  <si>
    <t>Технические столбцы для расчета итоговой формулы</t>
  </si>
  <si>
    <t>Технические столбцы для расчета решения вопросов</t>
  </si>
  <si>
    <t>Технические столбцы для расчета ответственности</t>
  </si>
  <si>
    <t>Технические столбцы для расчета профиля</t>
  </si>
  <si>
    <t>1. Подсчет баллов "Знания и умения"</t>
  </si>
  <si>
    <t>2. Подсчет баллов "Решение вопросов"</t>
  </si>
  <si>
    <t>3. Подсчет баллов "Ответственность"</t>
  </si>
  <si>
    <t>1. Данные из паспорта "Знания и умения"</t>
  </si>
  <si>
    <t>2. Данные из паспорта "Решение вопросов"</t>
  </si>
  <si>
    <t>3. Данные из паспорта "Ответственность"</t>
  </si>
  <si>
    <t>Менее вероятное сочение</t>
  </si>
  <si>
    <t xml:space="preserve">Нелогичное сочетание </t>
  </si>
  <si>
    <t>Невозможное сочетание</t>
  </si>
  <si>
    <t>Логичное сочетание</t>
  </si>
  <si>
    <t>Если модификатор НЕ меняем на (-) или (+), оставляем ячейку пустой</t>
  </si>
  <si>
    <t>L0</t>
  </si>
  <si>
    <t>Номер паспорта</t>
  </si>
  <si>
    <t>Модиф. умения</t>
  </si>
  <si>
    <t>Модиф. Решение вопросов</t>
  </si>
  <si>
    <t>Модиф. Свобода д-й</t>
  </si>
  <si>
    <t>ИТОГО</t>
  </si>
  <si>
    <t>Опознавательные цвета</t>
  </si>
  <si>
    <t>Атрибут</t>
  </si>
  <si>
    <t>А</t>
  </si>
  <si>
    <t>КЦ</t>
  </si>
  <si>
    <t>Оклад</t>
  </si>
  <si>
    <t>Книга</t>
  </si>
  <si>
    <t xml:space="preserve">Техническая поддержка, Финдир, Директор по информационным технологиям, Директор по продукту, </t>
  </si>
  <si>
    <t>Грейд</t>
  </si>
  <si>
    <t>Номер Роли</t>
  </si>
  <si>
    <t>Кол-во ролей</t>
  </si>
  <si>
    <t>AS IS</t>
  </si>
  <si>
    <t>TO BE</t>
  </si>
  <si>
    <t>Необходимые умения (10 вопрос)</t>
  </si>
  <si>
    <t>Умение планировать, организовывать (9 вопрос)</t>
  </si>
  <si>
    <t>Взаимодействие и коммуникация (8 вопрос)</t>
  </si>
  <si>
    <t>Область решаемых вопросов (11 вопрос)</t>
  </si>
  <si>
    <t>Сложность решаемых вопросов (12 вопрос)</t>
  </si>
  <si>
    <t>Свобода действий должности (16 вопрос)</t>
  </si>
  <si>
    <t>Величина воздействия (13 вопрос)</t>
  </si>
  <si>
    <t>Тип влияния (14 вопрос)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</si>
</sst>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* #,##0.00\ _₽_-;\-* #,##0.00\ _₽_-;_-* &quot;-&quot;??\ _₽_-;_-@_-"/>
  </numFmts>
  <fonts count="37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theme="1" tint="0.14999847407452621"/>
      <name val="Times New Roman"/>
      <family val="2"/>
      <charset val="204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sz val="16"/>
      <color rgb="FF101010"/>
      <name val="Arial"/>
      <family val="2"/>
    </font>
    <font>
      <sz val="10"/>
      <color theme="1" tint="0.14999847407452621"/>
      <name val="Century Gothic"/>
      <family val="2"/>
      <charset val="204"/>
    </font>
    <font>
      <sz val="12"/>
      <name val="Times New Roman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color rgb="FF000000"/>
      <name val="Arial"/>
      <family val="2"/>
      <charset val="204"/>
    </font>
    <font>
      <b/>
      <sz val="10"/>
      <color theme="1" tint="0.14999847407452621"/>
      <name val="Century Gothic"/>
      <family val="2"/>
      <charset val="204"/>
    </font>
    <font>
      <b/>
      <sz val="10"/>
      <color theme="1" tint="0.14999847407452621"/>
      <name val="Century Gothic"/>
      <family val="1"/>
    </font>
    <font>
      <sz val="10"/>
      <color theme="1" tint="0.14999847407452621"/>
      <name val="Century Gothic"/>
      <family val="1"/>
    </font>
    <font>
      <sz val="10"/>
      <name val="Century Gothic"/>
      <family val="1"/>
    </font>
    <font>
      <b/>
      <sz val="12"/>
      <color theme="1"/>
      <name val="Calibri"/>
      <family val="2"/>
      <charset val="204"/>
      <scheme val="minor"/>
    </font>
    <font>
      <b/>
      <sz val="9"/>
      <color indexed="18"/>
      <name val="Arial"/>
      <family val="2"/>
    </font>
    <font>
      <sz val="9"/>
      <color indexed="18"/>
      <name val="Arial"/>
      <family val="2"/>
    </font>
    <font>
      <sz val="9"/>
      <color indexed="10"/>
      <name val="Arial"/>
      <family val="2"/>
    </font>
    <font>
      <sz val="11"/>
      <color theme="1" tint="0.14999847407452621"/>
      <name val="Century Gothic"/>
      <family val="2"/>
      <charset val="204"/>
    </font>
    <font>
      <b/>
      <sz val="18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0"/>
      <color theme="1"/>
      <name val="Calibri"/>
      <family val="2"/>
      <scheme val="minor"/>
    </font>
    <font>
      <sz val="10"/>
      <name val="Helv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20"/>
      <color theme="1"/>
      <name val="Times New Roman"/>
      <family val="2"/>
      <charset val="204"/>
    </font>
    <font>
      <sz val="26"/>
      <color theme="1"/>
      <name val="Times New Roman"/>
      <family val="2"/>
      <charset val="204"/>
    </font>
    <font>
      <sz val="28"/>
      <color theme="1"/>
      <name val="Times New Roman"/>
      <family val="2"/>
      <charset val="204"/>
    </font>
    <font>
      <sz val="48"/>
      <color theme="1"/>
      <name val="Times New Roman"/>
      <family val="2"/>
      <charset val="204"/>
    </font>
    <font>
      <sz val="26"/>
      <color theme="0"/>
      <name val="Times New Roman"/>
      <family val="2"/>
      <charset val="204"/>
    </font>
    <font>
      <sz val="11"/>
      <color theme="1"/>
      <name val="Times New Roman"/>
      <family val="2"/>
      <charset val="204"/>
    </font>
    <font>
      <b/>
      <sz val="11"/>
      <color theme="0"/>
      <name val="Times New Roman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8FCDB"/>
        <bgColor indexed="64"/>
      </patternFill>
    </fill>
    <fill>
      <patternFill patternType="solid">
        <fgColor rgb="FF81BD9E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47A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rgb="FF51CF8D"/>
      </left>
      <right/>
      <top style="dashed">
        <color rgb="FF51CF8D"/>
      </top>
      <bottom/>
      <diagonal/>
    </border>
    <border>
      <left/>
      <right style="dashed">
        <color rgb="FF51CF8D"/>
      </right>
      <top style="dashed">
        <color rgb="FF51CF8D"/>
      </top>
      <bottom/>
      <diagonal/>
    </border>
    <border>
      <left style="dashed">
        <color rgb="FF51CF8D"/>
      </left>
      <right/>
      <top/>
      <bottom/>
      <diagonal/>
    </border>
    <border>
      <left/>
      <right style="dashed">
        <color rgb="FF51CF8D"/>
      </right>
      <top/>
      <bottom/>
      <diagonal/>
    </border>
    <border>
      <left style="dashed">
        <color rgb="FF51CF8D"/>
      </left>
      <right/>
      <top/>
      <bottom style="dashed">
        <color rgb="FF51CF8D"/>
      </bottom>
      <diagonal/>
    </border>
    <border>
      <left/>
      <right style="dashed">
        <color rgb="FF51CF8D"/>
      </right>
      <top/>
      <bottom style="dashed">
        <color rgb="FF51CF8D"/>
      </bottom>
      <diagonal/>
    </border>
    <border>
      <left/>
      <right/>
      <top style="dashed">
        <color rgb="FF51CF8D"/>
      </top>
      <bottom/>
      <diagonal/>
    </border>
    <border>
      <left/>
      <right/>
      <top/>
      <bottom style="dashed">
        <color rgb="FF51CF8D"/>
      </bottom>
      <diagonal/>
    </border>
    <border>
      <left style="dotted">
        <color rgb="FF59D977"/>
      </left>
      <right/>
      <top style="dotted">
        <color rgb="FF59D977"/>
      </top>
      <bottom/>
      <diagonal/>
    </border>
    <border>
      <left/>
      <right style="dotted">
        <color rgb="FF59D977"/>
      </right>
      <top style="dotted">
        <color rgb="FF59D977"/>
      </top>
      <bottom/>
      <diagonal/>
    </border>
    <border>
      <left style="dotted">
        <color rgb="FF59D977"/>
      </left>
      <right/>
      <top/>
      <bottom/>
      <diagonal/>
    </border>
    <border>
      <left/>
      <right style="dotted">
        <color rgb="FF59D977"/>
      </right>
      <top/>
      <bottom/>
      <diagonal/>
    </border>
    <border>
      <left style="dotted">
        <color rgb="FF59D977"/>
      </left>
      <right/>
      <top/>
      <bottom style="dotted">
        <color rgb="FF59D977"/>
      </bottom>
      <diagonal/>
    </border>
    <border>
      <left/>
      <right style="dotted">
        <color rgb="FF59D977"/>
      </right>
      <top/>
      <bottom style="dotted">
        <color rgb="FF59D977"/>
      </bottom>
      <diagonal/>
    </border>
    <border>
      <left style="medium">
        <color rgb="FF59D977"/>
      </left>
      <right/>
      <top/>
      <bottom/>
      <diagonal/>
    </border>
    <border>
      <left style="medium">
        <color rgb="FF81BD9E"/>
      </left>
      <right/>
      <top/>
      <bottom/>
      <diagonal/>
    </border>
    <border>
      <left/>
      <right style="medium">
        <color rgb="FF81BD9E"/>
      </right>
      <top/>
      <bottom/>
      <diagonal/>
    </border>
    <border>
      <left/>
      <right style="medium">
        <color rgb="FF81BD9E"/>
      </right>
      <top/>
      <bottom style="medium">
        <color rgb="FF81BD9E"/>
      </bottom>
      <diagonal/>
    </border>
    <border>
      <left style="medium">
        <color rgb="FF81BD9E"/>
      </left>
      <right/>
      <top style="medium">
        <color rgb="FF81BD9E"/>
      </top>
      <bottom style="medium">
        <color rgb="FF81BD9E"/>
      </bottom>
      <diagonal/>
    </border>
    <border>
      <left/>
      <right/>
      <top style="medium">
        <color rgb="FF81BD9E"/>
      </top>
      <bottom style="medium">
        <color rgb="FF81BD9E"/>
      </bottom>
      <diagonal/>
    </border>
    <border>
      <left/>
      <right style="medium">
        <color rgb="FF81BD9E"/>
      </right>
      <top style="medium">
        <color rgb="FF81BD9E"/>
      </top>
      <bottom style="medium">
        <color rgb="FF81BD9E"/>
      </bottom>
      <diagonal/>
    </border>
    <border>
      <left style="medium">
        <color rgb="FF81BD9E"/>
      </left>
      <right/>
      <top/>
      <bottom style="medium">
        <color rgb="FF81BD9E"/>
      </bottom>
      <diagonal/>
    </border>
    <border>
      <left/>
      <right/>
      <top/>
      <bottom style="medium">
        <color rgb="FF81BD9E"/>
      </bottom>
      <diagonal/>
    </border>
    <border>
      <left style="dashed">
        <color theme="2" tint="-0.499984740745262"/>
      </left>
      <right style="dashed">
        <color theme="2" tint="-0.499984740745262"/>
      </right>
      <top style="dashed">
        <color theme="2" tint="-0.499984740745262"/>
      </top>
      <bottom style="dashed">
        <color theme="2" tint="-0.499984740745262"/>
      </bottom>
      <diagonal/>
    </border>
    <border>
      <left/>
      <right/>
      <top style="dashed">
        <color theme="2" tint="-0.499984740745262"/>
      </top>
      <bottom style="dashed">
        <color theme="2" tint="-0.499984740745262"/>
      </bottom>
      <diagonal/>
    </border>
    <border>
      <left style="medium">
        <color rgb="FF59D977"/>
      </left>
      <right/>
      <top style="dashed">
        <color theme="2" tint="-0.499984740745262"/>
      </top>
      <bottom style="dashed">
        <color theme="2" tint="-0.499984740745262"/>
      </bottom>
      <diagonal/>
    </border>
    <border>
      <left/>
      <right style="medium">
        <color rgb="FF59D977"/>
      </right>
      <top style="dashed">
        <color theme="2" tint="-0.499984740745262"/>
      </top>
      <bottom style="dashed">
        <color theme="2" tint="-0.499984740745262"/>
      </bottom>
      <diagonal/>
    </border>
    <border>
      <left style="dotted">
        <color rgb="FF59D977"/>
      </left>
      <right style="dotted">
        <color rgb="FF59D977"/>
      </right>
      <top style="dashed">
        <color theme="2" tint="-0.499984740745262"/>
      </top>
      <bottom style="dashed">
        <color theme="2" tint="-0.499984740745262"/>
      </bottom>
      <diagonal/>
    </border>
    <border>
      <left style="dotted">
        <color rgb="FF59D977"/>
      </left>
      <right style="dashed">
        <color theme="2" tint="-0.499984740745262"/>
      </right>
      <top style="dashed">
        <color theme="2" tint="-0.499984740745262"/>
      </top>
      <bottom style="dashed">
        <color theme="2" tint="-0.499984740745262"/>
      </bottom>
      <diagonal/>
    </border>
    <border>
      <left style="dashed">
        <color theme="2" tint="-0.499984740745262"/>
      </left>
      <right/>
      <top style="dashed">
        <color theme="2" tint="-0.499984740745262"/>
      </top>
      <bottom/>
      <diagonal/>
    </border>
    <border>
      <left/>
      <right/>
      <top style="dashed">
        <color theme="2" tint="-0.499984740745262"/>
      </top>
      <bottom/>
      <diagonal/>
    </border>
    <border>
      <left/>
      <right style="medium">
        <color rgb="FF81BD9E"/>
      </right>
      <top style="dashed">
        <color theme="2" tint="-0.499984740745262"/>
      </top>
      <bottom/>
      <diagonal/>
    </border>
    <border>
      <left style="medium">
        <color rgb="FF81BD9E"/>
      </left>
      <right style="dotted">
        <color rgb="FF59D977"/>
      </right>
      <top style="dashed">
        <color theme="2" tint="-0.499984740745262"/>
      </top>
      <bottom/>
      <diagonal/>
    </border>
    <border>
      <left style="dotted">
        <color rgb="FF59D977"/>
      </left>
      <right style="medium">
        <color rgb="FF81BD9E"/>
      </right>
      <top style="dashed">
        <color theme="2" tint="-0.499984740745262"/>
      </top>
      <bottom/>
      <diagonal/>
    </border>
    <border>
      <left style="medium">
        <color rgb="FF81BD9E"/>
      </left>
      <right/>
      <top style="dashed">
        <color theme="2" tint="-0.499984740745262"/>
      </top>
      <bottom/>
      <diagonal/>
    </border>
    <border>
      <left style="dashed">
        <color theme="2" tint="-0.499984740745262"/>
      </left>
      <right style="dotted">
        <color rgb="FF59D977"/>
      </right>
      <top style="dashed">
        <color theme="2" tint="-0.499984740745262"/>
      </top>
      <bottom style="dashed">
        <color theme="2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rgb="FF0382EB"/>
      </left>
      <right/>
      <top style="medium">
        <color rgb="FF0382EB"/>
      </top>
      <bottom style="medium">
        <color rgb="FF0382EB"/>
      </bottom>
      <diagonal/>
    </border>
    <border>
      <left/>
      <right/>
      <top style="medium">
        <color rgb="FF0382EB"/>
      </top>
      <bottom style="medium">
        <color rgb="FF0382EB"/>
      </bottom>
      <diagonal/>
    </border>
    <border>
      <left style="medium">
        <color rgb="FF47A5E5"/>
      </left>
      <right/>
      <top style="medium">
        <color rgb="FF0382EB"/>
      </top>
      <bottom style="medium">
        <color rgb="FF0382EB"/>
      </bottom>
      <diagonal/>
    </border>
    <border>
      <left/>
      <right style="medium">
        <color rgb="FF0382EB"/>
      </right>
      <top style="medium">
        <color rgb="FF0382EB"/>
      </top>
      <bottom style="medium">
        <color rgb="FF0382EB"/>
      </bottom>
      <diagonal/>
    </border>
    <border>
      <left/>
      <right style="thin">
        <color rgb="FF00B050"/>
      </right>
      <top/>
      <bottom/>
      <diagonal/>
    </border>
    <border>
      <left style="medium">
        <color rgb="FF81BD9E"/>
      </left>
      <right/>
      <top style="medium">
        <color rgb="FF81BD9E"/>
      </top>
      <bottom/>
      <diagonal/>
    </border>
    <border>
      <left/>
      <right/>
      <top style="medium">
        <color rgb="FF81BD9E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27" fillId="0" borderId="0"/>
    <xf numFmtId="165" fontId="28" fillId="0" borderId="0" applyFont="0" applyFill="0" applyBorder="0" applyAlignment="0" applyProtection="0"/>
    <xf numFmtId="0" fontId="1" fillId="0" borderId="0"/>
    <xf numFmtId="0" fontId="28" fillId="0" borderId="0"/>
    <xf numFmtId="0" fontId="3" fillId="0" borderId="0"/>
  </cellStyleXfs>
  <cellXfs count="196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 vertical="center"/>
    </xf>
    <xf numFmtId="9" fontId="0" fillId="2" borderId="0" xfId="1" applyFont="1" applyFill="1" applyBorder="1" applyAlignment="1">
      <alignment wrapText="1"/>
    </xf>
    <xf numFmtId="9" fontId="0" fillId="7" borderId="0" xfId="1" applyFont="1" applyFill="1" applyBorder="1" applyAlignment="1">
      <alignment wrapText="1"/>
    </xf>
    <xf numFmtId="9" fontId="0" fillId="8" borderId="0" xfId="1" applyFont="1" applyFill="1" applyBorder="1" applyAlignment="1">
      <alignment wrapText="1"/>
    </xf>
    <xf numFmtId="9" fontId="10" fillId="7" borderId="0" xfId="1" applyFont="1" applyFill="1" applyBorder="1" applyAlignment="1">
      <alignment wrapText="1"/>
    </xf>
    <xf numFmtId="9" fontId="0" fillId="8" borderId="0" xfId="1" applyFont="1" applyFill="1" applyBorder="1"/>
    <xf numFmtId="0" fontId="0" fillId="2" borderId="0" xfId="0" applyFill="1" applyAlignment="1">
      <alignment vertical="center"/>
    </xf>
    <xf numFmtId="0" fontId="2" fillId="2" borderId="0" xfId="0" applyFont="1" applyFill="1"/>
    <xf numFmtId="0" fontId="14" fillId="2" borderId="9" xfId="0" applyFont="1" applyFill="1" applyBorder="1"/>
    <xf numFmtId="0" fontId="15" fillId="2" borderId="10" xfId="0" applyFont="1" applyFill="1" applyBorder="1"/>
    <xf numFmtId="0" fontId="16" fillId="2" borderId="11" xfId="0" applyFont="1" applyFill="1" applyBorder="1"/>
    <xf numFmtId="0" fontId="16" fillId="2" borderId="12" xfId="0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9" fillId="2" borderId="15" xfId="0" applyFont="1" applyFill="1" applyBorder="1"/>
    <xf numFmtId="0" fontId="15" fillId="2" borderId="11" xfId="0" applyFont="1" applyFill="1" applyBorder="1"/>
    <xf numFmtId="0" fontId="9" fillId="2" borderId="0" xfId="0" applyFont="1" applyFill="1"/>
    <xf numFmtId="0" fontId="9" fillId="2" borderId="11" xfId="0" applyFont="1" applyFill="1" applyBorder="1"/>
    <xf numFmtId="0" fontId="15" fillId="2" borderId="13" xfId="0" applyFont="1" applyFill="1" applyBorder="1"/>
    <xf numFmtId="0" fontId="9" fillId="2" borderId="16" xfId="0" applyFont="1" applyFill="1" applyBorder="1"/>
    <xf numFmtId="0" fontId="9" fillId="2" borderId="10" xfId="0" applyFont="1" applyFill="1" applyBorder="1"/>
    <xf numFmtId="0" fontId="9" fillId="2" borderId="12" xfId="0" applyFont="1" applyFill="1" applyBorder="1"/>
    <xf numFmtId="0" fontId="9" fillId="2" borderId="13" xfId="0" applyFont="1" applyFill="1" applyBorder="1"/>
    <xf numFmtId="0" fontId="9" fillId="2" borderId="14" xfId="0" applyFont="1" applyFill="1" applyBorder="1"/>
    <xf numFmtId="0" fontId="13" fillId="2" borderId="9" xfId="0" applyFont="1" applyFill="1" applyBorder="1"/>
    <xf numFmtId="0" fontId="21" fillId="2" borderId="11" xfId="0" applyFont="1" applyFill="1" applyBorder="1" applyAlignment="1">
      <alignment horizontal="left" vertical="top"/>
    </xf>
    <xf numFmtId="0" fontId="21" fillId="2" borderId="13" xfId="0" applyFont="1" applyFill="1" applyBorder="1" applyAlignment="1">
      <alignment horizontal="left" vertical="top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0" fillId="3" borderId="0" xfId="1" applyFont="1" applyFill="1" applyBorder="1" applyAlignment="1">
      <alignment horizontal="center" vertical="center"/>
    </xf>
    <xf numFmtId="0" fontId="0" fillId="3" borderId="0" xfId="1" applyNumberFormat="1" applyFont="1" applyFill="1" applyBorder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9" fontId="0" fillId="3" borderId="0" xfId="1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5" borderId="0" xfId="0" applyFill="1" applyAlignment="1">
      <alignment vertical="center"/>
    </xf>
    <xf numFmtId="9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2" borderId="24" xfId="0" applyFill="1" applyBorder="1" applyAlignment="1">
      <alignment wrapText="1"/>
    </xf>
    <xf numFmtId="0" fontId="0" fillId="2" borderId="25" xfId="0" applyFill="1" applyBorder="1"/>
    <xf numFmtId="0" fontId="0" fillId="7" borderId="24" xfId="0" applyFill="1" applyBorder="1" applyAlignment="1">
      <alignment wrapText="1"/>
    </xf>
    <xf numFmtId="0" fontId="0" fillId="2" borderId="26" xfId="0" applyFill="1" applyBorder="1"/>
    <xf numFmtId="0" fontId="0" fillId="2" borderId="30" xfId="0" applyFill="1" applyBorder="1" applyAlignment="1">
      <alignment wrapText="1"/>
    </xf>
    <xf numFmtId="0" fontId="4" fillId="2" borderId="0" xfId="2" applyFont="1" applyFill="1"/>
    <xf numFmtId="0" fontId="4" fillId="2" borderId="0" xfId="2" applyFont="1" applyFill="1" applyAlignment="1">
      <alignment horizontal="right"/>
    </xf>
    <xf numFmtId="0" fontId="4" fillId="2" borderId="0" xfId="2" applyFont="1" applyFill="1" applyAlignment="1">
      <alignment horizontal="center"/>
    </xf>
    <xf numFmtId="0" fontId="26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 vertical="top"/>
    </xf>
    <xf numFmtId="0" fontId="4" fillId="2" borderId="0" xfId="2" applyFont="1" applyFill="1" applyAlignment="1">
      <alignment vertical="top"/>
    </xf>
    <xf numFmtId="0" fontId="5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 vertical="top" wrapText="1"/>
    </xf>
    <xf numFmtId="0" fontId="4" fillId="9" borderId="0" xfId="2" applyFont="1" applyFill="1" applyAlignment="1">
      <alignment horizontal="center" vertical="top" wrapText="1"/>
    </xf>
    <xf numFmtId="0" fontId="4" fillId="9" borderId="0" xfId="2" applyFont="1" applyFill="1"/>
    <xf numFmtId="0" fontId="22" fillId="2" borderId="0" xfId="2" applyFont="1" applyFill="1" applyAlignment="1">
      <alignment horizontal="center"/>
    </xf>
    <xf numFmtId="1" fontId="4" fillId="2" borderId="0" xfId="2" applyNumberFormat="1" applyFont="1" applyFill="1"/>
    <xf numFmtId="0" fontId="4" fillId="7" borderId="0" xfId="2" applyFont="1" applyFill="1" applyAlignment="1">
      <alignment horizontal="center" vertical="top" wrapText="1"/>
    </xf>
    <xf numFmtId="0" fontId="4" fillId="7" borderId="0" xfId="2" applyFont="1" applyFill="1" applyAlignment="1">
      <alignment horizontal="center"/>
    </xf>
    <xf numFmtId="0" fontId="4" fillId="4" borderId="0" xfId="2" applyFont="1" applyFill="1" applyAlignment="1">
      <alignment horizontal="center" vertical="top" wrapText="1"/>
    </xf>
    <xf numFmtId="1" fontId="4" fillId="4" borderId="0" xfId="2" applyNumberFormat="1" applyFont="1" applyFill="1" applyAlignment="1">
      <alignment horizontal="center" vertical="top" wrapText="1"/>
    </xf>
    <xf numFmtId="0" fontId="4" fillId="4" borderId="0" xfId="2" applyFont="1" applyFill="1" applyAlignment="1">
      <alignment horizontal="center"/>
    </xf>
    <xf numFmtId="0" fontId="13" fillId="2" borderId="0" xfId="0" applyFont="1" applyFill="1" applyAlignment="1">
      <alignment wrapText="1"/>
    </xf>
    <xf numFmtId="9" fontId="9" fillId="9" borderId="0" xfId="1" applyFont="1" applyFill="1" applyBorder="1" applyAlignment="1">
      <alignment horizontal="center" vertical="center" wrapText="1"/>
    </xf>
    <xf numFmtId="0" fontId="22" fillId="2" borderId="0" xfId="2" applyFont="1" applyFill="1" applyAlignment="1">
      <alignment horizontal="center" vertical="center"/>
    </xf>
    <xf numFmtId="0" fontId="13" fillId="9" borderId="0" xfId="0" applyFont="1" applyFill="1" applyAlignment="1">
      <alignment wrapText="1"/>
    </xf>
    <xf numFmtId="9" fontId="4" fillId="2" borderId="0" xfId="2" applyNumberFormat="1" applyFont="1" applyFill="1"/>
    <xf numFmtId="9" fontId="13" fillId="9" borderId="0" xfId="0" applyNumberFormat="1" applyFont="1" applyFill="1" applyAlignment="1">
      <alignment horizontal="left" vertical="center"/>
    </xf>
    <xf numFmtId="0" fontId="13" fillId="9" borderId="0" xfId="0" applyFont="1" applyFill="1"/>
    <xf numFmtId="0" fontId="22" fillId="2" borderId="0" xfId="2" applyFont="1" applyFill="1" applyAlignment="1">
      <alignment horizontal="left"/>
    </xf>
    <xf numFmtId="0" fontId="4" fillId="0" borderId="0" xfId="2" applyFont="1"/>
    <xf numFmtId="0" fontId="7" fillId="2" borderId="0" xfId="2" applyFont="1" applyFill="1" applyAlignment="1">
      <alignment vertical="center" wrapText="1"/>
    </xf>
    <xf numFmtId="0" fontId="8" fillId="2" borderId="0" xfId="0" applyFont="1" applyFill="1"/>
    <xf numFmtId="9" fontId="4" fillId="9" borderId="0" xfId="2" applyNumberFormat="1" applyFont="1" applyFill="1"/>
    <xf numFmtId="0" fontId="4" fillId="2" borderId="0" xfId="2" applyFont="1" applyFill="1" applyAlignment="1">
      <alignment horizontal="left"/>
    </xf>
    <xf numFmtId="0" fontId="11" fillId="2" borderId="0" xfId="0" applyFont="1" applyFill="1"/>
    <xf numFmtId="0" fontId="12" fillId="2" borderId="0" xfId="0" applyFont="1" applyFill="1" applyAlignment="1">
      <alignment vertical="center"/>
    </xf>
    <xf numFmtId="1" fontId="12" fillId="2" borderId="0" xfId="0" applyNumberFormat="1" applyFont="1" applyFill="1" applyAlignment="1">
      <alignment vertical="center"/>
    </xf>
    <xf numFmtId="0" fontId="11" fillId="9" borderId="0" xfId="0" applyFont="1" applyFill="1"/>
    <xf numFmtId="10" fontId="4" fillId="2" borderId="0" xfId="1" applyNumberFormat="1" applyFont="1" applyFill="1"/>
    <xf numFmtId="164" fontId="4" fillId="2" borderId="0" xfId="1" applyNumberFormat="1" applyFont="1" applyFill="1"/>
    <xf numFmtId="0" fontId="4" fillId="2" borderId="0" xfId="2" quotePrefix="1" applyFont="1" applyFill="1"/>
    <xf numFmtId="0" fontId="4" fillId="2" borderId="17" xfId="2" applyFont="1" applyFill="1" applyBorder="1"/>
    <xf numFmtId="0" fontId="4" fillId="2" borderId="18" xfId="2" applyFont="1" applyFill="1" applyBorder="1"/>
    <xf numFmtId="0" fontId="4" fillId="2" borderId="19" xfId="2" applyFont="1" applyFill="1" applyBorder="1"/>
    <xf numFmtId="0" fontId="4" fillId="2" borderId="20" xfId="2" applyFont="1" applyFill="1" applyBorder="1"/>
    <xf numFmtId="0" fontId="4" fillId="2" borderId="21" xfId="2" applyFont="1" applyFill="1" applyBorder="1"/>
    <xf numFmtId="0" fontId="4" fillId="2" borderId="22" xfId="2" applyFont="1" applyFill="1" applyBorder="1"/>
    <xf numFmtId="0" fontId="4" fillId="2" borderId="0" xfId="2" applyFont="1" applyFill="1" applyAlignment="1">
      <alignment wrapText="1"/>
    </xf>
    <xf numFmtId="0" fontId="19" fillId="2" borderId="0" xfId="0" applyFont="1" applyFill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locked="0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 applyProtection="1">
      <alignment horizontal="center"/>
      <protection hidden="1"/>
    </xf>
    <xf numFmtId="0" fontId="20" fillId="2" borderId="5" xfId="0" applyFont="1" applyFill="1" applyBorder="1" applyAlignment="1" applyProtection="1">
      <alignment horizontal="center"/>
      <protection locked="0"/>
    </xf>
    <xf numFmtId="0" fontId="19" fillId="2" borderId="4" xfId="0" applyFont="1" applyFill="1" applyBorder="1" applyAlignment="1" applyProtection="1">
      <alignment horizontal="center"/>
      <protection hidden="1"/>
    </xf>
    <xf numFmtId="0" fontId="19" fillId="2" borderId="6" xfId="0" applyFont="1" applyFill="1" applyBorder="1" applyAlignment="1" applyProtection="1">
      <alignment horizontal="center"/>
      <protection hidden="1"/>
    </xf>
    <xf numFmtId="0" fontId="19" fillId="2" borderId="7" xfId="0" applyFont="1" applyFill="1" applyBorder="1" applyAlignment="1" applyProtection="1">
      <alignment horizontal="center"/>
      <protection hidden="1"/>
    </xf>
    <xf numFmtId="0" fontId="20" fillId="2" borderId="7" xfId="0" applyFont="1" applyFill="1" applyBorder="1" applyAlignment="1" applyProtection="1">
      <alignment horizontal="center"/>
      <protection locked="0"/>
    </xf>
    <xf numFmtId="0" fontId="20" fillId="2" borderId="8" xfId="0" applyFont="1" applyFill="1" applyBorder="1" applyAlignment="1" applyProtection="1">
      <alignment horizontal="center"/>
      <protection locked="0"/>
    </xf>
    <xf numFmtId="0" fontId="3" fillId="9" borderId="0" xfId="2" applyFill="1"/>
    <xf numFmtId="0" fontId="4" fillId="4" borderId="0" xfId="2" applyFont="1" applyFill="1"/>
    <xf numFmtId="0" fontId="4" fillId="7" borderId="0" xfId="2" applyFont="1" applyFill="1"/>
    <xf numFmtId="0" fontId="4" fillId="9" borderId="0" xfId="2" applyFont="1" applyFill="1" applyAlignment="1">
      <alignment wrapText="1"/>
    </xf>
    <xf numFmtId="0" fontId="12" fillId="7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1" fontId="12" fillId="4" borderId="0" xfId="0" applyNumberFormat="1" applyFont="1" applyFill="1" applyAlignment="1">
      <alignment vertical="center"/>
    </xf>
    <xf numFmtId="0" fontId="11" fillId="4" borderId="0" xfId="0" applyFont="1" applyFill="1"/>
    <xf numFmtId="0" fontId="11" fillId="7" borderId="0" xfId="0" applyFont="1" applyFill="1"/>
    <xf numFmtId="0" fontId="4" fillId="6" borderId="0" xfId="2" applyFont="1" applyFill="1" applyAlignment="1">
      <alignment horizontal="center" vertical="top" wrapText="1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9" borderId="24" xfId="0" applyFill="1" applyBorder="1" applyAlignment="1">
      <alignment wrapText="1"/>
    </xf>
    <xf numFmtId="0" fontId="0" fillId="4" borderId="24" xfId="0" applyFill="1" applyBorder="1" applyAlignment="1">
      <alignment wrapText="1"/>
    </xf>
    <xf numFmtId="0" fontId="0" fillId="11" borderId="24" xfId="0" applyFill="1" applyBorder="1" applyAlignment="1">
      <alignment wrapText="1"/>
    </xf>
    <xf numFmtId="0" fontId="0" fillId="2" borderId="31" xfId="0" applyFill="1" applyBorder="1"/>
    <xf numFmtId="0" fontId="24" fillId="10" borderId="0" xfId="0" applyFont="1" applyFill="1" applyAlignment="1">
      <alignment horizontal="center" vertical="center" wrapText="1"/>
    </xf>
    <xf numFmtId="0" fontId="24" fillId="12" borderId="0" xfId="0" applyFont="1" applyFill="1" applyAlignment="1">
      <alignment horizontal="center" vertical="center" wrapText="1"/>
    </xf>
    <xf numFmtId="0" fontId="0" fillId="6" borderId="32" xfId="0" applyFill="1" applyBorder="1" applyAlignment="1">
      <alignment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2" borderId="0" xfId="1" applyNumberFormat="1" applyFont="1" applyFill="1" applyBorder="1" applyAlignment="1">
      <alignment horizontal="center" vertical="center"/>
    </xf>
    <xf numFmtId="0" fontId="29" fillId="2" borderId="0" xfId="0" applyFont="1" applyFill="1"/>
    <xf numFmtId="0" fontId="30" fillId="2" borderId="0" xfId="0" applyFont="1" applyFill="1" applyAlignment="1">
      <alignment wrapText="1"/>
    </xf>
    <xf numFmtId="0" fontId="0" fillId="2" borderId="0" xfId="0" applyFill="1" applyAlignment="1">
      <alignment horizontal="left"/>
    </xf>
    <xf numFmtId="0" fontId="24" fillId="15" borderId="0" xfId="0" applyFont="1" applyFill="1" applyAlignment="1">
      <alignment horizontal="center" vertical="center" wrapText="1"/>
    </xf>
    <xf numFmtId="0" fontId="24" fillId="15" borderId="46" xfId="0" applyFont="1" applyFill="1" applyBorder="1" applyAlignment="1">
      <alignment horizontal="center" vertical="center" wrapText="1"/>
    </xf>
    <xf numFmtId="0" fontId="24" fillId="15" borderId="47" xfId="0" applyFont="1" applyFill="1" applyBorder="1" applyAlignment="1">
      <alignment horizontal="center" vertical="center" wrapText="1"/>
    </xf>
    <xf numFmtId="0" fontId="24" fillId="15" borderId="48" xfId="0" applyFont="1" applyFill="1" applyBorder="1" applyAlignment="1">
      <alignment horizontal="center" vertical="center" wrapText="1"/>
    </xf>
    <xf numFmtId="0" fontId="24" fillId="15" borderId="49" xfId="0" applyFont="1" applyFill="1" applyBorder="1" applyAlignment="1">
      <alignment horizontal="center" vertical="center" wrapText="1"/>
    </xf>
    <xf numFmtId="0" fontId="25" fillId="5" borderId="0" xfId="0" applyFont="1" applyFill="1"/>
    <xf numFmtId="0" fontId="23" fillId="0" borderId="0" xfId="0" applyFont="1" applyAlignment="1">
      <alignment vertical="center" wrapText="1"/>
    </xf>
    <xf numFmtId="0" fontId="0" fillId="2" borderId="50" xfId="0" applyFill="1" applyBorder="1" applyAlignment="1">
      <alignment horizontal="center" vertical="center"/>
    </xf>
    <xf numFmtId="0" fontId="25" fillId="5" borderId="50" xfId="0" applyFont="1" applyFill="1" applyBorder="1"/>
    <xf numFmtId="0" fontId="23" fillId="0" borderId="50" xfId="0" applyFont="1" applyBorder="1" applyAlignment="1">
      <alignment vertical="center" wrapText="1"/>
    </xf>
    <xf numFmtId="0" fontId="24" fillId="10" borderId="50" xfId="0" applyFont="1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/>
    </xf>
    <xf numFmtId="3" fontId="0" fillId="2" borderId="50" xfId="0" applyNumberFormat="1" applyFill="1" applyBorder="1" applyAlignment="1">
      <alignment horizontal="center" vertical="center"/>
    </xf>
    <xf numFmtId="3" fontId="24" fillId="15" borderId="50" xfId="0" applyNumberFormat="1" applyFont="1" applyFill="1" applyBorder="1" applyAlignment="1">
      <alignment horizontal="center" vertical="center" wrapText="1"/>
    </xf>
    <xf numFmtId="0" fontId="0" fillId="2" borderId="0" xfId="1" applyNumberFormat="1" applyFont="1" applyFill="1" applyBorder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9" borderId="0" xfId="0" applyFill="1"/>
    <xf numFmtId="0" fontId="31" fillId="2" borderId="0" xfId="0" applyFont="1" applyFill="1"/>
    <xf numFmtId="0" fontId="33" fillId="14" borderId="0" xfId="0" applyFont="1" applyFill="1"/>
    <xf numFmtId="0" fontId="0" fillId="14" borderId="0" xfId="0" applyFill="1"/>
    <xf numFmtId="0" fontId="33" fillId="9" borderId="0" xfId="0" applyFont="1" applyFill="1"/>
    <xf numFmtId="0" fontId="34" fillId="2" borderId="0" xfId="0" applyFont="1" applyFill="1"/>
    <xf numFmtId="0" fontId="34" fillId="2" borderId="0" xfId="0" applyFont="1" applyFill="1" applyAlignment="1">
      <alignment horizontal="center" vertical="center"/>
    </xf>
    <xf numFmtId="0" fontId="31" fillId="14" borderId="0" xfId="0" applyFont="1" applyFill="1"/>
    <xf numFmtId="0" fontId="31" fillId="2" borderId="45" xfId="0" applyFont="1" applyFill="1" applyBorder="1" applyAlignment="1">
      <alignment horizontal="left" vertical="center"/>
    </xf>
    <xf numFmtId="0" fontId="31" fillId="2" borderId="45" xfId="0" applyFont="1" applyFill="1" applyBorder="1" applyAlignment="1">
      <alignment horizontal="left" vertical="top" wrapText="1"/>
    </xf>
    <xf numFmtId="0" fontId="31" fillId="9" borderId="0" xfId="0" applyFont="1" applyFill="1"/>
    <xf numFmtId="0" fontId="31" fillId="2" borderId="45" xfId="0" applyFont="1" applyFill="1" applyBorder="1" applyAlignment="1">
      <alignment horizontal="center" vertical="center"/>
    </xf>
    <xf numFmtId="0" fontId="31" fillId="5" borderId="45" xfId="0" applyFont="1" applyFill="1" applyBorder="1" applyAlignment="1">
      <alignment horizontal="center" vertical="center" wrapText="1"/>
    </xf>
    <xf numFmtId="0" fontId="31" fillId="2" borderId="45" xfId="0" applyFont="1" applyFill="1" applyBorder="1" applyAlignment="1">
      <alignment horizontal="center" vertical="center" wrapText="1"/>
    </xf>
    <xf numFmtId="0" fontId="32" fillId="2" borderId="45" xfId="0" applyFont="1" applyFill="1" applyBorder="1" applyAlignment="1">
      <alignment horizontal="center" vertical="center"/>
    </xf>
    <xf numFmtId="0" fontId="32" fillId="5" borderId="45" xfId="0" applyFont="1" applyFill="1" applyBorder="1" applyAlignment="1">
      <alignment horizontal="center" vertical="center" wrapText="1"/>
    </xf>
    <xf numFmtId="0" fontId="32" fillId="2" borderId="45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5" fillId="2" borderId="0" xfId="0" applyFont="1" applyFill="1"/>
    <xf numFmtId="0" fontId="35" fillId="2" borderId="0" xfId="0" applyFont="1" applyFill="1" applyAlignment="1">
      <alignment horizontal="left"/>
    </xf>
    <xf numFmtId="0" fontId="35" fillId="2" borderId="0" xfId="0" applyFont="1" applyFill="1" applyAlignment="1">
      <alignment wrapText="1"/>
    </xf>
    <xf numFmtId="0" fontId="35" fillId="2" borderId="0" xfId="0" applyFont="1" applyFill="1" applyAlignment="1">
      <alignment horizontal="center" vertical="center"/>
    </xf>
    <xf numFmtId="3" fontId="35" fillId="2" borderId="50" xfId="0" applyNumberFormat="1" applyFont="1" applyFill="1" applyBorder="1" applyAlignment="1">
      <alignment horizontal="center" vertical="center"/>
    </xf>
    <xf numFmtId="0" fontId="36" fillId="13" borderId="0" xfId="0" applyFont="1" applyFill="1" applyAlignment="1">
      <alignment horizontal="center" vertical="center" wrapText="1"/>
    </xf>
    <xf numFmtId="0" fontId="36" fillId="13" borderId="23" xfId="0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9" fontId="0" fillId="2" borderId="0" xfId="1" applyFont="1" applyFill="1" applyBorder="1" applyAlignment="1">
      <alignment horizontal="center" vertical="center"/>
    </xf>
    <xf numFmtId="9" fontId="0" fillId="2" borderId="0" xfId="1" applyFont="1" applyFill="1" applyAlignment="1">
      <alignment horizontal="left" vertical="center" wrapText="1"/>
    </xf>
    <xf numFmtId="0" fontId="25" fillId="5" borderId="51" xfId="0" applyFont="1" applyFill="1" applyBorder="1" applyAlignment="1">
      <alignment horizontal="center" wrapText="1"/>
    </xf>
    <xf numFmtId="0" fontId="25" fillId="5" borderId="52" xfId="0" applyFont="1" applyFill="1" applyBorder="1" applyAlignment="1">
      <alignment horizont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6" borderId="44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0" fillId="6" borderId="37" xfId="0" applyFill="1" applyBorder="1" applyAlignment="1">
      <alignment horizontal="center" vertical="center" wrapText="1"/>
    </xf>
    <xf numFmtId="0" fontId="6" fillId="5" borderId="33" xfId="0" applyFont="1" applyFill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center" vertical="center" wrapText="1"/>
    </xf>
    <xf numFmtId="0" fontId="6" fillId="5" borderId="35" xfId="0" applyFont="1" applyFill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36" fillId="13" borderId="23" xfId="0" applyFont="1" applyFill="1" applyBorder="1" applyAlignment="1">
      <alignment horizontal="center" vertical="center"/>
    </xf>
    <xf numFmtId="0" fontId="36" fillId="13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8">
    <cellStyle name="Обычный" xfId="0" builtinId="0"/>
    <cellStyle name="Обычный 2" xfId="7" xr:uid="{00000000-0005-0000-0000-000001000000}"/>
    <cellStyle name="Обычный 2 19" xfId="6" xr:uid="{00000000-0005-0000-0000-000002000000}"/>
    <cellStyle name="Обычный 2 2" xfId="5" xr:uid="{00000000-0005-0000-0000-000003000000}"/>
    <cellStyle name="Обычный 4" xfId="2" xr:uid="{00000000-0005-0000-0000-000004000000}"/>
    <cellStyle name="Процентный" xfId="1" builtinId="5"/>
    <cellStyle name="Стиль 1" xfId="3" xr:uid="{00000000-0005-0000-0000-000006000000}"/>
    <cellStyle name="Финансовый 2 2" xfId="4" xr:uid="{00000000-0005-0000-0000-000007000000}"/>
  </cellStyles>
  <dxfs count="26"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E7E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8FCDB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797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D8FCDB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D8FCD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7E7"/>
      <color rgb="FFFF9797"/>
      <color rgb="FFD8FCDB"/>
      <color rgb="FF007CA8"/>
      <color rgb="FF81BD9E"/>
      <color rgb="FF0382EB"/>
      <color rgb="FFBBEEF7"/>
      <color rgb="FF47A5E5"/>
      <color rgb="FFFF8F8F"/>
      <color rgb="FF02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http://B934D5FBB66167D88503213D095AD19F.dms.sberbank.ru/B934D5FBB66167D88503213D095AD19F-1F9A035EC14162CDBCDA205E840277BC-42ADBC8C4082F357E761CBE355EA801B/1.png" TargetMode="External"/><Relationship Id="rId1" Type="http://schemas.openxmlformats.org/officeDocument/2006/relationships/image" Target="http://93E7279B6C0696E596C573C136D17E7E.dms.sberbank.ru/93E7279B6C0696E596C573C136D17E7E-2F900F925026F095A0B0A729A56F36E2-2EFFD30C3579AB525AB6070E15344F05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1273753</xdr:colOff>
      <xdr:row>0</xdr:row>
      <xdr:rowOff>117931</xdr:rowOff>
    </xdr:from>
    <xdr:to>
      <xdr:col>55</xdr:col>
      <xdr:colOff>3037191</xdr:colOff>
      <xdr:row>14</xdr:row>
      <xdr:rowOff>105992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90389" y="117931"/>
          <a:ext cx="6795813" cy="2722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1588</xdr:colOff>
      <xdr:row>0</xdr:row>
      <xdr:rowOff>1588</xdr:rowOff>
    </xdr:to>
    <xdr:pic>
      <xdr:nvPicPr>
        <xdr:cNvPr id="2" name="Рисунок 1" descr="http://93E7279B6C0696E596C573C136D17E7E.dms.sberbank.ru/93E7279B6C0696E596C573C136D17E7E-2F900F925026F095A0B0A729A56F36E2-2EFFD30C3579AB525AB6070E15344F05/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1588</xdr:colOff>
      <xdr:row>221</xdr:row>
      <xdr:rowOff>1588</xdr:rowOff>
    </xdr:to>
    <xdr:pic>
      <xdr:nvPicPr>
        <xdr:cNvPr id="3" name="Рисунок 2" descr="http://B934D5FBB66167D88503213D095AD19F.dms.sberbank.ru/B934D5FBB66167D88503213D095AD19F-1F9A035EC14162CDBCDA205E840277BC-42ADBC8C4082F357E761CBE355EA801B/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sf/Home/Client/Cal%20Fed/CalFed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EMOSFS1/Departments/CoRe/2001/Spirits%20&amp;%20Wine/Deal/Nightlife/Bacardi%20Financing/Models/TEMP/22-03-99/B%20T%20C/OTE%20AND%20MERGER%20ANALYSIS%20-%2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comp.ru/DFS/Finance_Dept/Common/&#1041;&#1077;&#1083;&#1082;&#1080;&#1085;/!Ftf/&#1072;&#1075;&#1088;&#1077;&#1075;&#1080;&#1088;&#1082;&#1072;/&#1084;&#1077;&#1090;&#1086;&#1076;&#1080;&#1082;&#1072;302/&#1089;&#1090;&#1072;&#1088;&#1099;&#1077;%20&#1084;&#1072;&#1090;&#1077;&#1088;&#1080;&#1072;&#1083;&#1099;/DohRash01070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comp.ru/DFS/GHRS/special/Banksurvey%202009/Forms%20UPDATED/Questionnaires/SD/Salary%20Data_Regions_20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issm3/Disk_K/windows/TEMP/&#1054;&#1058;&#1063;&#1045;&#1058;&#1067;_&#1059;&#1060;&#1057;&#1055;_20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sf/Home/BBS.TAX/GHRS/special/Banksurvey%202009/Forms%20UPDATED/Questionnaires/SD/Salary%20Data_Regions_200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comp.ru/DFS/&#1052;&#1086;&#1080;%20&#1076;&#1086;&#1082;&#1091;&#1084;&#1077;&#1085;&#1090;&#1099;/&#1092;.7.10/2008/01.05.2008/&#1092;.7.10(&#1089;&#1074;&#1086;&#1076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RB-FS05/PUB_Unlim/windows/TEMP/RptTempl$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ml-fs1/Users/&#1060;.&#8470;155/2002/1.10.2002/&#1055;&#1088;&#1080;&#1083;&#1086;&#1078;&#1077;&#1085;&#1080;&#1077;%20&#8470;%2018%2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ork\&#1057;&#1090;&#1072;&#1090;&#1086;&#1090;&#1095;&#1077;&#1090;&#1085;&#1086;&#1089;&#1090;&#1100;\&#1053;&#1086;&#1074;&#1099;&#1077;%20&#1092;&#1086;&#1088;&#1084;&#1099;%20&#1074;&#1074;&#1086;&#1076;&#1072;\&#1055;&#1086;&#1083;&#1103;%20&#1082;&#1083;&#1072;&#1089;&#1089;&#1080;&#1092;&#1080;&#1082;&#1072;&#1090;&#1086;&#1088;&#1086;&#1074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ed1/Vol1/Users/Panferova-OlV/AppData/Local/Microsoft/Windows/Temporary%20Internet%20Files/Content.Outlook/XFYWRHTV/&#1057;&#1090;&#1072;&#1090;&#1100;&#1080;201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0;&#1086;&#1083;-&#1074;&#1086;%20&#1087;&#1086;&#1076;&#1088;&#1072;&#1079;&#1076;&#1077;&#1083;&#1077;&#1085;&#1080;&#1081;%20&#1057;&#1041;%20&#1056;&#1060;%20&#1085;&#1072;%2001%2010%2009%20(08%2010%2009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k_K\Documents%20and%20Settings\gebet-yd\Local%20Settings\Temporary%20Internet%20Files\OLK6D9\&#1052;&#1086;&#1080;%20&#1076;&#1086;&#1082;&#1091;&#1084;&#1077;&#1085;&#1090;&#1099;\&#1041;&#1102;&#1083;&#1083;&#1077;&#1090;&#1077;&#1085;&#1100;\BUL\&#1050;&#1088;&#1077;&#1076;&#1080;&#1090;&#1086;&#1074;&#1072;&#1085;&#1080;&#1077;%20&#1057;&#1090;&#1072;&#1090;&#1086;&#1090;&#1095;&#1077;&#1090;&#1085;&#1086;&#1089;&#1090;&#110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missm3/Disk_K/DOCUME~1/KOBRIN~1/LOCALS~1/Temp/9/Rar$DI47.937/&#1085;&#1072;&#1094;&#1087;&#1088;&#1086;&#1077;&#1082;&#1090;&#1099;%20&#1080;&#1079;%20&#1089;&#1090;&#1072;&#1090;&#1086;&#1090;&#1095;&#1077;&#1090;&#1085;&#1086;&#1089;&#1090;&#1080;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k_K\Documents%20and%20Settings\gebet-yd\Local%20Settings\Temporary%20Internet%20Files\OLK6D9\Documents%20and%20Settings\Stuckiy-YA\Local%20Settings\Temporary%20Internet%20Files\OLK8B3\&#1057;&#1042;&#1054;&#1044;%20&#1060;&#1086;&#1088;&#1084;&#1072;%207%2012%202008%20&#1075;&#1086;&#107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missm3/Disk_K/1&#1050;&#1086;&#1079;&#1099;&#1088;&#1077;&#1074;/1%20&#1059;&#1082;&#1095;&#1082;/&#1060;&#1086;&#1088;&#1084;&#1099;%20&#1086;&#1090;&#1095;&#1077;&#1090;&#1085;&#1086;&#1089;&#1090;&#1080;/&#1045;&#1078;&#1077;&#1082;&#1074;&#1072;&#1088;&#1090;&#1072;&#1083;&#1100;&#1085;&#1099;&#1077;/&#1060;&#1086;&#1088;&#1084;&#1072;%207.11/Kr_07_04_&#1089;&#1086;%20&#1089;&#1088;&#1086;&#1095;&#1085;&#1086;&#108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missm3/Disk_K/Documents%20and%20Settings/Belyakova-VM/Local%20Settings/Temporary%20Internet%20Files/Content.Outlook/0KZIEELO/2.6%20&#1062;&#1040;%20%20%2001.01.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comp.ru/DFS/Users/SBT-Vishnev-AS/AppData/Local/Microsoft/Windows/Temporary%20Internet%20Files/Content.Outlook/H8TVB2EE/2013-10-01%20&#1054;&#1090;&#1095;&#1077;&#1090;%20(&#1085;&#1072;%2018%201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comp.ru/DFS/Documents%20and%20Settings/Florinskaya-TF/Local%20Settings/Temporary%20Internet%20Files/OLK2/&#1050;&#1088;&#1077;&#1076;&#1080;&#1090;&#1085;&#1099;&#1081;%20&#1087;&#1086;&#1088;&#1090;&#1092;&#1077;&#1083;&#1100;%20(&#1073;&#1077;&#1079;&#1052;&#1041;&#1050;)%20&#1087;&#1086;%20&#1086;&#1090;&#1088;&#1072;&#1089;&#1083;&#1103;&#108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comp.ru/DFS/&#1042;&#1057;&#1071;%20&#1054;&#1058;&#1063;&#1045;&#1058;&#1053;&#1054;&#1057;&#1058;&#1068;/&#1054;&#1090;&#1095;&#1077;&#1090;&#1085;&#1086;&#1089;&#1090;&#1100;%20&#1087;&#1086;%200409123/&#1054;&#1090;&#1095;&#1077;&#1090;&#1099;/2013/01.06.13/&#1089;&#1074;7_9_05_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SRB-FS05/PUB_Unlim/ECN/~!~%20&#1055;%20&#1054;%20&#1050;%20&#1040;%20&#1047;%20&#1040;%20&#1058;%20&#1045;%20&#1051;%20&#1048;%20~!~/BIZ-PLAN%202009/&#1050;&#1054;&#1056;&#1056;&#1045;&#1050;&#1058;&#1048;&#1056;&#1054;&#1042;&#1050;&#1040;%20&#1041;&#1048;&#1047;&#1053;&#1045;&#1057;-&#1055;&#1051;&#1040;&#1053;&#1040;/~!~%20&#1055;%20&#1054;%20&#1050;%20&#1040;%20&#1047;%20&#1040;%20&#1058;%20&#1045;%20&#1051;%20&#1048;%20~!~/&#1060;&#1086;&#1088;&#1084;&#1099;/&#1054;&#1090;&#1095;&#1077;&#1090;_7.64/&#1053;&#1086;&#1103;&#1073;&#1088;&#1100;/&#1054;&#1090;&#1095;&#1077;&#1090;%20&#1086;%20&#1087;&#1088;&#1080;&#1073;&#1099;&#1083;&#1103;&#1093;%20&#1080;%20&#1091;&#1073;&#1099;&#1090;&#1082;&#1072;&#1093;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comp.ru/DFS/IN/DohRash_&#1076;&#1086;&#1087;&#1086;&#1083;&#1085;&#1077;&#1085;&#1080;&#1103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SRB-FS05/PUB_Unlim/WINDOWS/TEMP/&#1053;&#1086;&#1074;&#1099;&#1077;%20&#1074;&#1082;&#1083;&#1072;&#1076;&#1099;_&#1074;&#1072;&#1083;&#1102;&#1090;&#1072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missm3/Disk_K/Temp/&#1060;&#1086;&#1088;&#1084;&#1072;%207-12%20&#1085;&#1072;%201-09-200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missm3/Disk_K/windows/TEMP/2.26_&#1074;%20&#1075;&#1086;&#1076;&#1086;&#1074;&#1086;&#1081;_&#1086;&#1090;&#1095;&#1077;&#1090;_200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urum2/vol1/DOCUME~1/VINYUK~1/LOCALS~1/Temp/&#1060;&#1086;&#1088;&#1084;&#1072;%207.3%20&#1076;&#1083;&#1103;%20&#1092;&#1080;&#1085;&#1091;&#1087;&#1088;&#1072;&#1074;&#1083;&#1077;&#1085;&#1080;&#1103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Aurum2/vol1/DOCUME~1/VINYUK~1/LOCALS~1/Temp/&#1060;&#1086;&#1088;&#1084;&#1072;%207.3%20&#1086;&#1090;&#1076;&#1077;&#1083;&#1077;&#1085;&#1080;&#1103;%20&#1076;&#1083;&#1103;%20&#1092;&#1080;&#1085;&#1091;&#1087;&#1088;&#1072;&#1074;&#1083;&#1077;&#1085;&#1080;&#1103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comp.ru/DFS/Documents%20and%20Settings/naumov-ra/Local%20Settings/Temporary%20Internet%20Files/OLKD/&#1057;&#1090;&#1088;&#1091;&#1082;&#1090;&#1091;&#1088;&#1072;%20&#1085;&#1072;%2001%2008%200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issm3/Disk_K/&#1052;&#1086;&#1080;%20&#1076;&#1086;&#1082;&#1091;&#1084;&#1077;&#1085;&#1090;&#1099;/&#1041;&#1102;&#1083;&#1083;&#1077;&#1090;&#1077;&#1085;&#1100;/BUL/&#1050;&#1088;&#1077;&#1076;&#1080;&#1090;&#1086;&#1074;&#1072;&#1085;&#1080;&#1077;%20&#1057;&#1090;&#1072;&#1090;&#1086;&#1090;&#1095;&#1077;&#1090;&#1085;&#1086;&#1089;&#1090;&#1100;2007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k_K\Documents%20and%20Settings\gebet-yd\Local%20Settings\Temporary%20Internet%20Files\OLK6D9\&#1052;&#1086;&#1080;%20&#1076;&#1086;&#1082;&#1091;&#1084;&#1077;&#1085;&#1090;&#1099;\&#1041;&#1102;&#1083;&#1083;&#1077;&#1090;&#1077;&#1085;&#1100;\BUL\&#1050;&#1088;&#1077;&#1076;&#1080;&#1090;&#1086;&#1074;&#1072;&#1085;&#1080;&#1077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k_K\Documents%20and%20Settings\gebet-yd\Local%20Settings\Temporary%20Internet%20Files\OLK6D9\&#1052;&#1086;&#1080;%20&#1076;&#1086;&#1082;&#1091;&#1084;&#1077;&#1085;&#1090;&#1099;\&#1041;&#1102;&#1083;&#1083;&#1077;&#1090;&#1077;&#1085;&#1100;\&#1041;&#1041;&#1057;%20&#1079;&#1072;%20I%20&#1087;&#1086;&#1083;&#1091;&#1075;&#1086;&#1076;&#1080;&#1077;\&#1042;&#1082;&#1083;&#1072;&#1076;&#1099;%20&#1080;&#1079;%20&#1089;&#1090;&#1072;&#1090;&#1086;&#1090;&#1095;&#1077;&#1090;&#1085;&#1086;&#1089;&#1090;&#1080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SRB-FS05/PUB_Unlim/ECN/~!~%20&#1055;%20&#1054;%20&#1050;%20&#1040;%20&#1047;%20&#1040;%20&#1058;%20&#1045;%20&#1051;%20&#1048;%20~!~/BIZ-PLAN%202009/&#1050;&#1054;&#1056;&#1056;&#1045;&#1050;&#1058;&#1048;&#1056;&#1054;&#1042;&#1050;&#1040;%20&#1041;&#1048;&#1047;&#1053;&#1045;&#1057;-&#1055;&#1051;&#1040;&#1053;&#1040;/PUB/ECN/Poseryaev/sovesh_1403/&#1050;&#1088;&#1077;&#1076;&#1080;&#1090;&#109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comp.ru/DFS/BBS.TAX/GHRS/special/Banksurvey%202009/Forms%20UPDATED/Questionnaires/SD/Salary%20Data_Regions_200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Volvach-PV\AppData\Local\Microsoft\Windows\Temporary%20Internet%20Files\Content.Outlook\S7B1OG9A\BBS.TAX\GHRS\special\Banksurvey%202009\Forms%20UPDATED\Questionnaires\SD\Salary%20Data_Regions_2009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fedorenko-a1713/&#1056;&#1072;&#1089;&#1095;&#1077;&#1090;%20&#1088;&#1077;&#1085;&#1090;&#1072;&#1073;&#1077;&#1083;&#1100;&#1085;&#1086;&#1089;&#1090;&#1080;/&#1052;&#1086;&#1080;%20&#1076;&#1086;&#1082;&#1091;&#1084;&#1077;&#1085;&#1090;&#1099;/&#1041;&#1086;&#1085;&#1091;&#1089;/2006/&#1057;&#1090;&#1072;&#1074;&#1082;&#1080;%202006_01020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comp.ru/DFS/Users/Prozorova-OS/AppData/Local/Microsoft/Windows/Temporary%20Internet%20Files/Content.Outlook/3RENIA5Q/Model(AutoRecovered)%20BINARY(AutoRecovered).xlsb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missm3/Disk_K/Temp/&#1060;&#1086;&#1088;&#1084;&#1072;%207-12%20&#1085;&#1072;%201-10-20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 oncustomer Templat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OTE-BTC Merger Analysis - Title"/>
      <sheetName val="Index"/>
      <sheetName val="Mergers Analysis Summary"/>
      <sheetName val="Merger 500"/>
      <sheetName val="Merger 1000"/>
      <sheetName val="OTE-BTC Merger Analysis - T"/>
      <sheetName val="OTE - Proforma IS (US$)"/>
      <sheetName val="OTE - Opening Proforma BS (US$)"/>
      <sheetName val="OTE - Proforma BS (US$)"/>
      <sheetName val="OTE - Proforma CFLO (US$)"/>
      <sheetName val="OTE - Proforma Key Ratios"/>
      <sheetName val="OTE-BTC Contribution Analysis"/>
      <sheetName val="OTE - IS (US$)"/>
      <sheetName val="OTE - BS (US$)"/>
      <sheetName val="OTE - CFLO (US$)"/>
      <sheetName val="BTC - IS (US$)"/>
      <sheetName val="BTC - BS (US$)"/>
      <sheetName val="BTC - CFLO (US$)"/>
      <sheetName val="OTE-BTC-GSM2  Merger "/>
      <sheetName val="AssumGSM"/>
      <sheetName val="OTE - Proforma IS (US$)GSM"/>
      <sheetName val="OTE - Opening Proforma BS GSM"/>
      <sheetName val="OTE - Proforma BS (US$) GSM"/>
      <sheetName val="OTE - Proforma CFLO (US$) GSM"/>
      <sheetName val="GSM2-IS"/>
      <sheetName val="GSM2-BS"/>
      <sheetName val="GSM2-CFLOW"/>
      <sheetName val="OTE - Title"/>
      <sheetName val="OTE - IS"/>
      <sheetName val="OTE - BS"/>
      <sheetName val="OTE - CFLO"/>
      <sheetName val="OTE - Macro"/>
      <sheetName val="OTE - Revenues"/>
      <sheetName val="OTE - Interconnect &amp; Opex"/>
      <sheetName val="OTE - Debt and Financial"/>
      <sheetName val="OTE - Summary Financials"/>
      <sheetName val="OTE - Telecom &amp; Buildout"/>
      <sheetName val="OTE - Mobile &amp; Cosmote"/>
      <sheetName val="OTE - Personnel"/>
      <sheetName val="OTE - Tariffs &amp; Usage"/>
      <sheetName val="OTE - Interconnect"/>
      <sheetName val="OTE - Valuation Analysis"/>
      <sheetName val="BTC-RTC Proforma Analysis"/>
      <sheetName val="BTC - Treatment of RTC"/>
      <sheetName val="BTC-RTC Proforma IS"/>
      <sheetName val="BTC-RTC Proforma BS"/>
      <sheetName val="BTC-RTC Proforma CFLO"/>
      <sheetName val="OTE - Standalone Key Ratios"/>
      <sheetName val="BTC - Standalone Key Ratios"/>
      <sheetName val="Summary"/>
      <sheetName val="PRINT"/>
      <sheetName val="Inputs"/>
      <sheetName val="Matrix"/>
      <sheetName val="подразделения"/>
      <sheetName val="нормы по командировкам"/>
      <sheetName val="перечень направлений договоров"/>
      <sheetName val="Лист1"/>
      <sheetName val="Лист2"/>
      <sheetName val="4_Услуги"/>
      <sheetName val="2_Проекты-защита"/>
      <sheetName val="Справочник"/>
      <sheetName val="Список заказчиков"/>
      <sheetName val="Списки"/>
      <sheetName val="Услуги"/>
      <sheetName val="Проекты-защита"/>
      <sheetName val="справочники"/>
      <sheetName val="Спр_ТМЦ_1"/>
      <sheetName val="Спр_ТМЦ_2"/>
      <sheetName val="Территории"/>
      <sheetName val="Комм.ар. 2014"/>
      <sheetName val="Контрагенты"/>
      <sheetName val="Стратинициативы"/>
      <sheetName val="Список проектов"/>
      <sheetName val="Период оплаты"/>
      <sheetName val="Список статей"/>
      <sheetName val="список"/>
      <sheetName val="Лист3"/>
      <sheetName val="справочник статей"/>
      <sheetName val="list"/>
      <sheetName val="SPRV"/>
      <sheetName val="sprav"/>
      <sheetName val="Вид ТМЦ"/>
      <sheetName val="Договора"/>
      <sheetName val="Статья сметы"/>
      <sheetName val="Фирмы"/>
      <sheetName val="Вспомогат лист"/>
      <sheetName val="PROJ"/>
      <sheetName val="Другие Списки"/>
      <sheetName val="Цели"/>
      <sheetName val="Стадии кредитных сделок"/>
      <sheetName val="Directory"/>
      <sheetName val="ОСБ"/>
      <sheetName val="Тех"/>
      <sheetName val="Функции"/>
      <sheetName val="Управления"/>
      <sheetName val="Численность. Процесс - МСЦ"/>
      <sheetName val="FX"/>
      <sheetName val="Exp item"/>
      <sheetName val="Registry"/>
      <sheetName val="Всп"/>
      <sheetName val="Змн"/>
      <sheetName val="Проекты"/>
      <sheetName val="Assumptions"/>
      <sheetName val="Требования к помещениям"/>
      <sheetName val="Справочно"/>
      <sheetName val="Справочник_"/>
      <sheetName val="Цены"/>
      <sheetName val="вводные данные"/>
      <sheetName val="типовые комментарии"/>
      <sheetName val="Настройка"/>
      <sheetName val="Списки1"/>
      <sheetName val="Категории"/>
      <sheetName val="Нагрузка"/>
      <sheetName val="Номер"/>
      <sheetName val="Спр. Коды НДС"/>
      <sheetName val="Спр. Методы списания"/>
      <sheetName val="Курсы валют"/>
      <sheetName val="ЛИСТ 2"/>
      <sheetName val="Bs value"/>
      <sheetName val="спр"/>
      <sheetName val="Имена"/>
      <sheetName val="Лист6"/>
      <sheetName val="Подложка"/>
      <sheetName val="расчет по ТБ"/>
      <sheetName val="ОЕ_МВЗ"/>
      <sheetName val="доп. лист"/>
      <sheetName val="kl"/>
      <sheetName val="номера МВЗ"/>
      <sheetName val="Регион"/>
      <sheetName val="Цель использования"/>
      <sheetName val="Перечень стандартных СВТ"/>
      <sheetName val="2016"/>
      <sheetName val="1кв план"/>
      <sheetName val="1кв корректировки"/>
      <sheetName val="1кв факт"/>
      <sheetName val="Итоги 1 квартала"/>
      <sheetName val="2кв план"/>
      <sheetName val="2кв корректировки"/>
      <sheetName val="апрель факт"/>
      <sheetName val="май факт"/>
      <sheetName val="июнь факт"/>
      <sheetName val="2кв факт"/>
      <sheetName val="Итоги 1 полугодия"/>
      <sheetName val="Для директоров 1 полуг"/>
      <sheetName val="Драйверы"/>
      <sheetName val="3кв план"/>
      <sheetName val="3кв корректировки"/>
      <sheetName val="июль факт"/>
      <sheetName val="август факт"/>
      <sheetName val="сентябрь факт"/>
      <sheetName val="3кв факт"/>
      <sheetName val="Итоги 9 месяцев"/>
      <sheetName val="4кв план"/>
      <sheetName val="4кв корректировки"/>
      <sheetName val="октябрь факт"/>
      <sheetName val="4кв факт"/>
      <sheetName val="Итоги год"/>
      <sheetName val="OTE AND MERGER ANALYSIS - 3"/>
      <sheetName val="Кластеры"/>
      <sheetName val="СПР_вспом"/>
      <sheetName val="СПР_Статей_OPEX"/>
      <sheetName val="СПР_Статей_CAPEX"/>
      <sheetName val="тех. лист"/>
      <sheetName val="Lists"/>
      <sheetName val="статус"/>
      <sheetName val="ГОСБ"/>
      <sheetName val="temp"/>
      <sheetName val="ЦФО_Подразделения"/>
      <sheetName val="Исходники"/>
      <sheetName val="OTE-BTC_Merger_Analysis_-_Title"/>
      <sheetName val="Mergers_Analysis_Summary"/>
      <sheetName val="Merger_500"/>
      <sheetName val="Merger_1000"/>
      <sheetName val="OTE-BTC_Merger_Analysis_-_T"/>
      <sheetName val="OTE_-_Proforma_IS_(US$)"/>
      <sheetName val="OTE_-_Opening_Proforma_BS_(US$)"/>
      <sheetName val="OTE_-_Proforma_BS_(US$)"/>
      <sheetName val="OTE_-_Proforma_CFLO_(US$)"/>
      <sheetName val="OTE_-_Proforma_Key_Ratios"/>
      <sheetName val="OTE-BTC_Contribution_Analysis"/>
      <sheetName val="OTE_-_IS_(US$)"/>
      <sheetName val="OTE_-_BS_(US$)"/>
      <sheetName val="OTE_-_CFLO_(US$)"/>
      <sheetName val="BTC_-_IS_(US$)"/>
      <sheetName val="BTC_-_BS_(US$)"/>
      <sheetName val="BTC_-_CFLO_(US$)"/>
      <sheetName val="OTE-BTC-GSM2__Merger_"/>
      <sheetName val="OTE_-_Proforma_IS_(US$)GSM"/>
      <sheetName val="OTE_-_Opening_Proforma_BS_GSM"/>
      <sheetName val="OTE_-_Proforma_BS_(US$)_GSM"/>
      <sheetName val="OTE_-_Proforma_CFLO_(US$)_GSM"/>
      <sheetName val="OTE_-_Title"/>
      <sheetName val="OTE_-_IS"/>
      <sheetName val="OTE_-_BS"/>
      <sheetName val="OTE_-_CFLO"/>
      <sheetName val="OTE_-_Macro"/>
      <sheetName val="OTE_-_Revenues"/>
      <sheetName val="OTE_-_Interconnect_&amp;_Opex"/>
      <sheetName val="OTE_-_Debt_and_Financial"/>
      <sheetName val="OTE_-_Summary_Financials"/>
      <sheetName val="OTE_-_Telecom_&amp;_Buildout"/>
      <sheetName val="OTE_-_Mobile_&amp;_Cosmote"/>
      <sheetName val="OTE_-_Personnel"/>
      <sheetName val="OTE_-_Tariffs_&amp;_Usage"/>
      <sheetName val="OTE_-_Interconnect"/>
      <sheetName val="OTE_-_Valuation_Analysis"/>
      <sheetName val="BTC-RTC_Proforma_Analysis"/>
      <sheetName val="BTC_-_Treatment_of_RTC"/>
      <sheetName val="BTC-RTC_Proforma_IS"/>
      <sheetName val="BTC-RTC_Proforma_BS"/>
      <sheetName val="BTC-RTC_Proforma_CFLO"/>
      <sheetName val="OTE_-_Standalone_Key_Ratios"/>
      <sheetName val="BTC_-_Standalone_Key_Ratios"/>
      <sheetName val="нормы_по_командировкам"/>
      <sheetName val="перечень_направлений_договоров"/>
      <sheetName val="Список_заказчиков"/>
      <sheetName val="Комм_ар__2014"/>
      <sheetName val="Список_проектов"/>
      <sheetName val="Период_оплаты"/>
      <sheetName val="Список_статей"/>
      <sheetName val="справочник_статей"/>
      <sheetName val="Вид_ТМЦ"/>
      <sheetName val="Статья_сметы"/>
      <sheetName val="Вспомогат_лист"/>
      <sheetName val="Другие_Списки"/>
      <sheetName val="Стадии_кредитных_сделок"/>
      <sheetName val="Численность__Процесс_-_МСЦ"/>
      <sheetName val="Exp_item"/>
      <sheetName val="Требования_к_помещениям"/>
      <sheetName val="вводные_данные"/>
      <sheetName val="Bs_value"/>
      <sheetName val="Курсы_валют"/>
      <sheetName val="типовые_комментарии"/>
      <sheetName val="Спр__Коды_НДС"/>
      <sheetName val="Спр__Методы_списания"/>
      <sheetName val="ЛИСТ_2"/>
      <sheetName val="расчет_по_ТБ"/>
      <sheetName val="доп__лист"/>
      <sheetName val="номера_МВЗ"/>
      <sheetName val="Цель_использования"/>
      <sheetName val="Перечень_стандартных_СВТ"/>
      <sheetName val="1кв_план"/>
      <sheetName val="1кв_корректировки"/>
      <sheetName val="1кв_факт"/>
      <sheetName val="Итоги_1_квартала"/>
      <sheetName val="2кв_план"/>
      <sheetName val="2кв_корректировки"/>
      <sheetName val="апрель_факт"/>
      <sheetName val="май_факт"/>
      <sheetName val="июнь_факт"/>
      <sheetName val="2кв_факт"/>
      <sheetName val="Итоги_1_полугодия"/>
      <sheetName val="Для_директоров_1_полуг"/>
      <sheetName val="3кв_план"/>
      <sheetName val="3кв_корректировки"/>
      <sheetName val="июль_факт"/>
      <sheetName val="август_факт"/>
      <sheetName val="сентябрь_факт"/>
      <sheetName val="3кв_факт"/>
      <sheetName val="Итоги_9_месяцев"/>
      <sheetName val="4кв_план"/>
      <sheetName val="4кв_корректировки"/>
      <sheetName val="октябрь_факт"/>
      <sheetName val="4кв_факт"/>
      <sheetName val="Итоги_год"/>
      <sheetName val="OTE_AND_MERGER_ANALYSIS_-_3"/>
      <sheetName val="Справ"/>
      <sheetName val="нормы"/>
      <sheetName val="Выпадающие списки"/>
      <sheetName val="Фин. Оборотная Ведомость2"/>
      <sheetName val="Items"/>
      <sheetName val="не удалять!"/>
      <sheetName val="Текущие тарифы"/>
      <sheetName val="КИЦ"/>
      <sheetName val="Словарь"/>
      <sheetName val="Лист9"/>
      <sheetName val="другие ДЗО"/>
      <sheetName val="Технич лист"/>
      <sheetName val="тарифы_ПК"/>
      <sheetName val="ПереченьДоговоров"/>
      <sheetName val="НЕ_ТРОГАТЬ"/>
      <sheetName val="M3"/>
      <sheetName val="M1"/>
      <sheetName val="1в. Справочник_Р_К"/>
      <sheetName val="тн"/>
      <sheetName val="Лист1 (2)"/>
      <sheetName val="ABC_справочник"/>
      <sheetName val="Список проектов в 1С"/>
      <sheetName val="СПИСОК_ЦФО"/>
      <sheetName val="ТАБ_Функции_ABC"/>
      <sheetName val="РМ"/>
      <sheetName val="G2TempSheet"/>
      <sheetName val="xlrpt_tempsheet"/>
      <sheetName val="Тарифы"/>
      <sheetName val="Всплывающая"/>
      <sheetName val="Наименование КИЦ"/>
      <sheetName val="Всплывающий список"/>
      <sheetName val="Данные"/>
      <sheetName val="вып список"/>
      <sheetName val="списки (2)"/>
      <sheetName val="Input model_v5"/>
      <sheetName val="Выпадающий список"/>
      <sheetName val="XLR_NoRangeSheet"/>
      <sheetName val="Журнал учета"/>
      <sheetName val="Настройки"/>
      <sheetName val="бланк"/>
      <sheetName val="авто"/>
      <sheetName val="СА+ПЛ"/>
      <sheetName val="Общее"/>
      <sheetName val="Бюджет Компакт"/>
      <sheetName val="Список продуктов"/>
      <sheetName val="Const"/>
      <sheetName val="ОПУ"/>
      <sheetName val="Сверка ФУНКЦИЙ_в Штаб"/>
      <sheetName val="Кредит"/>
      <sheetName val="N oncustomer Template"/>
      <sheetName val="CAMPAIGN AVERAGE F"/>
      <sheetName val="Data"/>
      <sheetName val="COMPS"/>
    </sheetNames>
    <sheetDataSet>
      <sheetData sheetId="0" refreshError="1">
        <row r="20">
          <cell r="F20">
            <v>500</v>
          </cell>
        </row>
        <row r="21">
          <cell r="F21">
            <v>0.51</v>
          </cell>
        </row>
        <row r="22">
          <cell r="F22">
            <v>105.95670264931329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редпортф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pt_TempSheet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ля классификатора"/>
      <sheetName val="Sheet1"/>
      <sheetName val="Sheet2"/>
      <sheetName val="Sheet3"/>
      <sheetName val="XLR_NoRangeSheet"/>
      <sheetName val="S_EXPENSES"/>
      <sheetName val="S_EXPENSE_AREAS"/>
      <sheetName val="S_O_S"/>
      <sheetName val="S_PROJECTS"/>
      <sheetName val="S_PROGRAMS"/>
      <sheetName val="БлокиТБ"/>
      <sheetName val="Разбивка по ТБ и грейдам"/>
      <sheetName val="заштатники"/>
      <sheetName val="Сокращения"/>
      <sheetName val="Цели командировки"/>
      <sheetName val="Спр"/>
      <sheetName val="справочник госб"/>
      <sheetName val="Лист2"/>
      <sheetName val="Справочник ГОСБ-ПЦП"/>
      <sheetName val="Виды СБО"/>
      <sheetName val="Операции"/>
      <sheetName val="Категории и Смены"/>
      <sheetName val="Вид СБО"/>
      <sheetName val="#Справочник-КИЦ"/>
      <sheetName val="Перечень обязательных программ"/>
      <sheetName val="Принтеры для ССМ"/>
      <sheetName val="ТБ"/>
      <sheetName val="Подразделения"/>
      <sheetName val="Критерии выбытия"/>
      <sheetName val="Модели СБО"/>
      <sheetName val="Ресурсы"/>
      <sheetName val="Цены"/>
      <sheetName val="Calendar"/>
      <sheetName val="ВС"/>
      <sheetName val="XLRpt_TempSheet"/>
    </sheetNames>
    <sheetDataSet>
      <sheetData sheetId="0"/>
      <sheetData sheetId="1" refreshError="1"/>
      <sheetData sheetId="2" refreshError="1"/>
      <sheetData sheetId="3" refreshError="1"/>
      <sheetData sheetId="4">
        <row r="7">
          <cell r="B7">
            <v>1000094116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R_NoRangeSheet"/>
      <sheetName val="ИД"/>
      <sheetName val="альфы"/>
      <sheetName val="Лист3"/>
      <sheetName val="Matrix"/>
      <sheetName val="Настройка"/>
      <sheetName val="Справочники"/>
      <sheetName val="NORM"/>
      <sheetName val="Справочник платформ"/>
      <sheetName val="спр"/>
      <sheetName val="Разбивка по ТБ и грейдам"/>
      <sheetName val="ФОТ "/>
      <sheetName val="Инструмент"/>
      <sheetName val="ПрочиеНаПерсонал"/>
      <sheetName val="Расчет 1"/>
      <sheetName val="выпадающие списки"/>
      <sheetName val="ID"/>
      <sheetName val="Кол-во подразделений СБ РФ на 0"/>
      <sheetName val="Списки"/>
    </sheetNames>
    <sheetDataSet>
      <sheetData sheetId="0" refreshError="1"/>
      <sheetData sheetId="1" refreshError="1">
        <row r="7">
          <cell r="R7" t="str">
            <v>Подготовлено:   Ю.А. Стуцкий     07.10.2009 17:02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мена"/>
      <sheetName val="- 26 -"/>
      <sheetName val="- 27 -"/>
      <sheetName val="- 28 -"/>
      <sheetName val="- 35 -"/>
      <sheetName val="- 36 -"/>
      <sheetName val="- 37 -"/>
      <sheetName val="- 74 -"/>
      <sheetName val="- 75 -"/>
      <sheetName val="- 76 -"/>
      <sheetName val="- 77 -"/>
      <sheetName val="- 78 -"/>
      <sheetName val="- 78_2 -"/>
      <sheetName val="- 79 -"/>
      <sheetName val="- 79_2 -"/>
      <sheetName val="- 83 -"/>
      <sheetName val="XLR_NoRangeSheet"/>
      <sheetName val="- 56 -"/>
      <sheetName val="- 56_2 -"/>
      <sheetName val="- 73 -"/>
      <sheetName val="-78-"/>
      <sheetName val="-79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7">
          <cell r="B7" t="str">
            <v>в январе-июне 2006 года</v>
          </cell>
          <cell r="C7">
            <v>7</v>
          </cell>
          <cell r="D7" t="str">
            <v>2006 год</v>
          </cell>
          <cell r="E7" t="str">
            <v>на 1 января  2007 года</v>
          </cell>
          <cell r="F7" t="str">
            <v>в 2006 году</v>
          </cell>
          <cell r="G7" t="str">
            <v>1 июля 2006 года к 1 января 2006 года</v>
          </cell>
          <cell r="H7" t="str">
            <v>за январь-июнь 2006 года</v>
          </cell>
          <cell r="I7" t="str">
            <v>на 1 июля 2006 года</v>
          </cell>
          <cell r="J7">
            <v>28.782499999999999</v>
          </cell>
          <cell r="K7">
            <v>28.120700000000003</v>
          </cell>
          <cell r="L7">
            <v>28.122300000000003</v>
          </cell>
          <cell r="M7">
            <v>27.762600000000003</v>
          </cell>
          <cell r="N7">
            <v>27.273900000000001</v>
          </cell>
          <cell r="O7">
            <v>26.984000000000002</v>
          </cell>
          <cell r="P7">
            <v>27.078900000000001</v>
          </cell>
          <cell r="Q7">
            <v>26.8718</v>
          </cell>
          <cell r="R7">
            <v>26.819700000000001</v>
          </cell>
          <cell r="S7">
            <v>26.819700000000001</v>
          </cell>
          <cell r="T7">
            <v>26.819700000000001</v>
          </cell>
          <cell r="U7">
            <v>26.819700000000001</v>
          </cell>
          <cell r="V7">
            <v>26.819700000000001</v>
          </cell>
          <cell r="W7">
            <v>34.185000000000002</v>
          </cell>
          <cell r="X7">
            <v>34.037300000000002</v>
          </cell>
          <cell r="Y7">
            <v>33.330500000000001</v>
          </cell>
          <cell r="Z7">
            <v>33.473400000000005</v>
          </cell>
          <cell r="AA7">
            <v>34.190600000000003</v>
          </cell>
          <cell r="AB7">
            <v>34.636700000000005</v>
          </cell>
          <cell r="AC7">
            <v>33.975900000000003</v>
          </cell>
          <cell r="AD7">
            <v>34.108400000000003</v>
          </cell>
          <cell r="AE7">
            <v>34.211200000000005</v>
          </cell>
          <cell r="AF7">
            <v>34.211200000000005</v>
          </cell>
          <cell r="AG7">
            <v>34.211200000000005</v>
          </cell>
          <cell r="AH7">
            <v>34.211200000000005</v>
          </cell>
          <cell r="AI7">
            <v>34.211200000000005</v>
          </cell>
          <cell r="AJ7">
            <v>5316693.4708030401</v>
          </cell>
          <cell r="AK7">
            <v>5310642.5909584602</v>
          </cell>
          <cell r="AL7">
            <v>5482034.1258099303</v>
          </cell>
          <cell r="AM7">
            <v>5575594.8912837803</v>
          </cell>
          <cell r="AN7">
            <v>5853145.04087306</v>
          </cell>
          <cell r="AO7">
            <v>6094394.1056250604</v>
          </cell>
          <cell r="AP7">
            <v>6054239.5784577299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</row>
        <row r="8">
          <cell r="B8">
            <v>202174.69100600001</v>
          </cell>
          <cell r="C8">
            <v>1122.42846028494</v>
          </cell>
          <cell r="D8">
            <v>1341019.1285000001</v>
          </cell>
          <cell r="E8">
            <v>7856.5128599999998</v>
          </cell>
          <cell r="F8">
            <v>380408.22</v>
          </cell>
          <cell r="G8">
            <v>157416.73499999999</v>
          </cell>
          <cell r="H8">
            <v>136111.357024058</v>
          </cell>
          <cell r="I8">
            <v>3521.8463764052203</v>
          </cell>
          <cell r="J8">
            <v>6009998.4667885406</v>
          </cell>
          <cell r="K8">
            <v>12651.97252644</v>
          </cell>
          <cell r="L8">
            <v>128712.72212999999</v>
          </cell>
          <cell r="M8">
            <v>403.28378443967301</v>
          </cell>
          <cell r="N8">
            <v>1575897.89011</v>
          </cell>
          <cell r="O8">
            <v>164214.66711000001</v>
          </cell>
          <cell r="P8">
            <v>175.95996111900001</v>
          </cell>
          <cell r="Q8">
            <v>1786.78514</v>
          </cell>
        </row>
        <row r="9">
          <cell r="B9">
            <v>425302.83158</v>
          </cell>
          <cell r="C9">
            <v>1601.1977992925001</v>
          </cell>
          <cell r="D9">
            <v>419663.81913000002</v>
          </cell>
          <cell r="E9">
            <v>1632.1273513855101</v>
          </cell>
          <cell r="F9">
            <v>423384.36219999997</v>
          </cell>
          <cell r="G9">
            <v>1739.2087708533002</v>
          </cell>
          <cell r="H9">
            <v>440842.93634999997</v>
          </cell>
          <cell r="I9">
            <v>1865.4847355560303</v>
          </cell>
          <cell r="J9">
            <v>455142.06584</v>
          </cell>
          <cell r="K9">
            <v>2015.8337227643701</v>
          </cell>
          <cell r="L9">
            <v>474401.52934000001</v>
          </cell>
          <cell r="M9">
            <v>2163.1642114968804</v>
          </cell>
          <cell r="N9">
            <v>498792.65438999998</v>
          </cell>
          <cell r="O9">
            <v>2320.7900952759201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1007283.23862</v>
          </cell>
          <cell r="AC9">
            <v>13837.46241</v>
          </cell>
          <cell r="AD9">
            <v>1009023.40463</v>
          </cell>
          <cell r="AE9">
            <v>13869.30719</v>
          </cell>
          <cell r="AF9">
            <v>1016737.58662</v>
          </cell>
          <cell r="AG9">
            <v>13351.072920000001</v>
          </cell>
          <cell r="AH9">
            <v>1060297.65506</v>
          </cell>
          <cell r="AI9">
            <v>14152.478150000001</v>
          </cell>
          <cell r="AJ9">
            <v>1074914.5847700001</v>
          </cell>
          <cell r="AK9">
            <v>14296.6981621</v>
          </cell>
          <cell r="AL9">
            <v>1100543.74596</v>
          </cell>
          <cell r="AM9">
            <v>15087.17326</v>
          </cell>
          <cell r="AN9">
            <v>1151196.2390300001</v>
          </cell>
          <cell r="AO9">
            <v>16179.250800000002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14498.221000000001</v>
          </cell>
          <cell r="BC9">
            <v>1445.5710000000001</v>
          </cell>
          <cell r="BD9">
            <v>3798.1210000000001</v>
          </cell>
          <cell r="BE9">
            <v>2204.3890000000001</v>
          </cell>
          <cell r="BF9">
            <v>9364.121000000001</v>
          </cell>
          <cell r="BG9">
            <v>3130.989</v>
          </cell>
          <cell r="BH9">
            <v>6818.9210000000003</v>
          </cell>
          <cell r="BI9">
            <v>1963.9070000000002</v>
          </cell>
          <cell r="BJ9">
            <v>5208.1210000000001</v>
          </cell>
          <cell r="BK9">
            <v>4402.4250000000002</v>
          </cell>
          <cell r="BL9">
            <v>1591.1210000000001</v>
          </cell>
          <cell r="BM9">
            <v>3006.3540000000003</v>
          </cell>
          <cell r="BN9">
            <v>16165</v>
          </cell>
          <cell r="BO9">
            <v>273.55900000000003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</row>
        <row r="10">
          <cell r="B10">
            <v>1313.6644799999999</v>
          </cell>
          <cell r="C10">
            <v>5.2153816211413195</v>
          </cell>
          <cell r="D10">
            <v>1604.5865000000001</v>
          </cell>
          <cell r="E10">
            <v>6.1463344039444294</v>
          </cell>
          <cell r="F10">
            <v>1794.6572200000001</v>
          </cell>
          <cell r="G10">
            <v>7.0176965384481393</v>
          </cell>
          <cell r="H10">
            <v>1978.3626899999999</v>
          </cell>
          <cell r="I10">
            <v>7.5665562493181495</v>
          </cell>
          <cell r="J10">
            <v>2144.8608800000002</v>
          </cell>
          <cell r="K10">
            <v>8.37797083180733</v>
          </cell>
          <cell r="L10">
            <v>2428.6863199999998</v>
          </cell>
          <cell r="M10">
            <v>9.3728341035057792</v>
          </cell>
          <cell r="N10">
            <v>2584.7150000000001</v>
          </cell>
          <cell r="O10">
            <v>10.349077473228199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17876.929349999999</v>
          </cell>
          <cell r="AC10">
            <v>13.311</v>
          </cell>
          <cell r="AD10">
            <v>19151.421549999999</v>
          </cell>
          <cell r="AE10">
            <v>15.2</v>
          </cell>
          <cell r="AF10">
            <v>20219.61247</v>
          </cell>
          <cell r="AG10">
            <v>15.628</v>
          </cell>
          <cell r="AH10">
            <v>19867.783019999999</v>
          </cell>
          <cell r="AI10">
            <v>15.628</v>
          </cell>
          <cell r="AJ10">
            <v>20710.616440000002</v>
          </cell>
          <cell r="AK10">
            <v>16.0687</v>
          </cell>
          <cell r="AL10">
            <v>20836.847239999999</v>
          </cell>
          <cell r="AM10">
            <v>17.024000000000001</v>
          </cell>
          <cell r="AN10">
            <v>20424.78674</v>
          </cell>
          <cell r="AO10">
            <v>7.641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48.221000000000004</v>
          </cell>
          <cell r="BC10">
            <v>0</v>
          </cell>
          <cell r="BD10">
            <v>48.121000000000002</v>
          </cell>
          <cell r="BE10">
            <v>0</v>
          </cell>
          <cell r="BF10">
            <v>48.121000000000002</v>
          </cell>
          <cell r="BG10">
            <v>0</v>
          </cell>
          <cell r="BH10">
            <v>48.121000000000002</v>
          </cell>
          <cell r="BI10">
            <v>0</v>
          </cell>
          <cell r="BJ10">
            <v>48.121000000000002</v>
          </cell>
          <cell r="BK10">
            <v>0</v>
          </cell>
          <cell r="BL10">
            <v>48.121000000000002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</row>
        <row r="11">
          <cell r="B11">
            <v>81.969797950390003</v>
          </cell>
          <cell r="C11">
            <v>59.175339990831191</v>
          </cell>
          <cell r="D11">
            <v>5.7537877499999999</v>
          </cell>
          <cell r="E11">
            <v>39.926521208640004</v>
          </cell>
          <cell r="F11">
            <v>11.281572366660001</v>
          </cell>
          <cell r="G11">
            <v>429.16991648720904</v>
          </cell>
          <cell r="H11">
            <v>84.090091362240003</v>
          </cell>
          <cell r="I11">
            <v>10.64990997049</v>
          </cell>
          <cell r="J11">
            <v>19.31400043428</v>
          </cell>
          <cell r="K11">
            <v>27.81051862</v>
          </cell>
          <cell r="L11">
            <v>44.640782652285701</v>
          </cell>
          <cell r="M11">
            <v>57.324001484580002</v>
          </cell>
          <cell r="N11">
            <v>124.155800913454</v>
          </cell>
          <cell r="O11">
            <v>29.782659011670003</v>
          </cell>
          <cell r="P11">
            <v>57.542600654099999</v>
          </cell>
          <cell r="Q11">
            <v>371.01503315978607</v>
          </cell>
          <cell r="R11">
            <v>293.16107391300005</v>
          </cell>
          <cell r="S11">
            <v>26.180369713630004</v>
          </cell>
          <cell r="T11">
            <v>46.771027322000002</v>
          </cell>
          <cell r="U11">
            <v>3.5429499434700005</v>
          </cell>
          <cell r="V11">
            <v>107.75175775620001</v>
          </cell>
          <cell r="W11">
            <v>93.611681418950013</v>
          </cell>
          <cell r="X11">
            <v>13.244021921029999</v>
          </cell>
          <cell r="Y11">
            <v>103.12323207721001</v>
          </cell>
          <cell r="Z11">
            <v>66.852847505356792</v>
          </cell>
          <cell r="AA11">
            <v>4.2569363100000004</v>
          </cell>
          <cell r="AB11">
            <v>38.786793964660006</v>
          </cell>
          <cell r="AC11">
            <v>20.55742</v>
          </cell>
          <cell r="AD11">
            <v>479.24942193002306</v>
          </cell>
          <cell r="AE11">
            <v>91.050660170910007</v>
          </cell>
          <cell r="AF11">
            <v>11.760721386529999</v>
          </cell>
          <cell r="AG11">
            <v>21.1877549457</v>
          </cell>
          <cell r="AH11">
            <v>24.1014977528</v>
          </cell>
          <cell r="AI11">
            <v>52.869091150580999</v>
          </cell>
          <cell r="AJ11">
            <v>78.572354130669993</v>
          </cell>
          <cell r="AK11">
            <v>134.55386205006599</v>
          </cell>
          <cell r="AL11">
            <v>33.425580330819997</v>
          </cell>
          <cell r="AM11">
            <v>62.594425168679997</v>
          </cell>
          <cell r="AN11">
            <v>435.20009740683003</v>
          </cell>
          <cell r="AO11">
            <v>314.95464941286002</v>
          </cell>
          <cell r="AP11">
            <v>47.571292567850001</v>
          </cell>
          <cell r="AQ11">
            <v>45.448627302779997</v>
          </cell>
          <cell r="AR11">
            <v>3.7898660691000003</v>
          </cell>
          <cell r="AS11">
            <v>97.022308345349998</v>
          </cell>
          <cell r="AT11">
            <v>97.866822127079701</v>
          </cell>
          <cell r="AU11">
            <v>16.12627676944</v>
          </cell>
          <cell r="AV11">
            <v>16.12627676944</v>
          </cell>
          <cell r="AW11">
            <v>101.04176601178001</v>
          </cell>
          <cell r="AX11">
            <v>115.71375571928999</v>
          </cell>
          <cell r="AY11">
            <v>67.548404048169488</v>
          </cell>
          <cell r="AZ11">
            <v>3.91337913</v>
          </cell>
          <cell r="BA11">
            <v>46.731088745859999</v>
          </cell>
          <cell r="BB11">
            <v>13.31098613</v>
          </cell>
          <cell r="BC11">
            <v>493.53957262236304</v>
          </cell>
          <cell r="BD11">
            <v>92.492237956799997</v>
          </cell>
          <cell r="BE11">
            <v>12.350645015730001</v>
          </cell>
          <cell r="BF11">
            <v>21.405214104240002</v>
          </cell>
          <cell r="BG11">
            <v>26.907412932800003</v>
          </cell>
          <cell r="BH11">
            <v>58.398379934262195</v>
          </cell>
          <cell r="BI11">
            <v>74.074008297929993</v>
          </cell>
          <cell r="BJ11">
            <v>139.662525583762</v>
          </cell>
          <cell r="BK11">
            <v>38.529526310119998</v>
          </cell>
          <cell r="BL11">
            <v>71.168234505450002</v>
          </cell>
          <cell r="BM11">
            <v>466.19352087661002</v>
          </cell>
          <cell r="BN11">
            <v>327.01518160006003</v>
          </cell>
          <cell r="BO11">
            <v>57.777572337730007</v>
          </cell>
          <cell r="BP11">
            <v>38.186744776910004</v>
          </cell>
          <cell r="BQ11">
            <v>4.3506817678200003</v>
          </cell>
          <cell r="BR11">
            <v>117.9820769785</v>
          </cell>
          <cell r="BS11">
            <v>102.22881440039201</v>
          </cell>
          <cell r="BT11">
            <v>12.23217691388</v>
          </cell>
          <cell r="BU11">
            <v>100.41380655261001</v>
          </cell>
        </row>
        <row r="12">
          <cell r="B12">
            <v>91366.067397530001</v>
          </cell>
          <cell r="C12">
            <v>305476.59762610903</v>
          </cell>
          <cell r="D12">
            <v>59062.595488600004</v>
          </cell>
          <cell r="E12">
            <v>44664.323484824999</v>
          </cell>
          <cell r="F12">
            <v>93862.666349675012</v>
          </cell>
          <cell r="G12">
            <v>153384.085537045</v>
          </cell>
          <cell r="H12">
            <v>48829.780540574997</v>
          </cell>
          <cell r="I12">
            <v>135635.6030336</v>
          </cell>
          <cell r="J12">
            <v>320225.54580072599</v>
          </cell>
          <cell r="K12">
            <v>79706.126878287992</v>
          </cell>
          <cell r="L12">
            <v>29248.147296367999</v>
          </cell>
          <cell r="M12">
            <v>103474.35232401201</v>
          </cell>
          <cell r="N12">
            <v>164031.272248544</v>
          </cell>
          <cell r="O12">
            <v>50297.931989564</v>
          </cell>
          <cell r="P12">
            <v>148310.35624586901</v>
          </cell>
          <cell r="Q12">
            <v>352187.53558469703</v>
          </cell>
          <cell r="R12">
            <v>108685.92934878099</v>
          </cell>
          <cell r="S12">
            <v>41288.405734120002</v>
          </cell>
          <cell r="T12">
            <v>116137.21477961501</v>
          </cell>
          <cell r="U12">
            <v>182908.65677873598</v>
          </cell>
          <cell r="V12">
            <v>54974.994176230997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</row>
        <row r="13">
          <cell r="B13">
            <v>353114.0194547</v>
          </cell>
          <cell r="C13">
            <v>878.42704256528805</v>
          </cell>
          <cell r="D13">
            <v>36750.191718030001</v>
          </cell>
          <cell r="E13">
            <v>607.01416001481596</v>
          </cell>
          <cell r="F13">
            <v>724.64118989999997</v>
          </cell>
          <cell r="G13">
            <v>3.3889999999999997E-2</v>
          </cell>
          <cell r="H13">
            <v>1662.3174605900001</v>
          </cell>
          <cell r="I13">
            <v>7.2775415695300989</v>
          </cell>
          <cell r="J13">
            <v>9511.2810090570001</v>
          </cell>
          <cell r="K13">
            <v>10.659179414574801</v>
          </cell>
          <cell r="L13">
            <v>23540.401505009999</v>
          </cell>
          <cell r="M13">
            <v>97.785877560498605</v>
          </cell>
          <cell r="N13">
            <v>363292.85311000003</v>
          </cell>
          <cell r="O13">
            <v>976.31709420077607</v>
          </cell>
          <cell r="P13">
            <v>39455.122620000002</v>
          </cell>
          <cell r="Q13">
            <v>763.87234450319204</v>
          </cell>
          <cell r="R13">
            <v>546.33267999999998</v>
          </cell>
          <cell r="S13">
            <v>3.0419999999999999E-2</v>
          </cell>
          <cell r="T13">
            <v>1531.50289</v>
          </cell>
          <cell r="U13">
            <v>7.7822885656242589</v>
          </cell>
          <cell r="V13">
            <v>10266.32315</v>
          </cell>
          <cell r="W13">
            <v>11.121182000605099</v>
          </cell>
          <cell r="X13">
            <v>25750.801230000001</v>
          </cell>
          <cell r="Y13">
            <v>106.36111246380901</v>
          </cell>
          <cell r="Z13">
            <v>403626.34218441998</v>
          </cell>
          <cell r="AA13">
            <v>1136.4604326659303</v>
          </cell>
          <cell r="AB13">
            <v>51463.337248800002</v>
          </cell>
          <cell r="AC13">
            <v>1053.55458014075</v>
          </cell>
          <cell r="AD13">
            <v>417.34764999999999</v>
          </cell>
          <cell r="AE13">
            <v>2.0590000000000001E-2</v>
          </cell>
          <cell r="AF13">
            <v>1369.42003312</v>
          </cell>
          <cell r="AG13">
            <v>9.28341169604378</v>
          </cell>
          <cell r="AH13">
            <v>10763.61975</v>
          </cell>
          <cell r="AI13">
            <v>12.574277227546199</v>
          </cell>
          <cell r="AJ13">
            <v>31152.576996</v>
          </cell>
          <cell r="AK13">
            <v>108.89671202315101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 (ЦА СБ РФ)"/>
      <sheetName val="Лист1"/>
      <sheetName val="XLR_NoRangeSheet"/>
      <sheetName val="Constants"/>
      <sheetName val="NIUs"/>
    </sheetNames>
    <sheetDataSet>
      <sheetData sheetId="0" refreshError="1"/>
      <sheetData sheetId="1" refreshError="1"/>
      <sheetData sheetId="2" refreshError="1">
        <row r="7">
          <cell r="B7">
            <v>24.546200000000002</v>
          </cell>
          <cell r="C7">
            <v>35.933199999999999</v>
          </cell>
          <cell r="D7">
            <v>24.476400000000002</v>
          </cell>
          <cell r="E7">
            <v>36.168800000000005</v>
          </cell>
          <cell r="F7">
            <v>24.1159</v>
          </cell>
          <cell r="G7">
            <v>36.4054</v>
          </cell>
          <cell r="H7">
            <v>24.1159</v>
          </cell>
          <cell r="I7">
            <v>36.4054</v>
          </cell>
          <cell r="J7">
            <v>24.1159</v>
          </cell>
          <cell r="K7">
            <v>36.4054</v>
          </cell>
          <cell r="L7">
            <v>24.1159</v>
          </cell>
          <cell r="M7">
            <v>36.4054</v>
          </cell>
          <cell r="N7">
            <v>24.1159</v>
          </cell>
          <cell r="O7">
            <v>36.4054</v>
          </cell>
          <cell r="P7">
            <v>24.1159</v>
          </cell>
          <cell r="Q7">
            <v>36.4054</v>
          </cell>
          <cell r="R7">
            <v>24.1159</v>
          </cell>
          <cell r="S7">
            <v>36.4054</v>
          </cell>
          <cell r="T7">
            <v>24.1159</v>
          </cell>
          <cell r="U7">
            <v>36.4054</v>
          </cell>
          <cell r="V7">
            <v>24.1159</v>
          </cell>
          <cell r="W7">
            <v>36.4054</v>
          </cell>
          <cell r="X7">
            <v>24.1159</v>
          </cell>
          <cell r="Y7">
            <v>36.4054</v>
          </cell>
          <cell r="Z7">
            <v>24.1159</v>
          </cell>
          <cell r="AA7">
            <v>36.4054</v>
          </cell>
        </row>
        <row r="14">
          <cell r="D14">
            <v>338560.81099000003</v>
          </cell>
          <cell r="E14">
            <v>50451.938410000002</v>
          </cell>
          <cell r="F14">
            <v>167110.05006000001</v>
          </cell>
          <cell r="G14">
            <v>367006.18543000001</v>
          </cell>
          <cell r="H14">
            <v>528020.58039000002</v>
          </cell>
          <cell r="I14">
            <v>443775.46393999999</v>
          </cell>
          <cell r="J14">
            <v>105381.10729</v>
          </cell>
          <cell r="K14">
            <v>369984.07478000002</v>
          </cell>
          <cell r="L14">
            <v>292902.0907</v>
          </cell>
          <cell r="M14">
            <v>65677.403099999996</v>
          </cell>
          <cell r="N14">
            <v>1175038.2309699999</v>
          </cell>
          <cell r="O14">
            <v>1373167.7324099999</v>
          </cell>
          <cell r="P14">
            <v>0</v>
          </cell>
          <cell r="Q14">
            <v>12.9</v>
          </cell>
          <cell r="R14">
            <v>21.902000000000001</v>
          </cell>
          <cell r="S14">
            <v>17369.361680000002</v>
          </cell>
          <cell r="T14">
            <v>34137.139900000002</v>
          </cell>
          <cell r="U14">
            <v>13060.66123</v>
          </cell>
          <cell r="V14">
            <v>48952.137190000001</v>
          </cell>
          <cell r="W14">
            <v>48212.685683465999</v>
          </cell>
          <cell r="X14">
            <v>196014.24674999999</v>
          </cell>
          <cell r="Y14">
            <v>595366.601906784</v>
          </cell>
          <cell r="Z14">
            <v>13636454.55608</v>
          </cell>
          <cell r="AA14">
            <v>335786.95124999998</v>
          </cell>
          <cell r="AB14">
            <v>50761.030400000003</v>
          </cell>
          <cell r="AC14">
            <v>163032.09646999999</v>
          </cell>
          <cell r="AD14">
            <v>357919.81125999999</v>
          </cell>
          <cell r="AE14">
            <v>525547.88110999996</v>
          </cell>
          <cell r="AF14">
            <v>454045.52622</v>
          </cell>
          <cell r="AG14">
            <v>107125.78539</v>
          </cell>
          <cell r="AH14">
            <v>367899.27266000002</v>
          </cell>
          <cell r="AI14">
            <v>302418.13430999999</v>
          </cell>
          <cell r="AJ14">
            <v>64422.597779999996</v>
          </cell>
          <cell r="AK14">
            <v>1145527.94882</v>
          </cell>
          <cell r="AL14">
            <v>1380455.5269800001</v>
          </cell>
          <cell r="AM14">
            <v>0</v>
          </cell>
          <cell r="AN14">
            <v>12.9</v>
          </cell>
          <cell r="AO14">
            <v>21.902000000000001</v>
          </cell>
          <cell r="AP14">
            <v>16911.372230000001</v>
          </cell>
          <cell r="AQ14">
            <v>33244.369229999997</v>
          </cell>
          <cell r="AR14">
            <v>12110.98833</v>
          </cell>
          <cell r="AS14">
            <v>31473.41488</v>
          </cell>
          <cell r="AT14">
            <v>48698.336845275502</v>
          </cell>
          <cell r="AU14">
            <v>184273.48791</v>
          </cell>
          <cell r="AV14">
            <v>817418.9203624361</v>
          </cell>
          <cell r="AW14">
            <v>19002945.126320001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  <cell r="IJ14">
            <v>0</v>
          </cell>
          <cell r="IK14">
            <v>0</v>
          </cell>
          <cell r="IL14">
            <v>0</v>
          </cell>
          <cell r="IM14">
            <v>0</v>
          </cell>
          <cell r="IN14">
            <v>0</v>
          </cell>
          <cell r="IO14">
            <v>0</v>
          </cell>
          <cell r="IP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</row>
        <row r="16">
          <cell r="D16">
            <v>278324.40751760802</v>
          </cell>
          <cell r="E16">
            <v>68078.561735952404</v>
          </cell>
          <cell r="F16">
            <v>177392.90208658698</v>
          </cell>
          <cell r="G16">
            <v>325430.06078570895</v>
          </cell>
          <cell r="H16">
            <v>449107.03710078599</v>
          </cell>
          <cell r="I16">
            <v>310900.40679710504</v>
          </cell>
          <cell r="J16">
            <v>224041.10888686802</v>
          </cell>
          <cell r="K16">
            <v>435839.04834870907</v>
          </cell>
          <cell r="L16">
            <v>296545.335111555</v>
          </cell>
          <cell r="M16">
            <v>79062.227655205599</v>
          </cell>
          <cell r="N16">
            <v>713115.13307384495</v>
          </cell>
          <cell r="O16">
            <v>1059586.2374120799</v>
          </cell>
          <cell r="P16">
            <v>0</v>
          </cell>
          <cell r="Q16">
            <v>10.34</v>
          </cell>
          <cell r="R16">
            <v>2.6</v>
          </cell>
          <cell r="S16">
            <v>8691.0690000000013</v>
          </cell>
          <cell r="T16">
            <v>20568.8408221141</v>
          </cell>
          <cell r="U16">
            <v>12208.6742267555</v>
          </cell>
          <cell r="V16">
            <v>89267.9463790585</v>
          </cell>
          <cell r="W16">
            <v>310736.44001371902</v>
          </cell>
          <cell r="X16">
            <v>76988.821894591514</v>
          </cell>
          <cell r="Y16">
            <v>205017.762743025</v>
          </cell>
          <cell r="Z16">
            <v>358571.85801188304</v>
          </cell>
          <cell r="AA16">
            <v>495696.54454813007</v>
          </cell>
          <cell r="AB16">
            <v>344688.53490922705</v>
          </cell>
          <cell r="AC16">
            <v>275821.09333791002</v>
          </cell>
          <cell r="AD16">
            <v>497429.14701693796</v>
          </cell>
          <cell r="AE16">
            <v>335744.45200109604</v>
          </cell>
          <cell r="AF16">
            <v>93312.503831140202</v>
          </cell>
          <cell r="AG16">
            <v>743080.76914395101</v>
          </cell>
          <cell r="AH16">
            <v>1129422.32036598</v>
          </cell>
          <cell r="AI16">
            <v>0</v>
          </cell>
          <cell r="AJ16">
            <v>8.9</v>
          </cell>
          <cell r="AK16">
            <v>2.7</v>
          </cell>
          <cell r="AL16">
            <v>7959.1009700000004</v>
          </cell>
          <cell r="AM16">
            <v>13534.973750111902</v>
          </cell>
          <cell r="AN16">
            <v>12486.9378323444</v>
          </cell>
          <cell r="AO16">
            <v>89701.965792334115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</row>
        <row r="18">
          <cell r="D18">
            <v>50253574.848159999</v>
          </cell>
          <cell r="E18">
            <v>224362091.48671001</v>
          </cell>
          <cell r="F18">
            <v>493563658.52436</v>
          </cell>
          <cell r="G18">
            <v>19433978.270690002</v>
          </cell>
          <cell r="H18">
            <v>21731729.064119998</v>
          </cell>
          <cell r="I18">
            <v>44378779.279409997</v>
          </cell>
          <cell r="J18">
            <v>66528237.895089999</v>
          </cell>
          <cell r="K18">
            <v>40790661.446630001</v>
          </cell>
          <cell r="L18">
            <v>56689718.422109999</v>
          </cell>
          <cell r="M18">
            <v>188265254.51356</v>
          </cell>
          <cell r="N18">
            <v>75247553.036669999</v>
          </cell>
          <cell r="O18">
            <v>10192494.16267</v>
          </cell>
          <cell r="P18">
            <v>29428280.374570001</v>
          </cell>
          <cell r="Q18">
            <v>139146248.69275999</v>
          </cell>
          <cell r="R18">
            <v>18351952.56687</v>
          </cell>
          <cell r="S18">
            <v>63880312.090539999</v>
          </cell>
          <cell r="T18">
            <v>280235031.21864003</v>
          </cell>
          <cell r="U18">
            <v>147835432.271</v>
          </cell>
          <cell r="V18">
            <v>112613825.60096</v>
          </cell>
          <cell r="W18">
            <v>4745956.1337099997</v>
          </cell>
          <cell r="X18">
            <v>187758.91753999999</v>
          </cell>
          <cell r="Y18">
            <v>366324.33351999999</v>
          </cell>
          <cell r="Z18">
            <v>1006456.18668</v>
          </cell>
          <cell r="AA18">
            <v>855.85700000000008</v>
          </cell>
          <cell r="AB18">
            <v>1514.8240000000001</v>
          </cell>
          <cell r="AC18">
            <v>77261.724570000006</v>
          </cell>
          <cell r="AD18">
            <v>11011559.65522</v>
          </cell>
          <cell r="AE18">
            <v>157446.60057000001</v>
          </cell>
          <cell r="AF18">
            <v>1836481.3136199999</v>
          </cell>
          <cell r="AG18">
            <v>8162791.9271499999</v>
          </cell>
          <cell r="AH18">
            <v>21898001.24738</v>
          </cell>
          <cell r="AI18">
            <v>22572627.16361</v>
          </cell>
          <cell r="AJ18">
            <v>222793844.76324999</v>
          </cell>
          <cell r="AK18">
            <v>13873623.9387</v>
          </cell>
          <cell r="AL18">
            <v>48224122.040569998</v>
          </cell>
          <cell r="AM18">
            <v>219980387.54391</v>
          </cell>
          <cell r="AN18">
            <v>483579280.48971999</v>
          </cell>
          <cell r="AO18">
            <v>19122410.71032</v>
          </cell>
          <cell r="AP18">
            <v>22028586.144979998</v>
          </cell>
          <cell r="AQ18">
            <v>44407426.71204</v>
          </cell>
          <cell r="AR18">
            <v>66735227.443400003</v>
          </cell>
          <cell r="AS18">
            <v>42015661.364550002</v>
          </cell>
          <cell r="AT18">
            <v>57812368.942450002</v>
          </cell>
          <cell r="AU18">
            <v>187621949.96838999</v>
          </cell>
          <cell r="AV18">
            <v>78505845.950739995</v>
          </cell>
          <cell r="AW18">
            <v>10434529.09251</v>
          </cell>
          <cell r="AX18">
            <v>29939883.144200001</v>
          </cell>
          <cell r="AY18">
            <v>141865055.17888999</v>
          </cell>
          <cell r="AZ18">
            <v>18649683.649440002</v>
          </cell>
          <cell r="BA18">
            <v>64735504.529040001</v>
          </cell>
          <cell r="BB18">
            <v>282714231.13169003</v>
          </cell>
          <cell r="BC18">
            <v>155153690.72865</v>
          </cell>
          <cell r="BD18">
            <v>116580260.95959</v>
          </cell>
          <cell r="BE18">
            <v>4625226.3856699998</v>
          </cell>
          <cell r="BF18">
            <v>186346.83014000001</v>
          </cell>
          <cell r="BG18">
            <v>351846.97732000001</v>
          </cell>
          <cell r="BH18">
            <v>712800.65852000006</v>
          </cell>
          <cell r="BI18">
            <v>832.85700000000008</v>
          </cell>
          <cell r="BJ18">
            <v>1482.72</v>
          </cell>
          <cell r="BK18">
            <v>73442.156789999994</v>
          </cell>
          <cell r="BL18">
            <v>10877532.302849</v>
          </cell>
          <cell r="BM18">
            <v>153982.42605000001</v>
          </cell>
          <cell r="BN18">
            <v>1645791.6101299999</v>
          </cell>
          <cell r="BO18">
            <v>4469843.7518999996</v>
          </cell>
          <cell r="BP18">
            <v>21245921.138179999</v>
          </cell>
          <cell r="BQ18">
            <v>21235400.220380001</v>
          </cell>
          <cell r="BR18">
            <v>190975448.70170999</v>
          </cell>
          <cell r="BS18">
            <v>13904953.8014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0</v>
          </cell>
          <cell r="IO18">
            <v>0</v>
          </cell>
          <cell r="IP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</v>
          </cell>
        </row>
      </sheetData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Data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pt_TempSheet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мена"/>
      <sheetName val="- 26 -"/>
      <sheetName val="- 27 -"/>
      <sheetName val="- 28 -"/>
      <sheetName val="- 35 -"/>
      <sheetName val="- 36 -"/>
      <sheetName val="- 37 -"/>
      <sheetName val="- 77 -"/>
      <sheetName val="- 78 -"/>
      <sheetName val="- 79 -"/>
      <sheetName val="- 80 -"/>
      <sheetName val="- 81 -"/>
      <sheetName val="- 78_2 -"/>
      <sheetName val="- 82 -"/>
      <sheetName val="- 83 -"/>
      <sheetName val="- 97 -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Y11">
            <v>32.700315064694195</v>
          </cell>
        </row>
        <row r="13">
          <cell r="N13">
            <v>33367.455722209997</v>
          </cell>
          <cell r="O13">
            <v>587.26399018818108</v>
          </cell>
          <cell r="AB13">
            <v>47720.644</v>
          </cell>
          <cell r="AC13">
            <v>691.65940757163196</v>
          </cell>
          <cell r="AP13">
            <v>0</v>
          </cell>
          <cell r="AQ13">
            <v>0</v>
          </cell>
          <cell r="BD13">
            <v>0</v>
          </cell>
          <cell r="BE13">
            <v>0</v>
          </cell>
          <cell r="BR13">
            <v>0</v>
          </cell>
          <cell r="BS13">
            <v>0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замена"/>
      <sheetName val="- 20 -"/>
      <sheetName val="- 21 -"/>
      <sheetName val="- 22 -"/>
      <sheetName val="- 23 -"/>
      <sheetName val="- 30 -"/>
      <sheetName val="- 31, 32 -"/>
      <sheetName val="- 33 -"/>
      <sheetName val="- 52 -"/>
      <sheetName val="- 53 -"/>
      <sheetName val="- 54 -"/>
      <sheetName val="- 56 -"/>
      <sheetName val="- 57 -"/>
      <sheetName val="- 58 -"/>
      <sheetName val="- 59 -"/>
      <sheetName val="- 60 -"/>
      <sheetName val="- 61 -"/>
      <sheetName val="- 62 -"/>
      <sheetName val="- 63 -"/>
      <sheetName val="- 64 -"/>
      <sheetName val="- 65 -"/>
      <sheetName val="XLR_NoRangeSheet"/>
      <sheetName val="Реестр процессов"/>
      <sheetName val="G2Temp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">
          <cell r="CX9">
            <v>0</v>
          </cell>
          <cell r="CY9">
            <v>1.37E-2</v>
          </cell>
          <cell r="CZ9">
            <v>5.2856999999999994E-2</v>
          </cell>
          <cell r="DA9">
            <v>21.92082774</v>
          </cell>
          <cell r="DB9">
            <v>43.024755669999998</v>
          </cell>
          <cell r="DC9">
            <v>32.102134239999998</v>
          </cell>
          <cell r="DD9">
            <v>211.41841840999999</v>
          </cell>
          <cell r="DE9">
            <v>379.38781023981704</v>
          </cell>
          <cell r="EN9">
            <v>0</v>
          </cell>
          <cell r="EO9">
            <v>1.4142999999999999E-2</v>
          </cell>
          <cell r="EP9">
            <v>4.6356999999999995E-2</v>
          </cell>
          <cell r="EQ9">
            <v>21.228923250000001</v>
          </cell>
          <cell r="ER9">
            <v>41.8892679</v>
          </cell>
          <cell r="ES9">
            <v>27.506772340000001</v>
          </cell>
          <cell r="ET9">
            <v>193.7666375</v>
          </cell>
          <cell r="EU9">
            <v>368.79942793347101</v>
          </cell>
          <cell r="GD9">
            <v>0</v>
          </cell>
          <cell r="GE9">
            <v>1.3800000000000002E-2</v>
          </cell>
          <cell r="GF9">
            <v>2.392E-2</v>
          </cell>
          <cell r="GG9">
            <v>20.830922439999998</v>
          </cell>
          <cell r="GH9">
            <v>41.1098924</v>
          </cell>
          <cell r="GI9">
            <v>24.149148069999999</v>
          </cell>
          <cell r="GJ9">
            <v>176.20360830999999</v>
          </cell>
          <cell r="GK9">
            <v>364.14079675512806</v>
          </cell>
        </row>
      </sheetData>
      <sheetData sheetId="23" refreshError="1"/>
      <sheetData sheetId="2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2TempSheet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_RUS"/>
      <sheetName val="Matrix_ENG"/>
      <sheetName val="Matrix"/>
      <sheetName val="Answers_ENG"/>
      <sheetName val="Answers_RUS"/>
      <sheetName val="Answers"/>
      <sheetName val="Questions"/>
      <sheetName val="CITY"/>
      <sheetName val="JOB FAMILY"/>
      <sheetName val="TEMP"/>
      <sheetName val="OptionForm"/>
      <sheetName val="JOB"/>
      <sheetName val="MAIN"/>
      <sheetName val="DATA"/>
      <sheetName val="перечень"/>
      <sheetName val="Перечень подразделений"/>
      <sheetName val="Salary Data_Regions_2009"/>
      <sheetName val="списки"/>
      <sheetName val="Список инициатив"/>
      <sheetName val="ИД"/>
      <sheetName val="справочники"/>
      <sheetName val="Моделирование_Прил 4"/>
      <sheetName val="Лист3"/>
      <sheetName val="Список регионов_ВСП"/>
      <sheetName val="ШР"/>
      <sheetName val="Должности"/>
      <sheetName val="Список регионов_(Г)ОСБ"/>
      <sheetName val="перечень особенностей"/>
      <sheetName val="Схемы"/>
      <sheetName val="Лист1"/>
      <sheetName val="сложность решаемых вопросов"/>
      <sheetName val="контроль конечных результатов"/>
      <sheetName val="степень полномочий"/>
      <sheetName val="опыт работы"/>
      <sheetName val="ВАЖНО!"/>
      <sheetName val="заштатники"/>
      <sheetName val="решение вопросов_отв"/>
      <sheetName val="ВСП"/>
      <sheetName val="Лист2"/>
      <sheetName val="8556"/>
      <sheetName val="Лист2 (2)"/>
      <sheetName val="ОСБ"/>
      <sheetName val="И_ГОСБ"/>
      <sheetName val="Исходные данные "/>
      <sheetName val="Экземпляр"/>
      <sheetName val="СРМ"/>
      <sheetName val="ДЕЙСТВУЮЩАЯ"/>
      <sheetName val="Блоки ДВБ"/>
      <sheetName val="справочник должностей"/>
      <sheetName val="пояснения_решение вопросов"/>
      <sheetName val="Структуры"/>
      <sheetName val="Список регионов_(Г)ОСБ_новый"/>
      <sheetName val="8.3"/>
      <sheetName val="8.2"/>
      <sheetName val="8.1."/>
      <sheetName val="для полей"/>
      <sheetName val="Исх.данные"/>
      <sheetName val="Продукты"/>
      <sheetName val="Доп. справочники"/>
      <sheetName val="тех. лист"/>
      <sheetName val="ВВОД"/>
      <sheetName val=""/>
      <sheetName val="Справочник"/>
      <sheetName val="спр"/>
      <sheetName val="Справочник подразделений"/>
      <sheetName val="Справочник групп продуктов КСБ"/>
      <sheetName val="Списки для вставки"/>
      <sheetName val="отделы"/>
      <sheetName val="График_отклонение "/>
      <sheetName val="Спр активностей_драйверов"/>
      <sheetName val="Спр линейных активностей ТБ"/>
      <sheetName val="Спр Период"/>
      <sheetName val="Спр ПЦП"/>
      <sheetName val="Спр Базовый банк"/>
      <sheetName val="Спр Версия"/>
      <sheetName val="Sheet1"/>
      <sheetName val="Const"/>
      <sheetName val="Технический лист"/>
      <sheetName val="СПР_Финансирование"/>
      <sheetName val="СПР_Структура"/>
      <sheetName val="СПР_Грейд"/>
      <sheetName val="Численность"/>
      <sheetName val="Города"/>
      <sheetName val="Статус МУСС"/>
      <sheetName val="Текущий статус сотрудника"/>
      <sheetName val="ГОСБОСБ"/>
      <sheetName val="цели"/>
      <sheetName val="Структура"/>
      <sheetName val="Задачи"/>
      <sheetName val="0"/>
      <sheetName val="Списки ВВБ"/>
      <sheetName val="Вводные 1"/>
      <sheetName val="Расчет ОД от УП"/>
      <sheetName val="Типавая структура ТБ"/>
      <sheetName val="ФБ"/>
      <sheetName val="Лист_паспорт"/>
      <sheetName val="Вариант 1"/>
      <sheetName val="чел-час 6 грейд"/>
      <sheetName val="Завод"/>
      <sheetName val="Структура группы"/>
      <sheetName val="Города_ПЦП"/>
      <sheetName val="Подрядчики"/>
      <sheetName val="Страт. инициативы"/>
      <sheetName val="выпадающие списки"/>
      <sheetName val="Каталог ИТ-услуг"/>
      <sheetName val="Субъекты РФ"/>
      <sheetName val="ОбщРез"/>
      <sheetName val="Типовая структура"/>
      <sheetName val="выпадающий список"/>
      <sheetName val="XLR_NoRangeSheet"/>
      <sheetName val="16.09"/>
      <sheetName val="Команда ЕСА"/>
      <sheetName val="Лист1 (2)"/>
      <sheetName val="Лист3 (2)"/>
      <sheetName val="Перевод вакансий из ПАО"/>
      <sheetName val="статус перевода живых ЕСА"/>
      <sheetName val="Приложение 1(Ионова)"/>
      <sheetName val="Лист7"/>
      <sheetName val="Классификатор_ресурсов"/>
      <sheetName val="Классификатор_статей"/>
      <sheetName val="Классификатор_структуры"/>
      <sheetName val="Классификатор_ед.изм."/>
      <sheetName val="Реестр задач"/>
      <sheetName val="Моделирование"/>
      <sheetName val="Quarterly LBO Model"/>
      <sheetName val="Инициативы блока"/>
      <sheetName val="Шаблон Agile"/>
      <sheetName val="IT системы"/>
      <sheetName val="Реестр КПЭ"/>
      <sheetName val="Креди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(AutoRecovered) BINARY(Aut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85"/>
  <sheetViews>
    <sheetView tabSelected="1" topLeftCell="A5" zoomScale="55" zoomScaleNormal="55" workbookViewId="0">
      <selection activeCell="R19" sqref="R19:T19"/>
    </sheetView>
  </sheetViews>
  <sheetFormatPr defaultRowHeight="15.5" outlineLevelCol="1" x14ac:dyDescent="0.35"/>
  <cols>
    <col min="1" max="1" width="28.6640625" style="120" customWidth="1" collapsed="1"/>
    <col min="2" max="2" width="17.1640625" style="3" customWidth="1" outlineLevel="1"/>
    <col min="3" max="8" width="10.33203125" style="125" customWidth="1" outlineLevel="1"/>
    <col min="9" max="9" width="40.9140625" style="1" customWidth="1"/>
    <col min="10" max="10" width="21.08203125" style="2" customWidth="1"/>
    <col min="11" max="12" width="18.5" style="2" customWidth="1"/>
    <col min="13" max="17" width="18.5" style="1" customWidth="1"/>
    <col min="18" max="18" width="21.25" style="3" customWidth="1"/>
    <col min="19" max="19" width="20" style="138" customWidth="1" collapsed="1"/>
    <col min="20" max="22" width="19.58203125" style="1" customWidth="1"/>
    <col min="23" max="23" width="21.25" style="3" customWidth="1" collapsed="1"/>
    <col min="24" max="26" width="32.08203125" style="1" hidden="1" customWidth="1" outlineLevel="1"/>
    <col min="27" max="27" width="38.5" style="1" hidden="1" customWidth="1" outlineLevel="1"/>
    <col min="28" max="29" width="20.75" style="1" hidden="1" customWidth="1" outlineLevel="1"/>
    <col min="30" max="32" width="30.1640625" style="1" hidden="1" customWidth="1" outlineLevel="1"/>
    <col min="33" max="35" width="20.9140625" style="1" hidden="1" customWidth="1" outlineLevel="1"/>
    <col min="36" max="45" width="15.33203125" style="1" hidden="1" customWidth="1" outlineLevel="1"/>
    <col min="46" max="47" width="25.1640625" style="3" hidden="1" customWidth="1" outlineLevel="1"/>
    <col min="48" max="48" width="23.5" style="1" hidden="1" customWidth="1" outlineLevel="1" collapsed="1"/>
    <col min="49" max="49" width="17.6640625" style="1" hidden="1" customWidth="1" outlineLevel="1"/>
    <col min="50" max="50" width="14.6640625" style="1" hidden="1" customWidth="1" outlineLevel="1"/>
    <col min="51" max="51" width="21.9140625" style="133" hidden="1" customWidth="1" outlineLevel="1"/>
    <col min="52" max="52" width="15.83203125" style="1" customWidth="1" collapsed="1"/>
    <col min="53" max="53" width="43.25" style="3" hidden="1" customWidth="1" outlineLevel="1"/>
    <col min="54" max="54" width="30.58203125" style="3" hidden="1" customWidth="1" outlineLevel="1"/>
    <col min="55" max="55" width="35.5" style="3" hidden="1" customWidth="1" outlineLevel="1"/>
    <col min="56" max="56" width="68.08203125" style="3" hidden="1" customWidth="1" outlineLevel="1"/>
    <col min="57" max="57" width="32.08203125" style="3" hidden="1" customWidth="1" outlineLevel="1"/>
    <col min="58" max="58" width="17.6640625" style="3" hidden="1" customWidth="1" outlineLevel="1"/>
    <col min="59" max="59" width="8.6640625" style="1" collapsed="1"/>
    <col min="60" max="16384" width="8.6640625" style="1"/>
  </cols>
  <sheetData>
    <row r="1" spans="1:57" ht="16" thickBot="1" x14ac:dyDescent="0.4"/>
    <row r="2" spans="1:57" ht="16" thickBot="1" x14ac:dyDescent="0.4">
      <c r="L2" s="175" t="s">
        <v>289</v>
      </c>
      <c r="M2" s="176"/>
      <c r="N2" s="177"/>
    </row>
    <row r="3" spans="1:57" x14ac:dyDescent="0.35">
      <c r="L3" s="40"/>
      <c r="N3" s="41"/>
    </row>
    <row r="4" spans="1:57" x14ac:dyDescent="0.35">
      <c r="L4" s="113"/>
      <c r="M4" s="1" t="s">
        <v>281</v>
      </c>
      <c r="N4" s="41"/>
    </row>
    <row r="5" spans="1:57" x14ac:dyDescent="0.35">
      <c r="L5" s="40"/>
      <c r="N5" s="41"/>
    </row>
    <row r="6" spans="1:57" x14ac:dyDescent="0.35">
      <c r="L6" s="42"/>
      <c r="M6" s="1" t="s">
        <v>278</v>
      </c>
      <c r="N6" s="41"/>
      <c r="R6" s="3" t="s">
        <v>291</v>
      </c>
    </row>
    <row r="7" spans="1:57" x14ac:dyDescent="0.35">
      <c r="L7" s="40"/>
      <c r="N7" s="41"/>
      <c r="R7" s="3" t="s">
        <v>212</v>
      </c>
    </row>
    <row r="8" spans="1:57" x14ac:dyDescent="0.35">
      <c r="L8" s="114"/>
      <c r="M8" s="1" t="s">
        <v>279</v>
      </c>
      <c r="N8" s="41"/>
      <c r="R8" s="3" t="s">
        <v>292</v>
      </c>
      <c r="BD8" s="112"/>
    </row>
    <row r="9" spans="1:57" x14ac:dyDescent="0.35">
      <c r="L9" s="40"/>
      <c r="N9" s="41"/>
    </row>
    <row r="10" spans="1:57" x14ac:dyDescent="0.35">
      <c r="L10" s="115"/>
      <c r="M10" s="1" t="s">
        <v>280</v>
      </c>
      <c r="N10" s="41"/>
    </row>
    <row r="11" spans="1:57" x14ac:dyDescent="0.35">
      <c r="L11" s="40"/>
      <c r="N11" s="41"/>
    </row>
    <row r="12" spans="1:57" x14ac:dyDescent="0.35">
      <c r="L12" s="40"/>
      <c r="N12" s="41"/>
      <c r="BE12" s="3" t="s">
        <v>295</v>
      </c>
    </row>
    <row r="13" spans="1:57" ht="16" thickBot="1" x14ac:dyDescent="0.4">
      <c r="L13" s="44"/>
      <c r="M13" s="116"/>
      <c r="N13" s="43"/>
    </row>
    <row r="15" spans="1:57" ht="50" customHeight="1" x14ac:dyDescent="0.45">
      <c r="A15" s="160"/>
      <c r="B15" s="164"/>
      <c r="C15" s="162"/>
      <c r="D15" s="162"/>
      <c r="E15" s="162"/>
      <c r="F15" s="162"/>
      <c r="G15" s="162"/>
      <c r="H15" s="162"/>
      <c r="I15" s="161"/>
      <c r="J15" s="163"/>
      <c r="K15" s="163"/>
      <c r="L15" s="163"/>
      <c r="M15" s="161"/>
      <c r="N15" s="161"/>
      <c r="O15" s="161"/>
      <c r="P15" s="161"/>
      <c r="Q15" s="161"/>
      <c r="R15" s="164"/>
      <c r="S15" s="165"/>
      <c r="T15" s="161"/>
      <c r="U15" s="161"/>
      <c r="V15" s="161"/>
      <c r="W15" s="164"/>
      <c r="AV15" s="131"/>
      <c r="AW15" s="131"/>
      <c r="AX15" s="131"/>
      <c r="AY15" s="134"/>
    </row>
    <row r="16" spans="1:57" ht="16" thickBot="1" x14ac:dyDescent="0.4">
      <c r="A16" s="160"/>
      <c r="B16" s="164"/>
      <c r="C16" s="162"/>
      <c r="D16" s="162"/>
      <c r="E16" s="162"/>
      <c r="F16" s="162"/>
      <c r="G16" s="162"/>
      <c r="H16" s="162"/>
      <c r="I16" s="161"/>
      <c r="J16" s="166">
        <v>1</v>
      </c>
      <c r="K16" s="163"/>
      <c r="L16" s="163"/>
      <c r="M16" s="192">
        <v>2</v>
      </c>
      <c r="N16" s="193"/>
      <c r="O16" s="167">
        <v>3</v>
      </c>
      <c r="P16" s="161"/>
      <c r="Q16" s="161"/>
      <c r="R16" s="164"/>
      <c r="S16" s="165"/>
      <c r="T16" s="168"/>
      <c r="U16" s="168"/>
      <c r="V16" s="168"/>
      <c r="W16" s="164"/>
    </row>
    <row r="17" spans="1:58" ht="40" customHeight="1" thickBot="1" x14ac:dyDescent="0.5">
      <c r="J17" s="184" t="s">
        <v>275</v>
      </c>
      <c r="K17" s="185"/>
      <c r="L17" s="186"/>
      <c r="M17" s="187" t="s">
        <v>276</v>
      </c>
      <c r="N17" s="188"/>
      <c r="O17" s="189" t="s">
        <v>277</v>
      </c>
      <c r="P17" s="190"/>
      <c r="Q17" s="191"/>
      <c r="T17" s="173" t="s">
        <v>282</v>
      </c>
      <c r="U17" s="174"/>
      <c r="V17" s="174"/>
      <c r="X17" s="181" t="s">
        <v>267</v>
      </c>
      <c r="Y17" s="181"/>
      <c r="Z17" s="181"/>
      <c r="AA17" s="182" t="s">
        <v>269</v>
      </c>
      <c r="AB17" s="181"/>
      <c r="AC17" s="181"/>
      <c r="AD17" s="182" t="s">
        <v>270</v>
      </c>
      <c r="AE17" s="181"/>
      <c r="AF17" s="181"/>
      <c r="AG17" s="182" t="s">
        <v>268</v>
      </c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3"/>
      <c r="AT17" s="182" t="s">
        <v>271</v>
      </c>
      <c r="AU17" s="181"/>
      <c r="AV17" s="132" t="s">
        <v>272</v>
      </c>
      <c r="AW17" s="194" t="s">
        <v>273</v>
      </c>
      <c r="AX17" s="194"/>
      <c r="AY17" s="135" t="s">
        <v>274</v>
      </c>
      <c r="AZ17" s="9"/>
      <c r="BA17" s="119" t="s">
        <v>265</v>
      </c>
      <c r="BB17" s="178" t="s">
        <v>264</v>
      </c>
      <c r="BC17" s="179"/>
      <c r="BD17" s="180"/>
    </row>
    <row r="18" spans="1:58" s="141" customFormat="1" ht="58.5" customHeight="1" thickBot="1" x14ac:dyDescent="0.4">
      <c r="A18" s="126" t="s">
        <v>294</v>
      </c>
      <c r="B18" s="127" t="s">
        <v>284</v>
      </c>
      <c r="C18" s="128" t="s">
        <v>297</v>
      </c>
      <c r="D18" s="129">
        <v>1</v>
      </c>
      <c r="E18" s="128">
        <v>2</v>
      </c>
      <c r="F18" s="128">
        <v>3</v>
      </c>
      <c r="G18" s="128">
        <v>4</v>
      </c>
      <c r="H18" s="128">
        <v>5</v>
      </c>
      <c r="I18" s="128" t="s">
        <v>0</v>
      </c>
      <c r="J18" s="128" t="s">
        <v>301</v>
      </c>
      <c r="K18" s="128" t="s">
        <v>302</v>
      </c>
      <c r="L18" s="128" t="s">
        <v>303</v>
      </c>
      <c r="M18" s="128" t="s">
        <v>304</v>
      </c>
      <c r="N18" s="128" t="s">
        <v>305</v>
      </c>
      <c r="O18" s="128" t="s">
        <v>306</v>
      </c>
      <c r="P18" s="128" t="s">
        <v>307</v>
      </c>
      <c r="Q18" s="130" t="s">
        <v>308</v>
      </c>
      <c r="R18" s="126" t="s">
        <v>290</v>
      </c>
      <c r="S18" s="139" t="s">
        <v>293</v>
      </c>
      <c r="T18" s="126" t="s">
        <v>285</v>
      </c>
      <c r="U18" s="126" t="s">
        <v>286</v>
      </c>
      <c r="V18" s="126" t="s">
        <v>287</v>
      </c>
      <c r="W18" s="117" t="s">
        <v>115</v>
      </c>
      <c r="X18" s="117" t="s">
        <v>23</v>
      </c>
      <c r="Y18" s="117" t="s">
        <v>59</v>
      </c>
      <c r="Z18" s="117" t="s">
        <v>93</v>
      </c>
      <c r="AA18" s="117" t="s">
        <v>59</v>
      </c>
      <c r="AB18" s="117" t="s">
        <v>107</v>
      </c>
      <c r="AC18" s="117" t="s">
        <v>108</v>
      </c>
      <c r="AD18" s="117" t="s">
        <v>23</v>
      </c>
      <c r="AE18" s="117" t="s">
        <v>59</v>
      </c>
      <c r="AF18" s="117" t="s">
        <v>93</v>
      </c>
      <c r="AG18" s="117" t="s">
        <v>151</v>
      </c>
      <c r="AH18" s="117" t="s">
        <v>152</v>
      </c>
      <c r="AI18" s="117" t="s">
        <v>153</v>
      </c>
      <c r="AJ18" s="117" t="s">
        <v>162</v>
      </c>
      <c r="AK18" s="117" t="s">
        <v>155</v>
      </c>
      <c r="AL18" s="117" t="s">
        <v>156</v>
      </c>
      <c r="AM18" s="117" t="s">
        <v>154</v>
      </c>
      <c r="AN18" s="117" t="s">
        <v>163</v>
      </c>
      <c r="AO18" s="117" t="s">
        <v>164</v>
      </c>
      <c r="AP18" s="117" t="s">
        <v>80</v>
      </c>
      <c r="AQ18" s="117" t="s">
        <v>56</v>
      </c>
      <c r="AR18" s="117" t="s">
        <v>177</v>
      </c>
      <c r="AS18" s="117" t="s">
        <v>178</v>
      </c>
      <c r="AT18" s="117" t="s">
        <v>193</v>
      </c>
      <c r="AU18" s="117" t="s">
        <v>195</v>
      </c>
      <c r="AV18" s="117" t="s">
        <v>285</v>
      </c>
      <c r="AW18" s="117" t="s">
        <v>286</v>
      </c>
      <c r="AX18" s="117" t="s">
        <v>286</v>
      </c>
      <c r="AY18" s="136" t="s">
        <v>287</v>
      </c>
      <c r="AZ18" s="118" t="s">
        <v>288</v>
      </c>
      <c r="BA18" s="118" t="s">
        <v>262</v>
      </c>
      <c r="BB18" s="118" t="s">
        <v>192</v>
      </c>
      <c r="BC18" s="118" t="s">
        <v>263</v>
      </c>
      <c r="BD18" s="118" t="s">
        <v>253</v>
      </c>
      <c r="BE18" s="118" t="s">
        <v>266</v>
      </c>
      <c r="BF18" s="118" t="s">
        <v>114</v>
      </c>
    </row>
    <row r="19" spans="1:58" s="9" customFormat="1" x14ac:dyDescent="0.35">
      <c r="A19" s="120"/>
      <c r="B19" s="122"/>
      <c r="C19" s="140"/>
      <c r="D19" s="120"/>
      <c r="E19" s="120"/>
      <c r="F19" s="120"/>
      <c r="G19" s="120"/>
      <c r="H19" s="120"/>
      <c r="J19" s="142"/>
      <c r="K19" s="142"/>
      <c r="L19" s="142"/>
      <c r="R19" s="3"/>
      <c r="S19" s="138"/>
      <c r="T19" s="3"/>
      <c r="U19" s="3"/>
      <c r="V19" s="3"/>
      <c r="W19" s="3" t="str">
        <f t="shared" ref="W19:W50" si="0">IF(IFERROR(BF19-6,"")&lt;0,0,IFERROR(BF19-6,""))</f>
        <v/>
      </c>
      <c r="X19" s="9" t="str">
        <f t="shared" ref="X19:X50" si="1">CONCATENATE(K19,L19)</f>
        <v/>
      </c>
      <c r="Y19" s="9" t="str">
        <f t="shared" ref="Y19:Y50" si="2">CONCATENATE(J19,T19)</f>
        <v/>
      </c>
      <c r="Z19" s="3" t="e">
        <f>INDEX('справочная информация'!$U$6:$AK$29,MATCH('Расчет грейда'!$Y19,'справочная информация'!$T$6:$T$29,0),MATCH('Расчет грейда'!$X19,'справочная информация'!$U$5:$AK$5,0))</f>
        <v>#N/A</v>
      </c>
      <c r="AA19" s="9" t="str">
        <f t="shared" ref="AA19:AA50" si="3">CONCATENATE(M19,U19)</f>
        <v/>
      </c>
      <c r="AB19" s="3" t="e">
        <f>INDEX('справочная информация'!$B$68:$H$83,MATCH('Расчет грейда'!$AA19,'справочная информация'!$A$68:$A$83,0),MATCH('Расчет грейда'!$N19,'справочная информация'!$B$67:$H$67,0))</f>
        <v>#N/A</v>
      </c>
      <c r="AC19" s="3" t="e">
        <f>INDEX('справочная информация'!$D$130:$AD$145,MATCH('Расчет грейда'!$AW19,'справочная информация'!$C$130:$C$145,0),MATCH('Расчет грейда'!$AV19,'справочная информация'!$D$129:$AD$129,0))</f>
        <v>#N/A</v>
      </c>
      <c r="AD19" s="9" t="str">
        <f t="shared" ref="AD19:AD50" si="4">CONCATENATE(P19,Q19)</f>
        <v/>
      </c>
      <c r="AE19" s="9" t="str">
        <f t="shared" ref="AE19:AE50" si="5">CONCATENATE(O19,V19)</f>
        <v/>
      </c>
      <c r="AF19" s="3" t="str">
        <f>IFERROR(IF(AND(AD19="",AE19=""),"",INDEX('справочная информация'!$B$188:$Y$211,MATCH('Расчет грейда'!$AE19,'справочная информация'!$A$188:$A$211,0),MATCH('Расчет грейда'!$AD19,'справочная информация'!$B$187:$Y$187,0))),"НЕТ")</f>
        <v/>
      </c>
      <c r="AG19" s="3" t="e">
        <f>VLOOKUP(J19,'справочная информация'!$D$267:$E$274,2,0)</f>
        <v>#N/A</v>
      </c>
      <c r="AH19" s="3" t="e">
        <f>VLOOKUP(K19,'справочная информация'!$D$279:$E$283,2,0)</f>
        <v>#N/A</v>
      </c>
      <c r="AI19" s="3" t="e">
        <f>VLOOKUP(L19,'справочная информация'!$D$288:$E$290,2,0)</f>
        <v>#N/A</v>
      </c>
      <c r="AJ19" s="3" t="str">
        <f t="shared" ref="AJ19:AJ50" si="6">AV19</f>
        <v/>
      </c>
      <c r="AK19" s="169" t="e">
        <f>VLOOKUP(M19,'справочная информация'!$D$294:$E$301,2,0)</f>
        <v>#N/A</v>
      </c>
      <c r="AL19" s="3" t="e">
        <f>VLOOKUP(N19,'справочная информация'!$D$306:$E$310,2,0)</f>
        <v>#N/A</v>
      </c>
      <c r="AM19" s="169" t="str">
        <f t="shared" ref="AM19:AM50" si="7">CONCATENATE("(",AW19,")")</f>
        <v>()</v>
      </c>
      <c r="AN19" s="3" t="str">
        <f t="shared" ref="AN19:AN50" si="8">AX19</f>
        <v/>
      </c>
      <c r="AO19" s="3" t="e">
        <f>VLOOKUP(O19,'справочная информация'!$D$329:$E$336,2,0)</f>
        <v>#N/A</v>
      </c>
      <c r="AP19" s="3" t="e">
        <f>VLOOKUP(P19,'справочная информация'!$D$342:$E$349,2,0)</f>
        <v>#N/A</v>
      </c>
      <c r="AQ19" s="3" t="e">
        <f>VLOOKUP(Q19,'справочная информация'!$D$316:$E$325,2,0)</f>
        <v>#N/A</v>
      </c>
      <c r="AR19" s="3" t="str">
        <f t="shared" ref="AR19:AR50" si="9">AY19</f>
        <v/>
      </c>
      <c r="AS19" s="170" t="str">
        <f t="shared" ref="AS19:AS50" si="10">AZ19</f>
        <v/>
      </c>
      <c r="AT19" s="3" t="str">
        <f t="shared" ref="AT19:AT50" si="11">IF(AND(AX19="",AY19=""),"",IF(AY19&gt;AX19,"A",IF(AX19=AY19,"L","P")))</f>
        <v/>
      </c>
      <c r="AU19" s="3" t="e">
        <f>ABS(MATCH($AX19,'справочная информация'!$A$354:$A$391,0)-MATCH($AY19,'справочная информация'!$A$354:$A$391,0))</f>
        <v>#N/A</v>
      </c>
      <c r="AV19" s="3" t="str">
        <f>IFERROR(INDEX('справочная информация'!$B$6:$R$29,MATCH('Расчет грейда'!$Y19,'справочная информация'!$A$6:$A$29,0),MATCH('Расчет грейда'!$X19,'справочная информация'!$B$5:$R$5,0)),"")</f>
        <v/>
      </c>
      <c r="AW19" s="171" t="str">
        <f>IFERROR(INDEX('справочная информация'!$B$37:$H$52,MATCH('Расчет грейда'!$AA19,'справочная информация'!$A$37:$A$52,0),MATCH('Расчет грейда'!$N19,'справочная информация'!$B$36:$H$36,0)),"")</f>
        <v/>
      </c>
      <c r="AX19" s="122" t="str">
        <f>IFERROR(INDEX('справочная информация'!$D$108:$AD$123,MATCH('Расчет грейда'!$AW19,'справочная информация'!$C$108:$C$123,0),MATCH('Расчет грейда'!$AV19,'справочная информация'!$D$107:$AD$107,0)),"")</f>
        <v/>
      </c>
      <c r="AY19" s="133" t="str">
        <f>IFERROR(INDEX('справочная информация'!$B$158:$Y$181,MATCH('Расчет грейда'!$AE19,'справочная информация'!$A$158:$A$181,0),MATCH('Расчет грейда'!$AD19,'справочная информация'!$B$157:$Y$157,0)),"")</f>
        <v/>
      </c>
      <c r="AZ19" s="170" t="str">
        <f t="shared" ref="AZ19:AZ50" si="12">IFERROR(AV19+AX19+AY19,"")</f>
        <v/>
      </c>
      <c r="BA19" s="172" t="str">
        <f>IFERROR(CONCATENATE(TEXT(AZ19/INDEX('справочная информация'!$D$223:$D$261,MATCH('Расчет грейда'!$AZ19,'справочная информация'!$C$223:$C$261,1)),"0%")," - процент относительно медианы 100%. ","MIN балл на грейде ",INDEX('справочная информация'!$C$223:$C$261,MATCH('Расчет грейда'!$AZ19,'справочная информация'!$C$223:$C$261,1)),", "," MAX балл на грейде ",INDEX('справочная информация'!$E$223:$E$261,MATCH('Расчет грейда'!$AZ19,'справочная информация'!$C$223:$C$261,1))),"")</f>
        <v/>
      </c>
      <c r="BB19" s="120" t="str">
        <f t="shared" ref="BB19:BB50" si="13">IFERROR(IF(AND(AX19="",AY19=""),"",IF(AY19&gt;AX19,"Ответственный профиль (ACC)",IF(AY19=AX19,"Профиль равный (L)","Профиль решения вопросов (PS)"))),"")</f>
        <v/>
      </c>
      <c r="BC19" s="3" t="str">
        <f t="shared" ref="BC19:BC50" si="14">IFERROR(CONCATENATE(AT19,AU19),"")</f>
        <v/>
      </c>
      <c r="BD19" s="121" t="str">
        <f>IFERROR(VLOOKUP(BC19,'справочная информация'!$B$416:$C$424,2,0),"Проверить данные, нетипичная должность")</f>
        <v>Проверить данные, нетипичная должность</v>
      </c>
      <c r="BE19" s="3" t="str">
        <f t="shared" ref="BE19:BE50" si="15">IFERROR(CONCATENATE(AG19,AH19,AI19,"  ",AJ19,"  ",AK19,AL19,"  ",AM19,"  ",AN19,"  ",AO19,AP19,AQ19,"  ",AR19,"  ",AS19,"  ",BC19),"")</f>
        <v/>
      </c>
      <c r="BF19" s="3" t="str">
        <f>IFERROR(INDEX('справочная информация'!$F$223:$F$261,MATCH('Расчет грейда'!$AZ19,'справочная информация'!$C$223:$C$261,1)),"")</f>
        <v/>
      </c>
    </row>
    <row r="20" spans="1:58" s="9" customFormat="1" x14ac:dyDescent="0.35">
      <c r="A20" s="120"/>
      <c r="B20" s="122"/>
      <c r="C20" s="140"/>
      <c r="D20" s="120"/>
      <c r="E20" s="120"/>
      <c r="F20" s="120"/>
      <c r="G20" s="120"/>
      <c r="H20" s="120"/>
      <c r="J20" s="142"/>
      <c r="K20" s="142"/>
      <c r="L20" s="142"/>
      <c r="R20" s="3"/>
      <c r="S20" s="138"/>
      <c r="T20" s="3"/>
      <c r="U20" s="3"/>
      <c r="V20" s="3"/>
      <c r="W20" s="3" t="str">
        <f t="shared" si="0"/>
        <v/>
      </c>
      <c r="X20" s="9" t="str">
        <f t="shared" si="1"/>
        <v/>
      </c>
      <c r="Y20" s="9" t="str">
        <f t="shared" si="2"/>
        <v/>
      </c>
      <c r="Z20" s="3" t="e">
        <f>INDEX('справочная информация'!$U$6:$AK$29,MATCH('Расчет грейда'!$Y20,'справочная информация'!$T$6:$T$29,0),MATCH('Расчет грейда'!$X20,'справочная информация'!$U$5:$AK$5,0))</f>
        <v>#N/A</v>
      </c>
      <c r="AA20" s="9" t="str">
        <f t="shared" si="3"/>
        <v/>
      </c>
      <c r="AB20" s="3" t="e">
        <f>INDEX('справочная информация'!$B$68:$H$83,MATCH('Расчет грейда'!$AA20,'справочная информация'!$A$68:$A$83,0),MATCH('Расчет грейда'!$N20,'справочная информация'!$B$67:$H$67,0))</f>
        <v>#N/A</v>
      </c>
      <c r="AC20" s="3" t="e">
        <f>INDEX('справочная информация'!$D$130:$AD$145,MATCH('Расчет грейда'!$AW20,'справочная информация'!$C$130:$C$145,0),MATCH('Расчет грейда'!$AV20,'справочная информация'!$D$129:$AD$129,0))</f>
        <v>#N/A</v>
      </c>
      <c r="AD20" s="9" t="str">
        <f t="shared" si="4"/>
        <v/>
      </c>
      <c r="AE20" s="9" t="str">
        <f t="shared" si="5"/>
        <v/>
      </c>
      <c r="AF20" s="3" t="str">
        <f>IFERROR(IF(AND(AD20="",AE20=""),"",INDEX('справочная информация'!$B$188:$Y$211,MATCH('Расчет грейда'!$AE20,'справочная информация'!$A$188:$A$211,0),MATCH('Расчет грейда'!$AD20,'справочная информация'!$B$187:$Y$187,0))),"НЕТ")</f>
        <v/>
      </c>
      <c r="AG20" s="3" t="e">
        <f>VLOOKUP(J20,'справочная информация'!$D$267:$E$274,2,0)</f>
        <v>#N/A</v>
      </c>
      <c r="AH20" s="3" t="e">
        <f>VLOOKUP(K20,'справочная информация'!$D$279:$E$283,2,0)</f>
        <v>#N/A</v>
      </c>
      <c r="AI20" s="3" t="e">
        <f>VLOOKUP(L20,'справочная информация'!$D$288:$E$290,2,0)</f>
        <v>#N/A</v>
      </c>
      <c r="AJ20" s="3" t="str">
        <f t="shared" si="6"/>
        <v/>
      </c>
      <c r="AK20" s="169" t="e">
        <f>VLOOKUP(M20,'справочная информация'!$D$294:$E$301,2,0)</f>
        <v>#N/A</v>
      </c>
      <c r="AL20" s="3" t="e">
        <f>VLOOKUP(N20,'справочная информация'!$D$306:$E$310,2,0)</f>
        <v>#N/A</v>
      </c>
      <c r="AM20" s="169" t="str">
        <f t="shared" si="7"/>
        <v>()</v>
      </c>
      <c r="AN20" s="3" t="str">
        <f t="shared" si="8"/>
        <v/>
      </c>
      <c r="AO20" s="3" t="e">
        <f>VLOOKUP(O20,'справочная информация'!$D$329:$E$336,2,0)</f>
        <v>#N/A</v>
      </c>
      <c r="AP20" s="3" t="e">
        <f>VLOOKUP(P20,'справочная информация'!$D$342:$E$349,2,0)</f>
        <v>#N/A</v>
      </c>
      <c r="AQ20" s="3" t="e">
        <f>VLOOKUP(Q20,'справочная информация'!$D$316:$E$325,2,0)</f>
        <v>#N/A</v>
      </c>
      <c r="AR20" s="3" t="str">
        <f t="shared" si="9"/>
        <v/>
      </c>
      <c r="AS20" s="170" t="str">
        <f t="shared" si="10"/>
        <v/>
      </c>
      <c r="AT20" s="3" t="str">
        <f t="shared" si="11"/>
        <v/>
      </c>
      <c r="AU20" s="3" t="e">
        <f>ABS(MATCH($AX20,'справочная информация'!$A$354:$A$391,0)-MATCH($AY20,'справочная информация'!$A$354:$A$391,0))</f>
        <v>#N/A</v>
      </c>
      <c r="AV20" s="3" t="str">
        <f>IFERROR(INDEX('справочная информация'!$B$6:$R$29,MATCH('Расчет грейда'!$Y20,'справочная информация'!$A$6:$A$29,0),MATCH('Расчет грейда'!$X20,'справочная информация'!$B$5:$R$5,0)),"")</f>
        <v/>
      </c>
      <c r="AW20" s="171" t="str">
        <f>IFERROR(INDEX('справочная информация'!$B$37:$H$52,MATCH('Расчет грейда'!$AA20,'справочная информация'!$A$37:$A$52,0),MATCH('Расчет грейда'!$N20,'справочная информация'!$B$36:$H$36,0)),"")</f>
        <v/>
      </c>
      <c r="AX20" s="122" t="str">
        <f>IFERROR(INDEX('справочная информация'!$D$108:$AD$123,MATCH('Расчет грейда'!$AW20,'справочная информация'!$C$108:$C$123,0),MATCH('Расчет грейда'!$AV20,'справочная информация'!$D$107:$AD$107,0)),"")</f>
        <v/>
      </c>
      <c r="AY20" s="133" t="str">
        <f>IFERROR(INDEX('справочная информация'!$B$158:$Y$181,MATCH('Расчет грейда'!$AE20,'справочная информация'!$A$158:$A$181,0),MATCH('Расчет грейда'!$AD20,'справочная информация'!$B$157:$Y$157,0)),"")</f>
        <v/>
      </c>
      <c r="AZ20" s="170" t="str">
        <f t="shared" si="12"/>
        <v/>
      </c>
      <c r="BA20" s="172" t="str">
        <f>IFERROR(CONCATENATE(TEXT(AZ20/INDEX('справочная информация'!$D$223:$D$261,MATCH('Расчет грейда'!$AZ20,'справочная информация'!$C$223:$C$261,1)),"0%")," - процент относительно медианы 100%. ","MIN балл на грейде ",INDEX('справочная информация'!$C$223:$C$261,MATCH('Расчет грейда'!$AZ20,'справочная информация'!$C$223:$C$261,1)),", "," MAX балл на грейде ",INDEX('справочная информация'!$E$223:$E$261,MATCH('Расчет грейда'!$AZ20,'справочная информация'!$C$223:$C$261,1))),"")</f>
        <v/>
      </c>
      <c r="BB20" s="120" t="str">
        <f t="shared" si="13"/>
        <v/>
      </c>
      <c r="BC20" s="3" t="str">
        <f t="shared" si="14"/>
        <v/>
      </c>
      <c r="BD20" s="121" t="str">
        <f>IFERROR(VLOOKUP(BC20,'справочная информация'!$B$416:$C$424,2,0),"Проверить данные, нетипичная должность")</f>
        <v>Проверить данные, нетипичная должность</v>
      </c>
      <c r="BE20" s="3" t="str">
        <f t="shared" si="15"/>
        <v/>
      </c>
      <c r="BF20" s="3" t="str">
        <f>IFERROR(INDEX('справочная информация'!$F$223:$F$261,MATCH('Расчет грейда'!$AZ20,'справочная информация'!$C$223:$C$261,1)),"")</f>
        <v/>
      </c>
    </row>
    <row r="21" spans="1:58" s="9" customFormat="1" x14ac:dyDescent="0.35">
      <c r="A21" s="120"/>
      <c r="B21" s="122"/>
      <c r="C21" s="140"/>
      <c r="D21" s="120"/>
      <c r="E21" s="120"/>
      <c r="F21" s="120"/>
      <c r="G21" s="120"/>
      <c r="H21" s="120"/>
      <c r="J21" s="142"/>
      <c r="K21" s="142"/>
      <c r="L21" s="142"/>
      <c r="R21" s="3"/>
      <c r="S21" s="138"/>
      <c r="T21" s="3"/>
      <c r="U21" s="3"/>
      <c r="V21" s="3"/>
      <c r="W21" s="3" t="str">
        <f t="shared" si="0"/>
        <v/>
      </c>
      <c r="X21" s="9" t="str">
        <f t="shared" si="1"/>
        <v/>
      </c>
      <c r="Y21" s="9" t="str">
        <f t="shared" si="2"/>
        <v/>
      </c>
      <c r="Z21" s="3" t="e">
        <f>INDEX('справочная информация'!$U$6:$AK$29,MATCH('Расчет грейда'!$Y21,'справочная информация'!$T$6:$T$29,0),MATCH('Расчет грейда'!$X21,'справочная информация'!$U$5:$AK$5,0))</f>
        <v>#N/A</v>
      </c>
      <c r="AA21" s="9" t="str">
        <f t="shared" si="3"/>
        <v/>
      </c>
      <c r="AB21" s="3" t="e">
        <f>INDEX('справочная информация'!$B$68:$H$83,MATCH('Расчет грейда'!$AA21,'справочная информация'!$A$68:$A$83,0),MATCH('Расчет грейда'!$N21,'справочная информация'!$B$67:$H$67,0))</f>
        <v>#N/A</v>
      </c>
      <c r="AC21" s="3" t="e">
        <f>INDEX('справочная информация'!$D$130:$AD$145,MATCH('Расчет грейда'!$AW21,'справочная информация'!$C$130:$C$145,0),MATCH('Расчет грейда'!$AV21,'справочная информация'!$D$129:$AD$129,0))</f>
        <v>#N/A</v>
      </c>
      <c r="AD21" s="9" t="str">
        <f t="shared" si="4"/>
        <v/>
      </c>
      <c r="AE21" s="9" t="str">
        <f t="shared" si="5"/>
        <v/>
      </c>
      <c r="AF21" s="3" t="str">
        <f>IFERROR(IF(AND(AD21="",AE21=""),"",INDEX('справочная информация'!$B$188:$Y$211,MATCH('Расчет грейда'!$AE21,'справочная информация'!$A$188:$A$211,0),MATCH('Расчет грейда'!$AD21,'справочная информация'!$B$187:$Y$187,0))),"НЕТ")</f>
        <v/>
      </c>
      <c r="AG21" s="3" t="e">
        <f>VLOOKUP(J21,'справочная информация'!$D$267:$E$274,2,0)</f>
        <v>#N/A</v>
      </c>
      <c r="AH21" s="3" t="e">
        <f>VLOOKUP(K21,'справочная информация'!$D$279:$E$283,2,0)</f>
        <v>#N/A</v>
      </c>
      <c r="AI21" s="3" t="e">
        <f>VLOOKUP(L21,'справочная информация'!$D$288:$E$290,2,0)</f>
        <v>#N/A</v>
      </c>
      <c r="AJ21" s="3" t="str">
        <f t="shared" si="6"/>
        <v/>
      </c>
      <c r="AK21" s="169" t="e">
        <f>VLOOKUP(M21,'справочная информация'!$D$294:$E$301,2,0)</f>
        <v>#N/A</v>
      </c>
      <c r="AL21" s="3" t="e">
        <f>VLOOKUP(N21,'справочная информация'!$D$306:$E$310,2,0)</f>
        <v>#N/A</v>
      </c>
      <c r="AM21" s="169" t="str">
        <f t="shared" si="7"/>
        <v>()</v>
      </c>
      <c r="AN21" s="3" t="str">
        <f t="shared" si="8"/>
        <v/>
      </c>
      <c r="AO21" s="3" t="e">
        <f>VLOOKUP(O21,'справочная информация'!$D$329:$E$336,2,0)</f>
        <v>#N/A</v>
      </c>
      <c r="AP21" s="3" t="e">
        <f>VLOOKUP(P21,'справочная информация'!$D$342:$E$349,2,0)</f>
        <v>#N/A</v>
      </c>
      <c r="AQ21" s="3" t="e">
        <f>VLOOKUP(Q21,'справочная информация'!$D$316:$E$325,2,0)</f>
        <v>#N/A</v>
      </c>
      <c r="AR21" s="3" t="str">
        <f t="shared" si="9"/>
        <v/>
      </c>
      <c r="AS21" s="170" t="str">
        <f t="shared" si="10"/>
        <v/>
      </c>
      <c r="AT21" s="3" t="str">
        <f t="shared" si="11"/>
        <v/>
      </c>
      <c r="AU21" s="3" t="e">
        <f>ABS(MATCH($AX21,'справочная информация'!$A$354:$A$391,0)-MATCH($AY21,'справочная информация'!$A$354:$A$391,0))</f>
        <v>#N/A</v>
      </c>
      <c r="AV21" s="3" t="str">
        <f>IFERROR(INDEX('справочная информация'!$B$6:$R$29,MATCH('Расчет грейда'!$Y21,'справочная информация'!$A$6:$A$29,0),MATCH('Расчет грейда'!$X21,'справочная информация'!$B$5:$R$5,0)),"")</f>
        <v/>
      </c>
      <c r="AW21" s="171" t="str">
        <f>IFERROR(INDEX('справочная информация'!$B$37:$H$52,MATCH('Расчет грейда'!$AA21,'справочная информация'!$A$37:$A$52,0),MATCH('Расчет грейда'!$N21,'справочная информация'!$B$36:$H$36,0)),"")</f>
        <v/>
      </c>
      <c r="AX21" s="122" t="str">
        <f>IFERROR(INDEX('справочная информация'!$D$108:$AD$123,MATCH('Расчет грейда'!$AW21,'справочная информация'!$C$108:$C$123,0),MATCH('Расчет грейда'!$AV21,'справочная информация'!$D$107:$AD$107,0)),"")</f>
        <v/>
      </c>
      <c r="AY21" s="133" t="str">
        <f>IFERROR(INDEX('справочная информация'!$B$158:$Y$181,MATCH('Расчет грейда'!$AE21,'справочная информация'!$A$158:$A$181,0),MATCH('Расчет грейда'!$AD21,'справочная информация'!$B$157:$Y$157,0)),"")</f>
        <v/>
      </c>
      <c r="AZ21" s="170" t="str">
        <f t="shared" si="12"/>
        <v/>
      </c>
      <c r="BA21" s="172" t="str">
        <f>IFERROR(CONCATENATE(TEXT(AZ21/INDEX('справочная информация'!$D$223:$D$261,MATCH('Расчет грейда'!$AZ21,'справочная информация'!$C$223:$C$261,1)),"0%")," - процент относительно медианы 100%. ","MIN балл на грейде ",INDEX('справочная информация'!$C$223:$C$261,MATCH('Расчет грейда'!$AZ21,'справочная информация'!$C$223:$C$261,1)),", "," MAX балл на грейде ",INDEX('справочная информация'!$E$223:$E$261,MATCH('Расчет грейда'!$AZ21,'справочная информация'!$C$223:$C$261,1))),"")</f>
        <v/>
      </c>
      <c r="BB21" s="120" t="str">
        <f t="shared" si="13"/>
        <v/>
      </c>
      <c r="BC21" s="3" t="str">
        <f t="shared" si="14"/>
        <v/>
      </c>
      <c r="BD21" s="121" t="str">
        <f>IFERROR(VLOOKUP(BC21,'справочная информация'!$B$416:$C$424,2,0),"Проверить данные, нетипичная должность")</f>
        <v>Проверить данные, нетипичная должность</v>
      </c>
      <c r="BE21" s="3" t="str">
        <f t="shared" si="15"/>
        <v/>
      </c>
      <c r="BF21" s="3" t="str">
        <f>IFERROR(INDEX('справочная информация'!$F$223:$F$261,MATCH('Расчет грейда'!$AZ21,'справочная информация'!$C$223:$C$261,1)),"")</f>
        <v/>
      </c>
    </row>
    <row r="22" spans="1:58" s="9" customFormat="1" x14ac:dyDescent="0.35">
      <c r="A22" s="120"/>
      <c r="B22" s="122"/>
      <c r="C22" s="140"/>
      <c r="D22" s="120"/>
      <c r="E22" s="120"/>
      <c r="F22" s="120"/>
      <c r="G22" s="120"/>
      <c r="H22" s="120"/>
      <c r="J22" s="142"/>
      <c r="K22" s="142"/>
      <c r="L22" s="142"/>
      <c r="R22" s="3"/>
      <c r="S22" s="138"/>
      <c r="T22" s="3"/>
      <c r="U22" s="3"/>
      <c r="V22" s="3"/>
      <c r="W22" s="3" t="str">
        <f t="shared" si="0"/>
        <v/>
      </c>
      <c r="X22" s="9" t="str">
        <f t="shared" si="1"/>
        <v/>
      </c>
      <c r="Y22" s="9" t="str">
        <f t="shared" si="2"/>
        <v/>
      </c>
      <c r="Z22" s="3" t="e">
        <f>INDEX('справочная информация'!$U$6:$AK$29,MATCH('Расчет грейда'!$Y22,'справочная информация'!$T$6:$T$29,0),MATCH('Расчет грейда'!$X22,'справочная информация'!$U$5:$AK$5,0))</f>
        <v>#N/A</v>
      </c>
      <c r="AA22" s="9" t="str">
        <f t="shared" si="3"/>
        <v/>
      </c>
      <c r="AB22" s="3" t="e">
        <f>INDEX('справочная информация'!$B$68:$H$83,MATCH('Расчет грейда'!$AA22,'справочная информация'!$A$68:$A$83,0),MATCH('Расчет грейда'!$N22,'справочная информация'!$B$67:$H$67,0))</f>
        <v>#N/A</v>
      </c>
      <c r="AC22" s="3" t="e">
        <f>INDEX('справочная информация'!$D$130:$AD$145,MATCH('Расчет грейда'!$AW22,'справочная информация'!$C$130:$C$145,0),MATCH('Расчет грейда'!$AV22,'справочная информация'!$D$129:$AD$129,0))</f>
        <v>#N/A</v>
      </c>
      <c r="AD22" s="9" t="str">
        <f t="shared" si="4"/>
        <v/>
      </c>
      <c r="AE22" s="9" t="str">
        <f t="shared" si="5"/>
        <v/>
      </c>
      <c r="AF22" s="3" t="str">
        <f>IFERROR(IF(AND(AD22="",AE22=""),"",INDEX('справочная информация'!$B$188:$Y$211,MATCH('Расчет грейда'!$AE22,'справочная информация'!$A$188:$A$211,0),MATCH('Расчет грейда'!$AD22,'справочная информация'!$B$187:$Y$187,0))),"НЕТ")</f>
        <v/>
      </c>
      <c r="AG22" s="3" t="e">
        <f>VLOOKUP(J22,'справочная информация'!$D$267:$E$274,2,0)</f>
        <v>#N/A</v>
      </c>
      <c r="AH22" s="3" t="e">
        <f>VLOOKUP(K22,'справочная информация'!$D$279:$E$283,2,0)</f>
        <v>#N/A</v>
      </c>
      <c r="AI22" s="3" t="e">
        <f>VLOOKUP(L22,'справочная информация'!$D$288:$E$290,2,0)</f>
        <v>#N/A</v>
      </c>
      <c r="AJ22" s="3" t="str">
        <f t="shared" si="6"/>
        <v/>
      </c>
      <c r="AK22" s="169" t="e">
        <f>VLOOKUP(M22,'справочная информация'!$D$294:$E$301,2,0)</f>
        <v>#N/A</v>
      </c>
      <c r="AL22" s="3" t="e">
        <f>VLOOKUP(N22,'справочная информация'!$D$306:$E$310,2,0)</f>
        <v>#N/A</v>
      </c>
      <c r="AM22" s="169" t="str">
        <f t="shared" si="7"/>
        <v>()</v>
      </c>
      <c r="AN22" s="3" t="str">
        <f t="shared" si="8"/>
        <v/>
      </c>
      <c r="AO22" s="3" t="e">
        <f>VLOOKUP(O22,'справочная информация'!$D$329:$E$336,2,0)</f>
        <v>#N/A</v>
      </c>
      <c r="AP22" s="3" t="e">
        <f>VLOOKUP(P22,'справочная информация'!$D$342:$E$349,2,0)</f>
        <v>#N/A</v>
      </c>
      <c r="AQ22" s="3" t="e">
        <f>VLOOKUP(Q22,'справочная информация'!$D$316:$E$325,2,0)</f>
        <v>#N/A</v>
      </c>
      <c r="AR22" s="3" t="str">
        <f t="shared" si="9"/>
        <v/>
      </c>
      <c r="AS22" s="170" t="str">
        <f t="shared" si="10"/>
        <v/>
      </c>
      <c r="AT22" s="3" t="str">
        <f t="shared" si="11"/>
        <v/>
      </c>
      <c r="AU22" s="3" t="e">
        <f>ABS(MATCH($AX22,'справочная информация'!$A$354:$A$391,0)-MATCH($AY22,'справочная информация'!$A$354:$A$391,0))</f>
        <v>#N/A</v>
      </c>
      <c r="AV22" s="3" t="str">
        <f>IFERROR(INDEX('справочная информация'!$B$6:$R$29,MATCH('Расчет грейда'!$Y22,'справочная информация'!$A$6:$A$29,0),MATCH('Расчет грейда'!$X22,'справочная информация'!$B$5:$R$5,0)),"")</f>
        <v/>
      </c>
      <c r="AW22" s="171" t="str">
        <f>IFERROR(INDEX('справочная информация'!$B$37:$H$52,MATCH('Расчет грейда'!$AA22,'справочная информация'!$A$37:$A$52,0),MATCH('Расчет грейда'!$N22,'справочная информация'!$B$36:$H$36,0)),"")</f>
        <v/>
      </c>
      <c r="AX22" s="122" t="str">
        <f>IFERROR(INDEX('справочная информация'!$D$108:$AD$123,MATCH('Расчет грейда'!$AW22,'справочная информация'!$C$108:$C$123,0),MATCH('Расчет грейда'!$AV22,'справочная информация'!$D$107:$AD$107,0)),"")</f>
        <v/>
      </c>
      <c r="AY22" s="133" t="str">
        <f>IFERROR(INDEX('справочная информация'!$B$158:$Y$181,MATCH('Расчет грейда'!$AE22,'справочная информация'!$A$158:$A$181,0),MATCH('Расчет грейда'!$AD22,'справочная информация'!$B$157:$Y$157,0)),"")</f>
        <v/>
      </c>
      <c r="AZ22" s="170" t="str">
        <f t="shared" si="12"/>
        <v/>
      </c>
      <c r="BA22" s="172" t="str">
        <f>IFERROR(CONCATENATE(TEXT(AZ22/INDEX('справочная информация'!$D$223:$D$261,MATCH('Расчет грейда'!$AZ22,'справочная информация'!$C$223:$C$261,1)),"0%")," - процент относительно медианы 100%. ","MIN балл на грейде ",INDEX('справочная информация'!$C$223:$C$261,MATCH('Расчет грейда'!$AZ22,'справочная информация'!$C$223:$C$261,1)),", "," MAX балл на грейде ",INDEX('справочная информация'!$E$223:$E$261,MATCH('Расчет грейда'!$AZ22,'справочная информация'!$C$223:$C$261,1))),"")</f>
        <v/>
      </c>
      <c r="BB22" s="120" t="str">
        <f t="shared" si="13"/>
        <v/>
      </c>
      <c r="BC22" s="3" t="str">
        <f t="shared" si="14"/>
        <v/>
      </c>
      <c r="BD22" s="121" t="str">
        <f>IFERROR(VLOOKUP(BC22,'справочная информация'!$B$416:$C$424,2,0),"Проверить данные, нетипичная должность")</f>
        <v>Проверить данные, нетипичная должность</v>
      </c>
      <c r="BE22" s="3" t="str">
        <f t="shared" si="15"/>
        <v/>
      </c>
      <c r="BF22" s="3" t="str">
        <f>IFERROR(INDEX('справочная информация'!$F$223:$F$261,MATCH('Расчет грейда'!$AZ22,'справочная информация'!$C$223:$C$261,1)),"")</f>
        <v/>
      </c>
    </row>
    <row r="23" spans="1:58" s="9" customFormat="1" x14ac:dyDescent="0.35">
      <c r="A23" s="120"/>
      <c r="B23" s="122"/>
      <c r="C23" s="140"/>
      <c r="D23" s="120"/>
      <c r="E23" s="120"/>
      <c r="F23" s="120"/>
      <c r="G23" s="120"/>
      <c r="H23" s="120"/>
      <c r="J23" s="142"/>
      <c r="K23" s="142"/>
      <c r="L23" s="142"/>
      <c r="R23" s="3"/>
      <c r="S23" s="138"/>
      <c r="T23" s="3"/>
      <c r="U23" s="3"/>
      <c r="V23" s="3"/>
      <c r="W23" s="3" t="str">
        <f t="shared" si="0"/>
        <v/>
      </c>
      <c r="X23" s="9" t="str">
        <f t="shared" si="1"/>
        <v/>
      </c>
      <c r="Y23" s="9" t="str">
        <f t="shared" si="2"/>
        <v/>
      </c>
      <c r="Z23" s="3" t="e">
        <f>INDEX('справочная информация'!$U$6:$AK$29,MATCH('Расчет грейда'!$Y23,'справочная информация'!$T$6:$T$29,0),MATCH('Расчет грейда'!$X23,'справочная информация'!$U$5:$AK$5,0))</f>
        <v>#N/A</v>
      </c>
      <c r="AA23" s="9" t="str">
        <f t="shared" si="3"/>
        <v/>
      </c>
      <c r="AB23" s="3" t="e">
        <f>INDEX('справочная информация'!$B$68:$H$83,MATCH('Расчет грейда'!$AA23,'справочная информация'!$A$68:$A$83,0),MATCH('Расчет грейда'!$N23,'справочная информация'!$B$67:$H$67,0))</f>
        <v>#N/A</v>
      </c>
      <c r="AC23" s="3" t="e">
        <f>INDEX('справочная информация'!$D$130:$AD$145,MATCH('Расчет грейда'!$AW23,'справочная информация'!$C$130:$C$145,0),MATCH('Расчет грейда'!$AV23,'справочная информация'!$D$129:$AD$129,0))</f>
        <v>#N/A</v>
      </c>
      <c r="AD23" s="9" t="str">
        <f t="shared" si="4"/>
        <v/>
      </c>
      <c r="AE23" s="9" t="str">
        <f t="shared" si="5"/>
        <v/>
      </c>
      <c r="AF23" s="3" t="str">
        <f>IFERROR(IF(AND(AD23="",AE23=""),"",INDEX('справочная информация'!$B$188:$Y$211,MATCH('Расчет грейда'!$AE23,'справочная информация'!$A$188:$A$211,0),MATCH('Расчет грейда'!$AD23,'справочная информация'!$B$187:$Y$187,0))),"НЕТ")</f>
        <v/>
      </c>
      <c r="AG23" s="3" t="e">
        <f>VLOOKUP(J23,'справочная информация'!$D$267:$E$274,2,0)</f>
        <v>#N/A</v>
      </c>
      <c r="AH23" s="3" t="e">
        <f>VLOOKUP(K23,'справочная информация'!$D$279:$E$283,2,0)</f>
        <v>#N/A</v>
      </c>
      <c r="AI23" s="3" t="e">
        <f>VLOOKUP(L23,'справочная информация'!$D$288:$E$290,2,0)</f>
        <v>#N/A</v>
      </c>
      <c r="AJ23" s="3" t="str">
        <f t="shared" si="6"/>
        <v/>
      </c>
      <c r="AK23" s="169" t="e">
        <f>VLOOKUP(M23,'справочная информация'!$D$294:$E$301,2,0)</f>
        <v>#N/A</v>
      </c>
      <c r="AL23" s="3" t="e">
        <f>VLOOKUP(N23,'справочная информация'!$D$306:$E$310,2,0)</f>
        <v>#N/A</v>
      </c>
      <c r="AM23" s="169" t="str">
        <f t="shared" si="7"/>
        <v>()</v>
      </c>
      <c r="AN23" s="3" t="str">
        <f t="shared" si="8"/>
        <v/>
      </c>
      <c r="AO23" s="3" t="e">
        <f>VLOOKUP(O23,'справочная информация'!$D$329:$E$336,2,0)</f>
        <v>#N/A</v>
      </c>
      <c r="AP23" s="3" t="e">
        <f>VLOOKUP(P23,'справочная информация'!$D$342:$E$349,2,0)</f>
        <v>#N/A</v>
      </c>
      <c r="AQ23" s="3" t="e">
        <f>VLOOKUP(Q23,'справочная информация'!$D$316:$E$325,2,0)</f>
        <v>#N/A</v>
      </c>
      <c r="AR23" s="3" t="str">
        <f t="shared" si="9"/>
        <v/>
      </c>
      <c r="AS23" s="170" t="str">
        <f t="shared" si="10"/>
        <v/>
      </c>
      <c r="AT23" s="3" t="str">
        <f t="shared" si="11"/>
        <v/>
      </c>
      <c r="AU23" s="3" t="e">
        <f>ABS(MATCH($AX23,'справочная информация'!$A$354:$A$391,0)-MATCH($AY23,'справочная информация'!$A$354:$A$391,0))</f>
        <v>#N/A</v>
      </c>
      <c r="AV23" s="3" t="str">
        <f>IFERROR(INDEX('справочная информация'!$B$6:$R$29,MATCH('Расчет грейда'!$Y23,'справочная информация'!$A$6:$A$29,0),MATCH('Расчет грейда'!$X23,'справочная информация'!$B$5:$R$5,0)),"")</f>
        <v/>
      </c>
      <c r="AW23" s="171" t="str">
        <f>IFERROR(INDEX('справочная информация'!$B$37:$H$52,MATCH('Расчет грейда'!$AA23,'справочная информация'!$A$37:$A$52,0),MATCH('Расчет грейда'!$N23,'справочная информация'!$B$36:$H$36,0)),"")</f>
        <v/>
      </c>
      <c r="AX23" s="122" t="str">
        <f>IFERROR(INDEX('справочная информация'!$D$108:$AD$123,MATCH('Расчет грейда'!$AW23,'справочная информация'!$C$108:$C$123,0),MATCH('Расчет грейда'!$AV23,'справочная информация'!$D$107:$AD$107,0)),"")</f>
        <v/>
      </c>
      <c r="AY23" s="133" t="str">
        <f>IFERROR(INDEX('справочная информация'!$B$158:$Y$181,MATCH('Расчет грейда'!$AE23,'справочная информация'!$A$158:$A$181,0),MATCH('Расчет грейда'!$AD23,'справочная информация'!$B$157:$Y$157,0)),"")</f>
        <v/>
      </c>
      <c r="AZ23" s="170" t="str">
        <f t="shared" si="12"/>
        <v/>
      </c>
      <c r="BA23" s="172" t="str">
        <f>IFERROR(CONCATENATE(TEXT(AZ23/INDEX('справочная информация'!$D$223:$D$261,MATCH('Расчет грейда'!$AZ23,'справочная информация'!$C$223:$C$261,1)),"0%")," - процент относительно медианы 100%. ","MIN балл на грейде ",INDEX('справочная информация'!$C$223:$C$261,MATCH('Расчет грейда'!$AZ23,'справочная информация'!$C$223:$C$261,1)),", "," MAX балл на грейде ",INDEX('справочная информация'!$E$223:$E$261,MATCH('Расчет грейда'!$AZ23,'справочная информация'!$C$223:$C$261,1))),"")</f>
        <v/>
      </c>
      <c r="BB23" s="120" t="str">
        <f t="shared" si="13"/>
        <v/>
      </c>
      <c r="BC23" s="3" t="str">
        <f t="shared" si="14"/>
        <v/>
      </c>
      <c r="BD23" s="121" t="str">
        <f>IFERROR(VLOOKUP(BC23,'справочная информация'!$B$416:$C$424,2,0),"Проверить данные, нетипичная должность")</f>
        <v>Проверить данные, нетипичная должность</v>
      </c>
      <c r="BE23" s="3" t="str">
        <f t="shared" si="15"/>
        <v/>
      </c>
      <c r="BF23" s="3" t="str">
        <f>IFERROR(INDEX('справочная информация'!$F$223:$F$261,MATCH('Расчет грейда'!$AZ23,'справочная информация'!$C$223:$C$261,1)),"")</f>
        <v/>
      </c>
    </row>
    <row r="24" spans="1:58" s="9" customFormat="1" x14ac:dyDescent="0.35">
      <c r="A24" s="120"/>
      <c r="B24" s="122"/>
      <c r="C24" s="140"/>
      <c r="D24" s="120"/>
      <c r="E24" s="120"/>
      <c r="F24" s="120"/>
      <c r="G24" s="120"/>
      <c r="H24" s="120"/>
      <c r="J24" s="142"/>
      <c r="K24" s="142"/>
      <c r="L24" s="142"/>
      <c r="R24" s="3"/>
      <c r="S24" s="138"/>
      <c r="T24" s="3"/>
      <c r="U24" s="3"/>
      <c r="V24" s="3"/>
      <c r="W24" s="3" t="str">
        <f t="shared" si="0"/>
        <v/>
      </c>
      <c r="X24" s="9" t="str">
        <f t="shared" si="1"/>
        <v/>
      </c>
      <c r="Y24" s="9" t="str">
        <f t="shared" si="2"/>
        <v/>
      </c>
      <c r="Z24" s="3" t="e">
        <f>INDEX('справочная информация'!$U$6:$AK$29,MATCH('Расчет грейда'!$Y24,'справочная информация'!$T$6:$T$29,0),MATCH('Расчет грейда'!$X24,'справочная информация'!$U$5:$AK$5,0))</f>
        <v>#N/A</v>
      </c>
      <c r="AA24" s="9" t="str">
        <f t="shared" si="3"/>
        <v/>
      </c>
      <c r="AB24" s="3" t="e">
        <f>INDEX('справочная информация'!$B$68:$H$83,MATCH('Расчет грейда'!$AA24,'справочная информация'!$A$68:$A$83,0),MATCH('Расчет грейда'!$N24,'справочная информация'!$B$67:$H$67,0))</f>
        <v>#N/A</v>
      </c>
      <c r="AC24" s="3" t="e">
        <f>INDEX('справочная информация'!$D$130:$AD$145,MATCH('Расчет грейда'!$AW24,'справочная информация'!$C$130:$C$145,0),MATCH('Расчет грейда'!$AV24,'справочная информация'!$D$129:$AD$129,0))</f>
        <v>#N/A</v>
      </c>
      <c r="AD24" s="9" t="str">
        <f t="shared" si="4"/>
        <v/>
      </c>
      <c r="AE24" s="9" t="str">
        <f t="shared" si="5"/>
        <v/>
      </c>
      <c r="AF24" s="3" t="str">
        <f>IFERROR(IF(AND(AD24="",AE24=""),"",INDEX('справочная информация'!$B$188:$Y$211,MATCH('Расчет грейда'!$AE24,'справочная информация'!$A$188:$A$211,0),MATCH('Расчет грейда'!$AD24,'справочная информация'!$B$187:$Y$187,0))),"НЕТ")</f>
        <v/>
      </c>
      <c r="AG24" s="3" t="e">
        <f>VLOOKUP(J24,'справочная информация'!$D$267:$E$274,2,0)</f>
        <v>#N/A</v>
      </c>
      <c r="AH24" s="3" t="e">
        <f>VLOOKUP(K24,'справочная информация'!$D$279:$E$283,2,0)</f>
        <v>#N/A</v>
      </c>
      <c r="AI24" s="3" t="e">
        <f>VLOOKUP(L24,'справочная информация'!$D$288:$E$290,2,0)</f>
        <v>#N/A</v>
      </c>
      <c r="AJ24" s="3" t="str">
        <f t="shared" si="6"/>
        <v/>
      </c>
      <c r="AK24" s="169" t="e">
        <f>VLOOKUP(M24,'справочная информация'!$D$294:$E$301,2,0)</f>
        <v>#N/A</v>
      </c>
      <c r="AL24" s="3" t="e">
        <f>VLOOKUP(N24,'справочная информация'!$D$306:$E$310,2,0)</f>
        <v>#N/A</v>
      </c>
      <c r="AM24" s="169" t="str">
        <f t="shared" si="7"/>
        <v>()</v>
      </c>
      <c r="AN24" s="3" t="str">
        <f t="shared" si="8"/>
        <v/>
      </c>
      <c r="AO24" s="3" t="e">
        <f>VLOOKUP(O24,'справочная информация'!$D$329:$E$336,2,0)</f>
        <v>#N/A</v>
      </c>
      <c r="AP24" s="3" t="e">
        <f>VLOOKUP(P24,'справочная информация'!$D$342:$E$349,2,0)</f>
        <v>#N/A</v>
      </c>
      <c r="AQ24" s="3" t="e">
        <f>VLOOKUP(Q24,'справочная информация'!$D$316:$E$325,2,0)</f>
        <v>#N/A</v>
      </c>
      <c r="AR24" s="3" t="str">
        <f t="shared" si="9"/>
        <v/>
      </c>
      <c r="AS24" s="170" t="str">
        <f t="shared" si="10"/>
        <v/>
      </c>
      <c r="AT24" s="3" t="str">
        <f t="shared" si="11"/>
        <v/>
      </c>
      <c r="AU24" s="3" t="e">
        <f>ABS(MATCH($AX24,'справочная информация'!$A$354:$A$391,0)-MATCH($AY24,'справочная информация'!$A$354:$A$391,0))</f>
        <v>#N/A</v>
      </c>
      <c r="AV24" s="3" t="str">
        <f>IFERROR(INDEX('справочная информация'!$B$6:$R$29,MATCH('Расчет грейда'!$Y24,'справочная информация'!$A$6:$A$29,0),MATCH('Расчет грейда'!$X24,'справочная информация'!$B$5:$R$5,0)),"")</f>
        <v/>
      </c>
      <c r="AW24" s="171" t="str">
        <f>IFERROR(INDEX('справочная информация'!$B$37:$H$52,MATCH('Расчет грейда'!$AA24,'справочная информация'!$A$37:$A$52,0),MATCH('Расчет грейда'!$N24,'справочная информация'!$B$36:$H$36,0)),"")</f>
        <v/>
      </c>
      <c r="AX24" s="122" t="str">
        <f>IFERROR(INDEX('справочная информация'!$D$108:$AD$123,MATCH('Расчет грейда'!$AW24,'справочная информация'!$C$108:$C$123,0),MATCH('Расчет грейда'!$AV24,'справочная информация'!$D$107:$AD$107,0)),"")</f>
        <v/>
      </c>
      <c r="AY24" s="133" t="str">
        <f>IFERROR(INDEX('справочная информация'!$B$158:$Y$181,MATCH('Расчет грейда'!$AE24,'справочная информация'!$A$158:$A$181,0),MATCH('Расчет грейда'!$AD24,'справочная информация'!$B$157:$Y$157,0)),"")</f>
        <v/>
      </c>
      <c r="AZ24" s="170" t="str">
        <f t="shared" si="12"/>
        <v/>
      </c>
      <c r="BA24" s="172" t="str">
        <f>IFERROR(CONCATENATE(TEXT(AZ24/INDEX('справочная информация'!$D$223:$D$261,MATCH('Расчет грейда'!$AZ24,'справочная информация'!$C$223:$C$261,1)),"0%")," - процент относительно медианы 100%. ","MIN балл на грейде ",INDEX('справочная информация'!$C$223:$C$261,MATCH('Расчет грейда'!$AZ24,'справочная информация'!$C$223:$C$261,1)),", "," MAX балл на грейде ",INDEX('справочная информация'!$E$223:$E$261,MATCH('Расчет грейда'!$AZ24,'справочная информация'!$C$223:$C$261,1))),"")</f>
        <v/>
      </c>
      <c r="BB24" s="120" t="str">
        <f t="shared" si="13"/>
        <v/>
      </c>
      <c r="BC24" s="3" t="str">
        <f t="shared" si="14"/>
        <v/>
      </c>
      <c r="BD24" s="121" t="str">
        <f>IFERROR(VLOOKUP(BC24,'справочная информация'!$B$416:$C$424,2,0),"Проверить данные, нетипичная должность")</f>
        <v>Проверить данные, нетипичная должность</v>
      </c>
      <c r="BE24" s="3" t="str">
        <f t="shared" si="15"/>
        <v/>
      </c>
      <c r="BF24" s="3" t="str">
        <f>IFERROR(INDEX('справочная информация'!$F$223:$F$261,MATCH('Расчет грейда'!$AZ24,'справочная информация'!$C$223:$C$261,1)),"")</f>
        <v/>
      </c>
    </row>
    <row r="25" spans="1:58" s="9" customFormat="1" x14ac:dyDescent="0.35">
      <c r="A25" s="120"/>
      <c r="B25" s="122"/>
      <c r="C25" s="140"/>
      <c r="D25" s="120"/>
      <c r="E25" s="120"/>
      <c r="F25" s="120"/>
      <c r="G25" s="120"/>
      <c r="H25" s="120"/>
      <c r="J25" s="142"/>
      <c r="K25" s="142"/>
      <c r="L25" s="142"/>
      <c r="R25" s="3"/>
      <c r="S25" s="138"/>
      <c r="T25" s="3"/>
      <c r="U25" s="3"/>
      <c r="V25" s="3"/>
      <c r="W25" s="3" t="str">
        <f t="shared" si="0"/>
        <v/>
      </c>
      <c r="X25" s="9" t="str">
        <f t="shared" si="1"/>
        <v/>
      </c>
      <c r="Y25" s="9" t="str">
        <f t="shared" si="2"/>
        <v/>
      </c>
      <c r="Z25" s="3" t="e">
        <f>INDEX('справочная информация'!$U$6:$AK$29,MATCH('Расчет грейда'!$Y25,'справочная информация'!$T$6:$T$29,0),MATCH('Расчет грейда'!$X25,'справочная информация'!$U$5:$AK$5,0))</f>
        <v>#N/A</v>
      </c>
      <c r="AA25" s="9" t="str">
        <f t="shared" si="3"/>
        <v/>
      </c>
      <c r="AB25" s="3" t="e">
        <f>INDEX('справочная информация'!$B$68:$H$83,MATCH('Расчет грейда'!$AA25,'справочная информация'!$A$68:$A$83,0),MATCH('Расчет грейда'!$N25,'справочная информация'!$B$67:$H$67,0))</f>
        <v>#N/A</v>
      </c>
      <c r="AC25" s="3" t="e">
        <f>INDEX('справочная информация'!$D$130:$AD$145,MATCH('Расчет грейда'!$AW25,'справочная информация'!$C$130:$C$145,0),MATCH('Расчет грейда'!$AV25,'справочная информация'!$D$129:$AD$129,0))</f>
        <v>#N/A</v>
      </c>
      <c r="AD25" s="9" t="str">
        <f t="shared" si="4"/>
        <v/>
      </c>
      <c r="AE25" s="9" t="str">
        <f t="shared" si="5"/>
        <v/>
      </c>
      <c r="AF25" s="3" t="str">
        <f>IFERROR(IF(AND(AD25="",AE25=""),"",INDEX('справочная информация'!$B$188:$Y$211,MATCH('Расчет грейда'!$AE25,'справочная информация'!$A$188:$A$211,0),MATCH('Расчет грейда'!$AD25,'справочная информация'!$B$187:$Y$187,0))),"НЕТ")</f>
        <v/>
      </c>
      <c r="AG25" s="3" t="e">
        <f>VLOOKUP(J25,'справочная информация'!$D$267:$E$274,2,0)</f>
        <v>#N/A</v>
      </c>
      <c r="AH25" s="3" t="e">
        <f>VLOOKUP(K25,'справочная информация'!$D$279:$E$283,2,0)</f>
        <v>#N/A</v>
      </c>
      <c r="AI25" s="3" t="e">
        <f>VLOOKUP(L25,'справочная информация'!$D$288:$E$290,2,0)</f>
        <v>#N/A</v>
      </c>
      <c r="AJ25" s="3" t="str">
        <f t="shared" si="6"/>
        <v/>
      </c>
      <c r="AK25" s="169" t="e">
        <f>VLOOKUP(M25,'справочная информация'!$D$294:$E$301,2,0)</f>
        <v>#N/A</v>
      </c>
      <c r="AL25" s="3" t="e">
        <f>VLOOKUP(N25,'справочная информация'!$D$306:$E$310,2,0)</f>
        <v>#N/A</v>
      </c>
      <c r="AM25" s="169" t="str">
        <f t="shared" si="7"/>
        <v>()</v>
      </c>
      <c r="AN25" s="3" t="str">
        <f t="shared" si="8"/>
        <v/>
      </c>
      <c r="AO25" s="3" t="e">
        <f>VLOOKUP(O25,'справочная информация'!$D$329:$E$336,2,0)</f>
        <v>#N/A</v>
      </c>
      <c r="AP25" s="3" t="e">
        <f>VLOOKUP(P25,'справочная информация'!$D$342:$E$349,2,0)</f>
        <v>#N/A</v>
      </c>
      <c r="AQ25" s="3" t="e">
        <f>VLOOKUP(Q25,'справочная информация'!$D$316:$E$325,2,0)</f>
        <v>#N/A</v>
      </c>
      <c r="AR25" s="3" t="str">
        <f t="shared" si="9"/>
        <v/>
      </c>
      <c r="AS25" s="170" t="str">
        <f t="shared" si="10"/>
        <v/>
      </c>
      <c r="AT25" s="3" t="str">
        <f t="shared" si="11"/>
        <v/>
      </c>
      <c r="AU25" s="3" t="e">
        <f>ABS(MATCH($AX25,'справочная информация'!$A$354:$A$391,0)-MATCH($AY25,'справочная информация'!$A$354:$A$391,0))</f>
        <v>#N/A</v>
      </c>
      <c r="AV25" s="3" t="str">
        <f>IFERROR(INDEX('справочная информация'!$B$6:$R$29,MATCH('Расчет грейда'!$Y25,'справочная информация'!$A$6:$A$29,0),MATCH('Расчет грейда'!$X25,'справочная информация'!$B$5:$R$5,0)),"")</f>
        <v/>
      </c>
      <c r="AW25" s="171" t="str">
        <f>IFERROR(INDEX('справочная информация'!$B$37:$H$52,MATCH('Расчет грейда'!$AA25,'справочная информация'!$A$37:$A$52,0),MATCH('Расчет грейда'!$N25,'справочная информация'!$B$36:$H$36,0)),"")</f>
        <v/>
      </c>
      <c r="AX25" s="122" t="str">
        <f>IFERROR(INDEX('справочная информация'!$D$108:$AD$123,MATCH('Расчет грейда'!$AW25,'справочная информация'!$C$108:$C$123,0),MATCH('Расчет грейда'!$AV25,'справочная информация'!$D$107:$AD$107,0)),"")</f>
        <v/>
      </c>
      <c r="AY25" s="133" t="str">
        <f>IFERROR(INDEX('справочная информация'!$B$158:$Y$181,MATCH('Расчет грейда'!$AE25,'справочная информация'!$A$158:$A$181,0),MATCH('Расчет грейда'!$AD25,'справочная информация'!$B$157:$Y$157,0)),"")</f>
        <v/>
      </c>
      <c r="AZ25" s="170" t="str">
        <f t="shared" si="12"/>
        <v/>
      </c>
      <c r="BA25" s="172" t="str">
        <f>IFERROR(CONCATENATE(TEXT(AZ25/INDEX('справочная информация'!$D$223:$D$261,MATCH('Расчет грейда'!$AZ25,'справочная информация'!$C$223:$C$261,1)),"0%")," - процент относительно медианы 100%. ","MIN балл на грейде ",INDEX('справочная информация'!$C$223:$C$261,MATCH('Расчет грейда'!$AZ25,'справочная информация'!$C$223:$C$261,1)),", "," MAX балл на грейде ",INDEX('справочная информация'!$E$223:$E$261,MATCH('Расчет грейда'!$AZ25,'справочная информация'!$C$223:$C$261,1))),"")</f>
        <v/>
      </c>
      <c r="BB25" s="120" t="str">
        <f t="shared" si="13"/>
        <v/>
      </c>
      <c r="BC25" s="3" t="str">
        <f t="shared" si="14"/>
        <v/>
      </c>
      <c r="BD25" s="121" t="str">
        <f>IFERROR(VLOOKUP(BC25,'справочная информация'!$B$416:$C$424,2,0),"Проверить данные, нетипичная должность")</f>
        <v>Проверить данные, нетипичная должность</v>
      </c>
      <c r="BE25" s="3" t="str">
        <f t="shared" si="15"/>
        <v/>
      </c>
      <c r="BF25" s="3" t="str">
        <f>IFERROR(INDEX('справочная информация'!$F$223:$F$261,MATCH('Расчет грейда'!$AZ25,'справочная информация'!$C$223:$C$261,1)),"")</f>
        <v/>
      </c>
    </row>
    <row r="26" spans="1:58" s="9" customFormat="1" x14ac:dyDescent="0.35">
      <c r="A26" s="120"/>
      <c r="B26" s="122"/>
      <c r="C26" s="140"/>
      <c r="D26" s="120"/>
      <c r="E26" s="120"/>
      <c r="F26" s="120"/>
      <c r="G26" s="120"/>
      <c r="H26" s="120"/>
      <c r="J26" s="142"/>
      <c r="K26" s="142"/>
      <c r="L26" s="142"/>
      <c r="R26" s="3"/>
      <c r="S26" s="138"/>
      <c r="T26" s="3"/>
      <c r="U26" s="3"/>
      <c r="V26" s="3"/>
      <c r="W26" s="3" t="str">
        <f t="shared" si="0"/>
        <v/>
      </c>
      <c r="X26" s="9" t="str">
        <f t="shared" si="1"/>
        <v/>
      </c>
      <c r="Y26" s="9" t="str">
        <f t="shared" si="2"/>
        <v/>
      </c>
      <c r="Z26" s="3" t="e">
        <f>INDEX('справочная информация'!$U$6:$AK$29,MATCH('Расчет грейда'!$Y26,'справочная информация'!$T$6:$T$29,0),MATCH('Расчет грейда'!$X26,'справочная информация'!$U$5:$AK$5,0))</f>
        <v>#N/A</v>
      </c>
      <c r="AA26" s="9" t="str">
        <f t="shared" si="3"/>
        <v/>
      </c>
      <c r="AB26" s="3" t="e">
        <f>INDEX('справочная информация'!$B$68:$H$83,MATCH('Расчет грейда'!$AA26,'справочная информация'!$A$68:$A$83,0),MATCH('Расчет грейда'!$N26,'справочная информация'!$B$67:$H$67,0))</f>
        <v>#N/A</v>
      </c>
      <c r="AC26" s="3" t="e">
        <f>INDEX('справочная информация'!$D$130:$AD$145,MATCH('Расчет грейда'!$AW26,'справочная информация'!$C$130:$C$145,0),MATCH('Расчет грейда'!$AV26,'справочная информация'!$D$129:$AD$129,0))</f>
        <v>#N/A</v>
      </c>
      <c r="AD26" s="9" t="str">
        <f t="shared" si="4"/>
        <v/>
      </c>
      <c r="AE26" s="9" t="str">
        <f t="shared" si="5"/>
        <v/>
      </c>
      <c r="AF26" s="3" t="str">
        <f>IFERROR(IF(AND(AD26="",AE26=""),"",INDEX('справочная информация'!$B$188:$Y$211,MATCH('Расчет грейда'!$AE26,'справочная информация'!$A$188:$A$211,0),MATCH('Расчет грейда'!$AD26,'справочная информация'!$B$187:$Y$187,0))),"НЕТ")</f>
        <v/>
      </c>
      <c r="AG26" s="3" t="e">
        <f>VLOOKUP(J26,'справочная информация'!$D$267:$E$274,2,0)</f>
        <v>#N/A</v>
      </c>
      <c r="AH26" s="3" t="e">
        <f>VLOOKUP(K26,'справочная информация'!$D$279:$E$283,2,0)</f>
        <v>#N/A</v>
      </c>
      <c r="AI26" s="3" t="e">
        <f>VLOOKUP(L26,'справочная информация'!$D$288:$E$290,2,0)</f>
        <v>#N/A</v>
      </c>
      <c r="AJ26" s="3" t="str">
        <f t="shared" si="6"/>
        <v/>
      </c>
      <c r="AK26" s="169" t="e">
        <f>VLOOKUP(M26,'справочная информация'!$D$294:$E$301,2,0)</f>
        <v>#N/A</v>
      </c>
      <c r="AL26" s="3" t="e">
        <f>VLOOKUP(N26,'справочная информация'!$D$306:$E$310,2,0)</f>
        <v>#N/A</v>
      </c>
      <c r="AM26" s="169" t="str">
        <f t="shared" si="7"/>
        <v>()</v>
      </c>
      <c r="AN26" s="3" t="str">
        <f t="shared" si="8"/>
        <v/>
      </c>
      <c r="AO26" s="3" t="e">
        <f>VLOOKUP(O26,'справочная информация'!$D$329:$E$336,2,0)</f>
        <v>#N/A</v>
      </c>
      <c r="AP26" s="3" t="e">
        <f>VLOOKUP(P26,'справочная информация'!$D$342:$E$349,2,0)</f>
        <v>#N/A</v>
      </c>
      <c r="AQ26" s="3" t="e">
        <f>VLOOKUP(Q26,'справочная информация'!$D$316:$E$325,2,0)</f>
        <v>#N/A</v>
      </c>
      <c r="AR26" s="3" t="str">
        <f t="shared" si="9"/>
        <v/>
      </c>
      <c r="AS26" s="170" t="str">
        <f t="shared" si="10"/>
        <v/>
      </c>
      <c r="AT26" s="3" t="str">
        <f t="shared" si="11"/>
        <v/>
      </c>
      <c r="AU26" s="3" t="e">
        <f>ABS(MATCH($AX26,'справочная информация'!$A$354:$A$391,0)-MATCH($AY26,'справочная информация'!$A$354:$A$391,0))</f>
        <v>#N/A</v>
      </c>
      <c r="AV26" s="3" t="str">
        <f>IFERROR(INDEX('справочная информация'!$B$6:$R$29,MATCH('Расчет грейда'!$Y26,'справочная информация'!$A$6:$A$29,0),MATCH('Расчет грейда'!$X26,'справочная информация'!$B$5:$R$5,0)),"")</f>
        <v/>
      </c>
      <c r="AW26" s="171" t="str">
        <f>IFERROR(INDEX('справочная информация'!$B$37:$H$52,MATCH('Расчет грейда'!$AA26,'справочная информация'!$A$37:$A$52,0),MATCH('Расчет грейда'!$N26,'справочная информация'!$B$36:$H$36,0)),"")</f>
        <v/>
      </c>
      <c r="AX26" s="122" t="str">
        <f>IFERROR(INDEX('справочная информация'!$D$108:$AD$123,MATCH('Расчет грейда'!$AW26,'справочная информация'!$C$108:$C$123,0),MATCH('Расчет грейда'!$AV26,'справочная информация'!$D$107:$AD$107,0)),"")</f>
        <v/>
      </c>
      <c r="AY26" s="133" t="str">
        <f>IFERROR(INDEX('справочная информация'!$B$158:$Y$181,MATCH('Расчет грейда'!$AE26,'справочная информация'!$A$158:$A$181,0),MATCH('Расчет грейда'!$AD26,'справочная информация'!$B$157:$Y$157,0)),"")</f>
        <v/>
      </c>
      <c r="AZ26" s="170" t="str">
        <f t="shared" si="12"/>
        <v/>
      </c>
      <c r="BA26" s="172" t="str">
        <f>IFERROR(CONCATENATE(TEXT(AZ26/INDEX('справочная информация'!$D$223:$D$261,MATCH('Расчет грейда'!$AZ26,'справочная информация'!$C$223:$C$261,1)),"0%")," - процент относительно медианы 100%. ","MIN балл на грейде ",INDEX('справочная информация'!$C$223:$C$261,MATCH('Расчет грейда'!$AZ26,'справочная информация'!$C$223:$C$261,1)),", "," MAX балл на грейде ",INDEX('справочная информация'!$E$223:$E$261,MATCH('Расчет грейда'!$AZ26,'справочная информация'!$C$223:$C$261,1))),"")</f>
        <v/>
      </c>
      <c r="BB26" s="120" t="str">
        <f t="shared" si="13"/>
        <v/>
      </c>
      <c r="BC26" s="3" t="str">
        <f t="shared" si="14"/>
        <v/>
      </c>
      <c r="BD26" s="121" t="str">
        <f>IFERROR(VLOOKUP(BC26,'справочная информация'!$B$416:$C$424,2,0),"Проверить данные, нетипичная должность")</f>
        <v>Проверить данные, нетипичная должность</v>
      </c>
      <c r="BE26" s="3" t="str">
        <f t="shared" si="15"/>
        <v/>
      </c>
      <c r="BF26" s="3" t="str">
        <f>IFERROR(INDEX('справочная информация'!$F$223:$F$261,MATCH('Расчет грейда'!$AZ26,'справочная информация'!$C$223:$C$261,1)),"")</f>
        <v/>
      </c>
    </row>
    <row r="27" spans="1:58" s="9" customFormat="1" x14ac:dyDescent="0.35">
      <c r="A27" s="120"/>
      <c r="B27" s="122"/>
      <c r="C27" s="140"/>
      <c r="D27" s="120"/>
      <c r="E27" s="120"/>
      <c r="F27" s="120"/>
      <c r="G27" s="120"/>
      <c r="H27" s="120"/>
      <c r="J27" s="142"/>
      <c r="K27" s="142"/>
      <c r="L27" s="142"/>
      <c r="R27" s="3"/>
      <c r="S27" s="138"/>
      <c r="T27" s="3"/>
      <c r="U27" s="3"/>
      <c r="V27" s="3"/>
      <c r="W27" s="3" t="str">
        <f t="shared" si="0"/>
        <v/>
      </c>
      <c r="X27" s="9" t="str">
        <f t="shared" si="1"/>
        <v/>
      </c>
      <c r="Y27" s="9" t="str">
        <f t="shared" si="2"/>
        <v/>
      </c>
      <c r="Z27" s="3" t="e">
        <f>INDEX('справочная информация'!$U$6:$AK$29,MATCH('Расчет грейда'!$Y27,'справочная информация'!$T$6:$T$29,0),MATCH('Расчет грейда'!$X27,'справочная информация'!$U$5:$AK$5,0))</f>
        <v>#N/A</v>
      </c>
      <c r="AA27" s="9" t="str">
        <f t="shared" si="3"/>
        <v/>
      </c>
      <c r="AB27" s="3" t="e">
        <f>INDEX('справочная информация'!$B$68:$H$83,MATCH('Расчет грейда'!$AA27,'справочная информация'!$A$68:$A$83,0),MATCH('Расчет грейда'!$N27,'справочная информация'!$B$67:$H$67,0))</f>
        <v>#N/A</v>
      </c>
      <c r="AC27" s="3" t="e">
        <f>INDEX('справочная информация'!$D$130:$AD$145,MATCH('Расчет грейда'!$AW27,'справочная информация'!$C$130:$C$145,0),MATCH('Расчет грейда'!$AV27,'справочная информация'!$D$129:$AD$129,0))</f>
        <v>#N/A</v>
      </c>
      <c r="AD27" s="9" t="str">
        <f t="shared" si="4"/>
        <v/>
      </c>
      <c r="AE27" s="9" t="str">
        <f t="shared" si="5"/>
        <v/>
      </c>
      <c r="AF27" s="3" t="str">
        <f>IFERROR(IF(AND(AD27="",AE27=""),"",INDEX('справочная информация'!$B$188:$Y$211,MATCH('Расчет грейда'!$AE27,'справочная информация'!$A$188:$A$211,0),MATCH('Расчет грейда'!$AD27,'справочная информация'!$B$187:$Y$187,0))),"НЕТ")</f>
        <v/>
      </c>
      <c r="AG27" s="3" t="e">
        <f>VLOOKUP(J27,'справочная информация'!$D$267:$E$274,2,0)</f>
        <v>#N/A</v>
      </c>
      <c r="AH27" s="3" t="e">
        <f>VLOOKUP(K27,'справочная информация'!$D$279:$E$283,2,0)</f>
        <v>#N/A</v>
      </c>
      <c r="AI27" s="3" t="e">
        <f>VLOOKUP(L27,'справочная информация'!$D$288:$E$290,2,0)</f>
        <v>#N/A</v>
      </c>
      <c r="AJ27" s="3" t="str">
        <f t="shared" si="6"/>
        <v/>
      </c>
      <c r="AK27" s="169" t="e">
        <f>VLOOKUP(M27,'справочная информация'!$D$294:$E$301,2,0)</f>
        <v>#N/A</v>
      </c>
      <c r="AL27" s="3" t="e">
        <f>VLOOKUP(N27,'справочная информация'!$D$306:$E$310,2,0)</f>
        <v>#N/A</v>
      </c>
      <c r="AM27" s="169" t="str">
        <f t="shared" si="7"/>
        <v>()</v>
      </c>
      <c r="AN27" s="3" t="str">
        <f t="shared" si="8"/>
        <v/>
      </c>
      <c r="AO27" s="3" t="e">
        <f>VLOOKUP(O27,'справочная информация'!$D$329:$E$336,2,0)</f>
        <v>#N/A</v>
      </c>
      <c r="AP27" s="3" t="e">
        <f>VLOOKUP(P27,'справочная информация'!$D$342:$E$349,2,0)</f>
        <v>#N/A</v>
      </c>
      <c r="AQ27" s="3" t="e">
        <f>VLOOKUP(Q27,'справочная информация'!$D$316:$E$325,2,0)</f>
        <v>#N/A</v>
      </c>
      <c r="AR27" s="3" t="str">
        <f t="shared" si="9"/>
        <v/>
      </c>
      <c r="AS27" s="170" t="str">
        <f t="shared" si="10"/>
        <v/>
      </c>
      <c r="AT27" s="3" t="str">
        <f t="shared" si="11"/>
        <v/>
      </c>
      <c r="AU27" s="3" t="e">
        <f>ABS(MATCH($AX27,'справочная информация'!$A$354:$A$391,0)-MATCH($AY27,'справочная информация'!$A$354:$A$391,0))</f>
        <v>#N/A</v>
      </c>
      <c r="AV27" s="3" t="str">
        <f>IFERROR(INDEX('справочная информация'!$B$6:$R$29,MATCH('Расчет грейда'!$Y27,'справочная информация'!$A$6:$A$29,0),MATCH('Расчет грейда'!$X27,'справочная информация'!$B$5:$R$5,0)),"")</f>
        <v/>
      </c>
      <c r="AW27" s="171" t="str">
        <f>IFERROR(INDEX('справочная информация'!$B$37:$H$52,MATCH('Расчет грейда'!$AA27,'справочная информация'!$A$37:$A$52,0),MATCH('Расчет грейда'!$N27,'справочная информация'!$B$36:$H$36,0)),"")</f>
        <v/>
      </c>
      <c r="AX27" s="122" t="str">
        <f>IFERROR(INDEX('справочная информация'!$D$108:$AD$123,MATCH('Расчет грейда'!$AW27,'справочная информация'!$C$108:$C$123,0),MATCH('Расчет грейда'!$AV27,'справочная информация'!$D$107:$AD$107,0)),"")</f>
        <v/>
      </c>
      <c r="AY27" s="133" t="str">
        <f>IFERROR(INDEX('справочная информация'!$B$158:$Y$181,MATCH('Расчет грейда'!$AE27,'справочная информация'!$A$158:$A$181,0),MATCH('Расчет грейда'!$AD27,'справочная информация'!$B$157:$Y$157,0)),"")</f>
        <v/>
      </c>
      <c r="AZ27" s="170" t="str">
        <f t="shared" si="12"/>
        <v/>
      </c>
      <c r="BA27" s="172" t="str">
        <f>IFERROR(CONCATENATE(TEXT(AZ27/INDEX('справочная информация'!$D$223:$D$261,MATCH('Расчет грейда'!$AZ27,'справочная информация'!$C$223:$C$261,1)),"0%")," - процент относительно медианы 100%. ","MIN балл на грейде ",INDEX('справочная информация'!$C$223:$C$261,MATCH('Расчет грейда'!$AZ27,'справочная информация'!$C$223:$C$261,1)),", "," MAX балл на грейде ",INDEX('справочная информация'!$E$223:$E$261,MATCH('Расчет грейда'!$AZ27,'справочная информация'!$C$223:$C$261,1))),"")</f>
        <v/>
      </c>
      <c r="BB27" s="120" t="str">
        <f t="shared" si="13"/>
        <v/>
      </c>
      <c r="BC27" s="3" t="str">
        <f t="shared" si="14"/>
        <v/>
      </c>
      <c r="BD27" s="121" t="str">
        <f>IFERROR(VLOOKUP(BC27,'справочная информация'!$B$416:$C$424,2,0),"Проверить данные, нетипичная должность")</f>
        <v>Проверить данные, нетипичная должность</v>
      </c>
      <c r="BE27" s="3" t="str">
        <f t="shared" si="15"/>
        <v/>
      </c>
      <c r="BF27" s="3" t="str">
        <f>IFERROR(INDEX('справочная информация'!$F$223:$F$261,MATCH('Расчет грейда'!$AZ27,'справочная информация'!$C$223:$C$261,1)),"")</f>
        <v/>
      </c>
    </row>
    <row r="28" spans="1:58" s="9" customFormat="1" x14ac:dyDescent="0.35">
      <c r="A28" s="120"/>
      <c r="B28" s="122"/>
      <c r="C28" s="140"/>
      <c r="D28" s="120"/>
      <c r="E28" s="120"/>
      <c r="F28" s="120"/>
      <c r="G28" s="120"/>
      <c r="H28" s="120"/>
      <c r="J28" s="142"/>
      <c r="K28" s="142"/>
      <c r="L28" s="142"/>
      <c r="R28" s="3"/>
      <c r="S28" s="138"/>
      <c r="T28" s="3"/>
      <c r="U28" s="3"/>
      <c r="V28" s="3"/>
      <c r="W28" s="3" t="str">
        <f t="shared" si="0"/>
        <v/>
      </c>
      <c r="X28" s="9" t="str">
        <f t="shared" si="1"/>
        <v/>
      </c>
      <c r="Y28" s="9" t="str">
        <f t="shared" si="2"/>
        <v/>
      </c>
      <c r="Z28" s="3" t="e">
        <f>INDEX('справочная информация'!$U$6:$AK$29,MATCH('Расчет грейда'!$Y28,'справочная информация'!$T$6:$T$29,0),MATCH('Расчет грейда'!$X28,'справочная информация'!$U$5:$AK$5,0))</f>
        <v>#N/A</v>
      </c>
      <c r="AA28" s="9" t="str">
        <f t="shared" si="3"/>
        <v/>
      </c>
      <c r="AB28" s="3" t="e">
        <f>INDEX('справочная информация'!$B$68:$H$83,MATCH('Расчет грейда'!$AA28,'справочная информация'!$A$68:$A$83,0),MATCH('Расчет грейда'!$N28,'справочная информация'!$B$67:$H$67,0))</f>
        <v>#N/A</v>
      </c>
      <c r="AC28" s="3" t="e">
        <f>INDEX('справочная информация'!$D$130:$AD$145,MATCH('Расчет грейда'!$AW28,'справочная информация'!$C$130:$C$145,0),MATCH('Расчет грейда'!$AV28,'справочная информация'!$D$129:$AD$129,0))</f>
        <v>#N/A</v>
      </c>
      <c r="AD28" s="9" t="str">
        <f t="shared" si="4"/>
        <v/>
      </c>
      <c r="AE28" s="9" t="str">
        <f t="shared" si="5"/>
        <v/>
      </c>
      <c r="AF28" s="3" t="str">
        <f>IFERROR(IF(AND(AD28="",AE28=""),"",INDEX('справочная информация'!$B$188:$Y$211,MATCH('Расчет грейда'!$AE28,'справочная информация'!$A$188:$A$211,0),MATCH('Расчет грейда'!$AD28,'справочная информация'!$B$187:$Y$187,0))),"НЕТ")</f>
        <v/>
      </c>
      <c r="AG28" s="3" t="e">
        <f>VLOOKUP(J28,'справочная информация'!$D$267:$E$274,2,0)</f>
        <v>#N/A</v>
      </c>
      <c r="AH28" s="3" t="e">
        <f>VLOOKUP(K28,'справочная информация'!$D$279:$E$283,2,0)</f>
        <v>#N/A</v>
      </c>
      <c r="AI28" s="3" t="e">
        <f>VLOOKUP(L28,'справочная информация'!$D$288:$E$290,2,0)</f>
        <v>#N/A</v>
      </c>
      <c r="AJ28" s="3" t="str">
        <f t="shared" si="6"/>
        <v/>
      </c>
      <c r="AK28" s="169" t="e">
        <f>VLOOKUP(M28,'справочная информация'!$D$294:$E$301,2,0)</f>
        <v>#N/A</v>
      </c>
      <c r="AL28" s="3" t="e">
        <f>VLOOKUP(N28,'справочная информация'!$D$306:$E$310,2,0)</f>
        <v>#N/A</v>
      </c>
      <c r="AM28" s="169" t="str">
        <f t="shared" si="7"/>
        <v>()</v>
      </c>
      <c r="AN28" s="3" t="str">
        <f t="shared" si="8"/>
        <v/>
      </c>
      <c r="AO28" s="3" t="e">
        <f>VLOOKUP(O28,'справочная информация'!$D$329:$E$336,2,0)</f>
        <v>#N/A</v>
      </c>
      <c r="AP28" s="3" t="e">
        <f>VLOOKUP(P28,'справочная информация'!$D$342:$E$349,2,0)</f>
        <v>#N/A</v>
      </c>
      <c r="AQ28" s="3" t="e">
        <f>VLOOKUP(Q28,'справочная информация'!$D$316:$E$325,2,0)</f>
        <v>#N/A</v>
      </c>
      <c r="AR28" s="3" t="str">
        <f t="shared" si="9"/>
        <v/>
      </c>
      <c r="AS28" s="170" t="str">
        <f t="shared" si="10"/>
        <v/>
      </c>
      <c r="AT28" s="3" t="str">
        <f t="shared" si="11"/>
        <v/>
      </c>
      <c r="AU28" s="3" t="e">
        <f>ABS(MATCH($AX28,'справочная информация'!$A$354:$A$391,0)-MATCH($AY28,'справочная информация'!$A$354:$A$391,0))</f>
        <v>#N/A</v>
      </c>
      <c r="AV28" s="3" t="str">
        <f>IFERROR(INDEX('справочная информация'!$B$6:$R$29,MATCH('Расчет грейда'!$Y28,'справочная информация'!$A$6:$A$29,0),MATCH('Расчет грейда'!$X28,'справочная информация'!$B$5:$R$5,0)),"")</f>
        <v/>
      </c>
      <c r="AW28" s="171" t="str">
        <f>IFERROR(INDEX('справочная информация'!$B$37:$H$52,MATCH('Расчет грейда'!$AA28,'справочная информация'!$A$37:$A$52,0),MATCH('Расчет грейда'!$N28,'справочная информация'!$B$36:$H$36,0)),"")</f>
        <v/>
      </c>
      <c r="AX28" s="122" t="str">
        <f>IFERROR(INDEX('справочная информация'!$D$108:$AD$123,MATCH('Расчет грейда'!$AW28,'справочная информация'!$C$108:$C$123,0),MATCH('Расчет грейда'!$AV28,'справочная информация'!$D$107:$AD$107,0)),"")</f>
        <v/>
      </c>
      <c r="AY28" s="133" t="str">
        <f>IFERROR(INDEX('справочная информация'!$B$158:$Y$181,MATCH('Расчет грейда'!$AE28,'справочная информация'!$A$158:$A$181,0),MATCH('Расчет грейда'!$AD28,'справочная информация'!$B$157:$Y$157,0)),"")</f>
        <v/>
      </c>
      <c r="AZ28" s="170" t="str">
        <f t="shared" si="12"/>
        <v/>
      </c>
      <c r="BA28" s="172" t="str">
        <f>IFERROR(CONCATENATE(TEXT(AZ28/INDEX('справочная информация'!$D$223:$D$261,MATCH('Расчет грейда'!$AZ28,'справочная информация'!$C$223:$C$261,1)),"0%")," - процент относительно медианы 100%. ","MIN балл на грейде ",INDEX('справочная информация'!$C$223:$C$261,MATCH('Расчет грейда'!$AZ28,'справочная информация'!$C$223:$C$261,1)),", "," MAX балл на грейде ",INDEX('справочная информация'!$E$223:$E$261,MATCH('Расчет грейда'!$AZ28,'справочная информация'!$C$223:$C$261,1))),"")</f>
        <v/>
      </c>
      <c r="BB28" s="120" t="str">
        <f t="shared" si="13"/>
        <v/>
      </c>
      <c r="BC28" s="3" t="str">
        <f t="shared" si="14"/>
        <v/>
      </c>
      <c r="BD28" s="121" t="str">
        <f>IFERROR(VLOOKUP(BC28,'справочная информация'!$B$416:$C$424,2,0),"Проверить данные, нетипичная должность")</f>
        <v>Проверить данные, нетипичная должность</v>
      </c>
      <c r="BE28" s="3" t="str">
        <f t="shared" si="15"/>
        <v/>
      </c>
      <c r="BF28" s="3" t="str">
        <f>IFERROR(INDEX('справочная информация'!$F$223:$F$261,MATCH('Расчет грейда'!$AZ28,'справочная информация'!$C$223:$C$261,1)),"")</f>
        <v/>
      </c>
    </row>
    <row r="29" spans="1:58" s="9" customFormat="1" x14ac:dyDescent="0.35">
      <c r="A29" s="120"/>
      <c r="B29" s="122"/>
      <c r="C29" s="140"/>
      <c r="D29" s="120"/>
      <c r="E29" s="120"/>
      <c r="F29" s="120"/>
      <c r="G29" s="120"/>
      <c r="H29" s="120"/>
      <c r="J29" s="142"/>
      <c r="K29" s="142"/>
      <c r="L29" s="142"/>
      <c r="R29" s="3"/>
      <c r="S29" s="138"/>
      <c r="T29" s="3"/>
      <c r="U29" s="3"/>
      <c r="V29" s="3"/>
      <c r="W29" s="3" t="str">
        <f t="shared" si="0"/>
        <v/>
      </c>
      <c r="X29" s="9" t="str">
        <f t="shared" si="1"/>
        <v/>
      </c>
      <c r="Y29" s="9" t="str">
        <f t="shared" si="2"/>
        <v/>
      </c>
      <c r="Z29" s="3" t="e">
        <f>INDEX('справочная информация'!$U$6:$AK$29,MATCH('Расчет грейда'!$Y29,'справочная информация'!$T$6:$T$29,0),MATCH('Расчет грейда'!$X29,'справочная информация'!$U$5:$AK$5,0))</f>
        <v>#N/A</v>
      </c>
      <c r="AA29" s="9" t="str">
        <f t="shared" si="3"/>
        <v/>
      </c>
      <c r="AB29" s="3" t="e">
        <f>INDEX('справочная информация'!$B$68:$H$83,MATCH('Расчет грейда'!$AA29,'справочная информация'!$A$68:$A$83,0),MATCH('Расчет грейда'!$N29,'справочная информация'!$B$67:$H$67,0))</f>
        <v>#N/A</v>
      </c>
      <c r="AC29" s="3" t="e">
        <f>INDEX('справочная информация'!$D$130:$AD$145,MATCH('Расчет грейда'!$AW29,'справочная информация'!$C$130:$C$145,0),MATCH('Расчет грейда'!$AV29,'справочная информация'!$D$129:$AD$129,0))</f>
        <v>#N/A</v>
      </c>
      <c r="AD29" s="9" t="str">
        <f t="shared" si="4"/>
        <v/>
      </c>
      <c r="AE29" s="9" t="str">
        <f t="shared" si="5"/>
        <v/>
      </c>
      <c r="AF29" s="3" t="str">
        <f>IFERROR(IF(AND(AD29="",AE29=""),"",INDEX('справочная информация'!$B$188:$Y$211,MATCH('Расчет грейда'!$AE29,'справочная информация'!$A$188:$A$211,0),MATCH('Расчет грейда'!$AD29,'справочная информация'!$B$187:$Y$187,0))),"НЕТ")</f>
        <v/>
      </c>
      <c r="AG29" s="3" t="e">
        <f>VLOOKUP(J29,'справочная информация'!$D$267:$E$274,2,0)</f>
        <v>#N/A</v>
      </c>
      <c r="AH29" s="3" t="e">
        <f>VLOOKUP(K29,'справочная информация'!$D$279:$E$283,2,0)</f>
        <v>#N/A</v>
      </c>
      <c r="AI29" s="3" t="e">
        <f>VLOOKUP(L29,'справочная информация'!$D$288:$E$290,2,0)</f>
        <v>#N/A</v>
      </c>
      <c r="AJ29" s="3" t="str">
        <f t="shared" si="6"/>
        <v/>
      </c>
      <c r="AK29" s="169" t="e">
        <f>VLOOKUP(M29,'справочная информация'!$D$294:$E$301,2,0)</f>
        <v>#N/A</v>
      </c>
      <c r="AL29" s="3" t="e">
        <f>VLOOKUP(N29,'справочная информация'!$D$306:$E$310,2,0)</f>
        <v>#N/A</v>
      </c>
      <c r="AM29" s="169" t="str">
        <f t="shared" si="7"/>
        <v>()</v>
      </c>
      <c r="AN29" s="3" t="str">
        <f t="shared" si="8"/>
        <v/>
      </c>
      <c r="AO29" s="3" t="e">
        <f>VLOOKUP(O29,'справочная информация'!$D$329:$E$336,2,0)</f>
        <v>#N/A</v>
      </c>
      <c r="AP29" s="3" t="e">
        <f>VLOOKUP(P29,'справочная информация'!$D$342:$E$349,2,0)</f>
        <v>#N/A</v>
      </c>
      <c r="AQ29" s="3" t="e">
        <f>VLOOKUP(Q29,'справочная информация'!$D$316:$E$325,2,0)</f>
        <v>#N/A</v>
      </c>
      <c r="AR29" s="3" t="str">
        <f t="shared" si="9"/>
        <v/>
      </c>
      <c r="AS29" s="170" t="str">
        <f t="shared" si="10"/>
        <v/>
      </c>
      <c r="AT29" s="3" t="str">
        <f t="shared" si="11"/>
        <v/>
      </c>
      <c r="AU29" s="3" t="e">
        <f>ABS(MATCH($AX29,'справочная информация'!$A$354:$A$391,0)-MATCH($AY29,'справочная информация'!$A$354:$A$391,0))</f>
        <v>#N/A</v>
      </c>
      <c r="AV29" s="3" t="str">
        <f>IFERROR(INDEX('справочная информация'!$B$6:$R$29,MATCH('Расчет грейда'!$Y29,'справочная информация'!$A$6:$A$29,0),MATCH('Расчет грейда'!$X29,'справочная информация'!$B$5:$R$5,0)),"")</f>
        <v/>
      </c>
      <c r="AW29" s="171" t="str">
        <f>IFERROR(INDEX('справочная информация'!$B$37:$H$52,MATCH('Расчет грейда'!$AA29,'справочная информация'!$A$37:$A$52,0),MATCH('Расчет грейда'!$N29,'справочная информация'!$B$36:$H$36,0)),"")</f>
        <v/>
      </c>
      <c r="AX29" s="122" t="str">
        <f>IFERROR(INDEX('справочная информация'!$D$108:$AD$123,MATCH('Расчет грейда'!$AW29,'справочная информация'!$C$108:$C$123,0),MATCH('Расчет грейда'!$AV29,'справочная информация'!$D$107:$AD$107,0)),"")</f>
        <v/>
      </c>
      <c r="AY29" s="133" t="str">
        <f>IFERROR(INDEX('справочная информация'!$B$158:$Y$181,MATCH('Расчет грейда'!$AE29,'справочная информация'!$A$158:$A$181,0),MATCH('Расчет грейда'!$AD29,'справочная информация'!$B$157:$Y$157,0)),"")</f>
        <v/>
      </c>
      <c r="AZ29" s="170" t="str">
        <f t="shared" si="12"/>
        <v/>
      </c>
      <c r="BA29" s="172" t="str">
        <f>IFERROR(CONCATENATE(TEXT(AZ29/INDEX('справочная информация'!$D$223:$D$261,MATCH('Расчет грейда'!$AZ29,'справочная информация'!$C$223:$C$261,1)),"0%")," - процент относительно медианы 100%. ","MIN балл на грейде ",INDEX('справочная информация'!$C$223:$C$261,MATCH('Расчет грейда'!$AZ29,'справочная информация'!$C$223:$C$261,1)),", "," MAX балл на грейде ",INDEX('справочная информация'!$E$223:$E$261,MATCH('Расчет грейда'!$AZ29,'справочная информация'!$C$223:$C$261,1))),"")</f>
        <v/>
      </c>
      <c r="BB29" s="120" t="str">
        <f t="shared" si="13"/>
        <v/>
      </c>
      <c r="BC29" s="3" t="str">
        <f t="shared" si="14"/>
        <v/>
      </c>
      <c r="BD29" s="121" t="str">
        <f>IFERROR(VLOOKUP(BC29,'справочная информация'!$B$416:$C$424,2,0),"Проверить данные, нетипичная должность")</f>
        <v>Проверить данные, нетипичная должность</v>
      </c>
      <c r="BE29" s="3" t="str">
        <f t="shared" si="15"/>
        <v/>
      </c>
      <c r="BF29" s="3" t="str">
        <f>IFERROR(INDEX('справочная информация'!$F$223:$F$261,MATCH('Расчет грейда'!$AZ29,'справочная информация'!$C$223:$C$261,1)),"")</f>
        <v/>
      </c>
    </row>
    <row r="30" spans="1:58" s="9" customFormat="1" x14ac:dyDescent="0.35">
      <c r="A30" s="120"/>
      <c r="B30" s="122"/>
      <c r="C30" s="140"/>
      <c r="D30" s="120"/>
      <c r="E30" s="120"/>
      <c r="F30" s="120"/>
      <c r="G30" s="120"/>
      <c r="H30" s="120"/>
      <c r="J30" s="142"/>
      <c r="K30" s="142"/>
      <c r="L30" s="142"/>
      <c r="R30" s="3"/>
      <c r="S30" s="138"/>
      <c r="T30" s="3"/>
      <c r="U30" s="3"/>
      <c r="V30" s="3"/>
      <c r="W30" s="3" t="str">
        <f t="shared" si="0"/>
        <v/>
      </c>
      <c r="X30" s="9" t="str">
        <f t="shared" si="1"/>
        <v/>
      </c>
      <c r="Y30" s="9" t="str">
        <f t="shared" si="2"/>
        <v/>
      </c>
      <c r="Z30" s="3" t="e">
        <f>INDEX('справочная информация'!$U$6:$AK$29,MATCH('Расчет грейда'!$Y30,'справочная информация'!$T$6:$T$29,0),MATCH('Расчет грейда'!$X30,'справочная информация'!$U$5:$AK$5,0))</f>
        <v>#N/A</v>
      </c>
      <c r="AA30" s="9" t="str">
        <f t="shared" si="3"/>
        <v/>
      </c>
      <c r="AB30" s="3" t="e">
        <f>INDEX('справочная информация'!$B$68:$H$83,MATCH('Расчет грейда'!$AA30,'справочная информация'!$A$68:$A$83,0),MATCH('Расчет грейда'!$N30,'справочная информация'!$B$67:$H$67,0))</f>
        <v>#N/A</v>
      </c>
      <c r="AC30" s="3" t="e">
        <f>INDEX('справочная информация'!$D$130:$AD$145,MATCH('Расчет грейда'!$AW30,'справочная информация'!$C$130:$C$145,0),MATCH('Расчет грейда'!$AV30,'справочная информация'!$D$129:$AD$129,0))</f>
        <v>#N/A</v>
      </c>
      <c r="AD30" s="9" t="str">
        <f t="shared" si="4"/>
        <v/>
      </c>
      <c r="AE30" s="9" t="str">
        <f t="shared" si="5"/>
        <v/>
      </c>
      <c r="AF30" s="3" t="str">
        <f>IFERROR(IF(AND(AD30="",AE30=""),"",INDEX('справочная информация'!$B$188:$Y$211,MATCH('Расчет грейда'!$AE30,'справочная информация'!$A$188:$A$211,0),MATCH('Расчет грейда'!$AD30,'справочная информация'!$B$187:$Y$187,0))),"НЕТ")</f>
        <v/>
      </c>
      <c r="AG30" s="3" t="e">
        <f>VLOOKUP(J30,'справочная информация'!$D$267:$E$274,2,0)</f>
        <v>#N/A</v>
      </c>
      <c r="AH30" s="3" t="e">
        <f>VLOOKUP(K30,'справочная информация'!$D$279:$E$283,2,0)</f>
        <v>#N/A</v>
      </c>
      <c r="AI30" s="3" t="e">
        <f>VLOOKUP(L30,'справочная информация'!$D$288:$E$290,2,0)</f>
        <v>#N/A</v>
      </c>
      <c r="AJ30" s="3" t="str">
        <f t="shared" si="6"/>
        <v/>
      </c>
      <c r="AK30" s="169" t="e">
        <f>VLOOKUP(M30,'справочная информация'!$D$294:$E$301,2,0)</f>
        <v>#N/A</v>
      </c>
      <c r="AL30" s="3" t="e">
        <f>VLOOKUP(N30,'справочная информация'!$D$306:$E$310,2,0)</f>
        <v>#N/A</v>
      </c>
      <c r="AM30" s="169" t="str">
        <f t="shared" si="7"/>
        <v>()</v>
      </c>
      <c r="AN30" s="3" t="str">
        <f t="shared" si="8"/>
        <v/>
      </c>
      <c r="AO30" s="3" t="e">
        <f>VLOOKUP(O30,'справочная информация'!$D$329:$E$336,2,0)</f>
        <v>#N/A</v>
      </c>
      <c r="AP30" s="3" t="e">
        <f>VLOOKUP(P30,'справочная информация'!$D$342:$E$349,2,0)</f>
        <v>#N/A</v>
      </c>
      <c r="AQ30" s="3" t="e">
        <f>VLOOKUP(Q30,'справочная информация'!$D$316:$E$325,2,0)</f>
        <v>#N/A</v>
      </c>
      <c r="AR30" s="3" t="str">
        <f t="shared" si="9"/>
        <v/>
      </c>
      <c r="AS30" s="170" t="str">
        <f t="shared" si="10"/>
        <v/>
      </c>
      <c r="AT30" s="3" t="str">
        <f t="shared" si="11"/>
        <v/>
      </c>
      <c r="AU30" s="3" t="e">
        <f>ABS(MATCH($AX30,'справочная информация'!$A$354:$A$391,0)-MATCH($AY30,'справочная информация'!$A$354:$A$391,0))</f>
        <v>#N/A</v>
      </c>
      <c r="AV30" s="3" t="str">
        <f>IFERROR(INDEX('справочная информация'!$B$6:$R$29,MATCH('Расчет грейда'!$Y30,'справочная информация'!$A$6:$A$29,0),MATCH('Расчет грейда'!$X30,'справочная информация'!$B$5:$R$5,0)),"")</f>
        <v/>
      </c>
      <c r="AW30" s="171" t="str">
        <f>IFERROR(INDEX('справочная информация'!$B$37:$H$52,MATCH('Расчет грейда'!$AA30,'справочная информация'!$A$37:$A$52,0),MATCH('Расчет грейда'!$N30,'справочная информация'!$B$36:$H$36,0)),"")</f>
        <v/>
      </c>
      <c r="AX30" s="122" t="str">
        <f>IFERROR(INDEX('справочная информация'!$D$108:$AD$123,MATCH('Расчет грейда'!$AW30,'справочная информация'!$C$108:$C$123,0),MATCH('Расчет грейда'!$AV30,'справочная информация'!$D$107:$AD$107,0)),"")</f>
        <v/>
      </c>
      <c r="AY30" s="133" t="str">
        <f>IFERROR(INDEX('справочная информация'!$B$158:$Y$181,MATCH('Расчет грейда'!$AE30,'справочная информация'!$A$158:$A$181,0),MATCH('Расчет грейда'!$AD30,'справочная информация'!$B$157:$Y$157,0)),"")</f>
        <v/>
      </c>
      <c r="AZ30" s="170" t="str">
        <f t="shared" si="12"/>
        <v/>
      </c>
      <c r="BA30" s="172" t="str">
        <f>IFERROR(CONCATENATE(TEXT(AZ30/INDEX('справочная информация'!$D$223:$D$261,MATCH('Расчет грейда'!$AZ30,'справочная информация'!$C$223:$C$261,1)),"0%")," - процент относительно медианы 100%. ","MIN балл на грейде ",INDEX('справочная информация'!$C$223:$C$261,MATCH('Расчет грейда'!$AZ30,'справочная информация'!$C$223:$C$261,1)),", "," MAX балл на грейде ",INDEX('справочная информация'!$E$223:$E$261,MATCH('Расчет грейда'!$AZ30,'справочная информация'!$C$223:$C$261,1))),"")</f>
        <v/>
      </c>
      <c r="BB30" s="120" t="str">
        <f t="shared" si="13"/>
        <v/>
      </c>
      <c r="BC30" s="3" t="str">
        <f t="shared" si="14"/>
        <v/>
      </c>
      <c r="BD30" s="121" t="str">
        <f>IFERROR(VLOOKUP(BC30,'справочная информация'!$B$416:$C$424,2,0),"Проверить данные, нетипичная должность")</f>
        <v>Проверить данные, нетипичная должность</v>
      </c>
      <c r="BE30" s="3" t="str">
        <f t="shared" si="15"/>
        <v/>
      </c>
      <c r="BF30" s="3" t="str">
        <f>IFERROR(INDEX('справочная информация'!$F$223:$F$261,MATCH('Расчет грейда'!$AZ30,'справочная информация'!$C$223:$C$261,1)),"")</f>
        <v/>
      </c>
    </row>
    <row r="31" spans="1:58" s="9" customFormat="1" x14ac:dyDescent="0.35">
      <c r="A31" s="120"/>
      <c r="B31" s="122"/>
      <c r="C31" s="140"/>
      <c r="D31" s="120"/>
      <c r="E31" s="120"/>
      <c r="F31" s="120"/>
      <c r="G31" s="120"/>
      <c r="H31" s="120"/>
      <c r="J31" s="142"/>
      <c r="K31" s="142"/>
      <c r="L31" s="142"/>
      <c r="R31" s="3"/>
      <c r="S31" s="138"/>
      <c r="T31" s="3"/>
      <c r="U31" s="3"/>
      <c r="V31" s="3"/>
      <c r="W31" s="3" t="str">
        <f t="shared" si="0"/>
        <v/>
      </c>
      <c r="X31" s="9" t="str">
        <f t="shared" si="1"/>
        <v/>
      </c>
      <c r="Y31" s="9" t="str">
        <f t="shared" si="2"/>
        <v/>
      </c>
      <c r="Z31" s="3" t="e">
        <f>INDEX('справочная информация'!$U$6:$AK$29,MATCH('Расчет грейда'!$Y31,'справочная информация'!$T$6:$T$29,0),MATCH('Расчет грейда'!$X31,'справочная информация'!$U$5:$AK$5,0))</f>
        <v>#N/A</v>
      </c>
      <c r="AA31" s="9" t="str">
        <f t="shared" si="3"/>
        <v/>
      </c>
      <c r="AB31" s="3" t="e">
        <f>INDEX('справочная информация'!$B$68:$H$83,MATCH('Расчет грейда'!$AA31,'справочная информация'!$A$68:$A$83,0),MATCH('Расчет грейда'!$N31,'справочная информация'!$B$67:$H$67,0))</f>
        <v>#N/A</v>
      </c>
      <c r="AC31" s="3" t="e">
        <f>INDEX('справочная информация'!$D$130:$AD$145,MATCH('Расчет грейда'!$AW31,'справочная информация'!$C$130:$C$145,0),MATCH('Расчет грейда'!$AV31,'справочная информация'!$D$129:$AD$129,0))</f>
        <v>#N/A</v>
      </c>
      <c r="AD31" s="9" t="str">
        <f t="shared" si="4"/>
        <v/>
      </c>
      <c r="AE31" s="9" t="str">
        <f t="shared" si="5"/>
        <v/>
      </c>
      <c r="AF31" s="3" t="str">
        <f>IFERROR(IF(AND(AD31="",AE31=""),"",INDEX('справочная информация'!$B$188:$Y$211,MATCH('Расчет грейда'!$AE31,'справочная информация'!$A$188:$A$211,0),MATCH('Расчет грейда'!$AD31,'справочная информация'!$B$187:$Y$187,0))),"НЕТ")</f>
        <v/>
      </c>
      <c r="AG31" s="3" t="e">
        <f>VLOOKUP(J31,'справочная информация'!$D$267:$E$274,2,0)</f>
        <v>#N/A</v>
      </c>
      <c r="AH31" s="3" t="e">
        <f>VLOOKUP(K31,'справочная информация'!$D$279:$E$283,2,0)</f>
        <v>#N/A</v>
      </c>
      <c r="AI31" s="3" t="e">
        <f>VLOOKUP(L31,'справочная информация'!$D$288:$E$290,2,0)</f>
        <v>#N/A</v>
      </c>
      <c r="AJ31" s="3" t="str">
        <f t="shared" si="6"/>
        <v/>
      </c>
      <c r="AK31" s="169" t="e">
        <f>VLOOKUP(M31,'справочная информация'!$D$294:$E$301,2,0)</f>
        <v>#N/A</v>
      </c>
      <c r="AL31" s="3" t="e">
        <f>VLOOKUP(N31,'справочная информация'!$D$306:$E$310,2,0)</f>
        <v>#N/A</v>
      </c>
      <c r="AM31" s="169" t="str">
        <f t="shared" si="7"/>
        <v>()</v>
      </c>
      <c r="AN31" s="3" t="str">
        <f t="shared" si="8"/>
        <v/>
      </c>
      <c r="AO31" s="3" t="e">
        <f>VLOOKUP(O31,'справочная информация'!$D$329:$E$336,2,0)</f>
        <v>#N/A</v>
      </c>
      <c r="AP31" s="3" t="e">
        <f>VLOOKUP(P31,'справочная информация'!$D$342:$E$349,2,0)</f>
        <v>#N/A</v>
      </c>
      <c r="AQ31" s="3" t="e">
        <f>VLOOKUP(Q31,'справочная информация'!$D$316:$E$325,2,0)</f>
        <v>#N/A</v>
      </c>
      <c r="AR31" s="3" t="str">
        <f t="shared" si="9"/>
        <v/>
      </c>
      <c r="AS31" s="170" t="str">
        <f t="shared" si="10"/>
        <v/>
      </c>
      <c r="AT31" s="3" t="str">
        <f t="shared" si="11"/>
        <v/>
      </c>
      <c r="AU31" s="3" t="e">
        <f>ABS(MATCH($AX31,'справочная информация'!$A$354:$A$391,0)-MATCH($AY31,'справочная информация'!$A$354:$A$391,0))</f>
        <v>#N/A</v>
      </c>
      <c r="AV31" s="3" t="str">
        <f>IFERROR(INDEX('справочная информация'!$B$6:$R$29,MATCH('Расчет грейда'!$Y31,'справочная информация'!$A$6:$A$29,0),MATCH('Расчет грейда'!$X31,'справочная информация'!$B$5:$R$5,0)),"")</f>
        <v/>
      </c>
      <c r="AW31" s="171" t="str">
        <f>IFERROR(INDEX('справочная информация'!$B$37:$H$52,MATCH('Расчет грейда'!$AA31,'справочная информация'!$A$37:$A$52,0),MATCH('Расчет грейда'!$N31,'справочная информация'!$B$36:$H$36,0)),"")</f>
        <v/>
      </c>
      <c r="AX31" s="122" t="str">
        <f>IFERROR(INDEX('справочная информация'!$D$108:$AD$123,MATCH('Расчет грейда'!$AW31,'справочная информация'!$C$108:$C$123,0),MATCH('Расчет грейда'!$AV31,'справочная информация'!$D$107:$AD$107,0)),"")</f>
        <v/>
      </c>
      <c r="AY31" s="133" t="str">
        <f>IFERROR(INDEX('справочная информация'!$B$158:$Y$181,MATCH('Расчет грейда'!$AE31,'справочная информация'!$A$158:$A$181,0),MATCH('Расчет грейда'!$AD31,'справочная информация'!$B$157:$Y$157,0)),"")</f>
        <v/>
      </c>
      <c r="AZ31" s="170" t="str">
        <f t="shared" si="12"/>
        <v/>
      </c>
      <c r="BA31" s="172" t="str">
        <f>IFERROR(CONCATENATE(TEXT(AZ31/INDEX('справочная информация'!$D$223:$D$261,MATCH('Расчет грейда'!$AZ31,'справочная информация'!$C$223:$C$261,1)),"0%")," - процент относительно медианы 100%. ","MIN балл на грейде ",INDEX('справочная информация'!$C$223:$C$261,MATCH('Расчет грейда'!$AZ31,'справочная информация'!$C$223:$C$261,1)),", "," MAX балл на грейде ",INDEX('справочная информация'!$E$223:$E$261,MATCH('Расчет грейда'!$AZ31,'справочная информация'!$C$223:$C$261,1))),"")</f>
        <v/>
      </c>
      <c r="BB31" s="120" t="str">
        <f t="shared" si="13"/>
        <v/>
      </c>
      <c r="BC31" s="3" t="str">
        <f t="shared" si="14"/>
        <v/>
      </c>
      <c r="BD31" s="121" t="str">
        <f>IFERROR(VLOOKUP(BC31,'справочная информация'!$B$416:$C$424,2,0),"Проверить данные, нетипичная должность")</f>
        <v>Проверить данные, нетипичная должность</v>
      </c>
      <c r="BE31" s="3" t="str">
        <f t="shared" si="15"/>
        <v/>
      </c>
      <c r="BF31" s="3" t="str">
        <f>IFERROR(INDEX('справочная информация'!$F$223:$F$261,MATCH('Расчет грейда'!$AZ31,'справочная информация'!$C$223:$C$261,1)),"")</f>
        <v/>
      </c>
    </row>
    <row r="32" spans="1:58" s="9" customFormat="1" x14ac:dyDescent="0.35">
      <c r="A32" s="120"/>
      <c r="B32" s="122"/>
      <c r="C32" s="140"/>
      <c r="D32" s="120"/>
      <c r="E32" s="120"/>
      <c r="F32" s="120"/>
      <c r="G32" s="120"/>
      <c r="H32" s="120"/>
      <c r="J32" s="142"/>
      <c r="K32" s="142"/>
      <c r="L32" s="142"/>
      <c r="R32" s="3"/>
      <c r="S32" s="138"/>
      <c r="T32" s="3"/>
      <c r="U32" s="3"/>
      <c r="V32" s="3"/>
      <c r="W32" s="3" t="str">
        <f t="shared" si="0"/>
        <v/>
      </c>
      <c r="X32" s="9" t="str">
        <f t="shared" si="1"/>
        <v/>
      </c>
      <c r="Y32" s="9" t="str">
        <f t="shared" si="2"/>
        <v/>
      </c>
      <c r="Z32" s="3" t="e">
        <f>INDEX('справочная информация'!$U$6:$AK$29,MATCH('Расчет грейда'!$Y32,'справочная информация'!$T$6:$T$29,0),MATCH('Расчет грейда'!$X32,'справочная информация'!$U$5:$AK$5,0))</f>
        <v>#N/A</v>
      </c>
      <c r="AA32" s="9" t="str">
        <f t="shared" si="3"/>
        <v/>
      </c>
      <c r="AB32" s="3" t="e">
        <f>INDEX('справочная информация'!$B$68:$H$83,MATCH('Расчет грейда'!$AA32,'справочная информация'!$A$68:$A$83,0),MATCH('Расчет грейда'!$N32,'справочная информация'!$B$67:$H$67,0))</f>
        <v>#N/A</v>
      </c>
      <c r="AC32" s="3" t="e">
        <f>INDEX('справочная информация'!$D$130:$AD$145,MATCH('Расчет грейда'!$AW32,'справочная информация'!$C$130:$C$145,0),MATCH('Расчет грейда'!$AV32,'справочная информация'!$D$129:$AD$129,0))</f>
        <v>#N/A</v>
      </c>
      <c r="AD32" s="9" t="str">
        <f t="shared" si="4"/>
        <v/>
      </c>
      <c r="AE32" s="9" t="str">
        <f t="shared" si="5"/>
        <v/>
      </c>
      <c r="AF32" s="3" t="str">
        <f>IFERROR(IF(AND(AD32="",AE32=""),"",INDEX('справочная информация'!$B$188:$Y$211,MATCH('Расчет грейда'!$AE32,'справочная информация'!$A$188:$A$211,0),MATCH('Расчет грейда'!$AD32,'справочная информация'!$B$187:$Y$187,0))),"НЕТ")</f>
        <v/>
      </c>
      <c r="AG32" s="3" t="e">
        <f>VLOOKUP(J32,'справочная информация'!$D$267:$E$274,2,0)</f>
        <v>#N/A</v>
      </c>
      <c r="AH32" s="3" t="e">
        <f>VLOOKUP(K32,'справочная информация'!$D$279:$E$283,2,0)</f>
        <v>#N/A</v>
      </c>
      <c r="AI32" s="3" t="e">
        <f>VLOOKUP(L32,'справочная информация'!$D$288:$E$290,2,0)</f>
        <v>#N/A</v>
      </c>
      <c r="AJ32" s="3" t="str">
        <f t="shared" si="6"/>
        <v/>
      </c>
      <c r="AK32" s="169" t="e">
        <f>VLOOKUP(M32,'справочная информация'!$D$294:$E$301,2,0)</f>
        <v>#N/A</v>
      </c>
      <c r="AL32" s="3" t="e">
        <f>VLOOKUP(N32,'справочная информация'!$D$306:$E$310,2,0)</f>
        <v>#N/A</v>
      </c>
      <c r="AM32" s="169" t="str">
        <f t="shared" si="7"/>
        <v>()</v>
      </c>
      <c r="AN32" s="3" t="str">
        <f t="shared" si="8"/>
        <v/>
      </c>
      <c r="AO32" s="3" t="e">
        <f>VLOOKUP(O32,'справочная информация'!$D$329:$E$336,2,0)</f>
        <v>#N/A</v>
      </c>
      <c r="AP32" s="3" t="e">
        <f>VLOOKUP(P32,'справочная информация'!$D$342:$E$349,2,0)</f>
        <v>#N/A</v>
      </c>
      <c r="AQ32" s="3" t="e">
        <f>VLOOKUP(Q32,'справочная информация'!$D$316:$E$325,2,0)</f>
        <v>#N/A</v>
      </c>
      <c r="AR32" s="3" t="str">
        <f t="shared" si="9"/>
        <v/>
      </c>
      <c r="AS32" s="170" t="str">
        <f t="shared" si="10"/>
        <v/>
      </c>
      <c r="AT32" s="3" t="str">
        <f t="shared" si="11"/>
        <v/>
      </c>
      <c r="AU32" s="3" t="e">
        <f>ABS(MATCH($AX32,'справочная информация'!$A$354:$A$391,0)-MATCH($AY32,'справочная информация'!$A$354:$A$391,0))</f>
        <v>#N/A</v>
      </c>
      <c r="AV32" s="3" t="str">
        <f>IFERROR(INDEX('справочная информация'!$B$6:$R$29,MATCH('Расчет грейда'!$Y32,'справочная информация'!$A$6:$A$29,0),MATCH('Расчет грейда'!$X32,'справочная информация'!$B$5:$R$5,0)),"")</f>
        <v/>
      </c>
      <c r="AW32" s="171" t="str">
        <f>IFERROR(INDEX('справочная информация'!$B$37:$H$52,MATCH('Расчет грейда'!$AA32,'справочная информация'!$A$37:$A$52,0),MATCH('Расчет грейда'!$N32,'справочная информация'!$B$36:$H$36,0)),"")</f>
        <v/>
      </c>
      <c r="AX32" s="122" t="str">
        <f>IFERROR(INDEX('справочная информация'!$D$108:$AD$123,MATCH('Расчет грейда'!$AW32,'справочная информация'!$C$108:$C$123,0),MATCH('Расчет грейда'!$AV32,'справочная информация'!$D$107:$AD$107,0)),"")</f>
        <v/>
      </c>
      <c r="AY32" s="133" t="str">
        <f>IFERROR(INDEX('справочная информация'!$B$158:$Y$181,MATCH('Расчет грейда'!$AE32,'справочная информация'!$A$158:$A$181,0),MATCH('Расчет грейда'!$AD32,'справочная информация'!$B$157:$Y$157,0)),"")</f>
        <v/>
      </c>
      <c r="AZ32" s="170" t="str">
        <f t="shared" si="12"/>
        <v/>
      </c>
      <c r="BA32" s="172" t="str">
        <f>IFERROR(CONCATENATE(TEXT(AZ32/INDEX('справочная информация'!$D$223:$D$261,MATCH('Расчет грейда'!$AZ32,'справочная информация'!$C$223:$C$261,1)),"0%")," - процент относительно медианы 100%. ","MIN балл на грейде ",INDEX('справочная информация'!$C$223:$C$261,MATCH('Расчет грейда'!$AZ32,'справочная информация'!$C$223:$C$261,1)),", "," MAX балл на грейде ",INDEX('справочная информация'!$E$223:$E$261,MATCH('Расчет грейда'!$AZ32,'справочная информация'!$C$223:$C$261,1))),"")</f>
        <v/>
      </c>
      <c r="BB32" s="120" t="str">
        <f t="shared" si="13"/>
        <v/>
      </c>
      <c r="BC32" s="3" t="str">
        <f t="shared" si="14"/>
        <v/>
      </c>
      <c r="BD32" s="121" t="str">
        <f>IFERROR(VLOOKUP(BC32,'справочная информация'!$B$416:$C$424,2,0),"Проверить данные, нетипичная должность")</f>
        <v>Проверить данные, нетипичная должность</v>
      </c>
      <c r="BE32" s="3" t="str">
        <f t="shared" si="15"/>
        <v/>
      </c>
      <c r="BF32" s="3" t="str">
        <f>IFERROR(INDEX('справочная информация'!$F$223:$F$261,MATCH('Расчет грейда'!$AZ32,'справочная информация'!$C$223:$C$261,1)),"")</f>
        <v/>
      </c>
    </row>
    <row r="33" spans="1:58" s="9" customFormat="1" x14ac:dyDescent="0.35">
      <c r="A33" s="120"/>
      <c r="B33" s="122"/>
      <c r="C33" s="140"/>
      <c r="D33" s="120"/>
      <c r="E33" s="120"/>
      <c r="F33" s="120"/>
      <c r="G33" s="120"/>
      <c r="H33" s="120"/>
      <c r="J33" s="142"/>
      <c r="K33" s="142"/>
      <c r="L33" s="142"/>
      <c r="R33" s="3"/>
      <c r="S33" s="138"/>
      <c r="T33" s="3"/>
      <c r="U33" s="3"/>
      <c r="V33" s="3"/>
      <c r="W33" s="3" t="str">
        <f t="shared" si="0"/>
        <v/>
      </c>
      <c r="X33" s="9" t="str">
        <f t="shared" si="1"/>
        <v/>
      </c>
      <c r="Y33" s="9" t="str">
        <f t="shared" si="2"/>
        <v/>
      </c>
      <c r="Z33" s="3" t="e">
        <f>INDEX('справочная информация'!$U$6:$AK$29,MATCH('Расчет грейда'!$Y33,'справочная информация'!$T$6:$T$29,0),MATCH('Расчет грейда'!$X33,'справочная информация'!$U$5:$AK$5,0))</f>
        <v>#N/A</v>
      </c>
      <c r="AA33" s="9" t="str">
        <f t="shared" si="3"/>
        <v/>
      </c>
      <c r="AB33" s="3" t="e">
        <f>INDEX('справочная информация'!$B$68:$H$83,MATCH('Расчет грейда'!$AA33,'справочная информация'!$A$68:$A$83,0),MATCH('Расчет грейда'!$N33,'справочная информация'!$B$67:$H$67,0))</f>
        <v>#N/A</v>
      </c>
      <c r="AC33" s="3" t="e">
        <f>INDEX('справочная информация'!$D$130:$AD$145,MATCH('Расчет грейда'!$AW33,'справочная информация'!$C$130:$C$145,0),MATCH('Расчет грейда'!$AV33,'справочная информация'!$D$129:$AD$129,0))</f>
        <v>#N/A</v>
      </c>
      <c r="AD33" s="9" t="str">
        <f t="shared" si="4"/>
        <v/>
      </c>
      <c r="AE33" s="9" t="str">
        <f t="shared" si="5"/>
        <v/>
      </c>
      <c r="AF33" s="3" t="str">
        <f>IFERROR(IF(AND(AD33="",AE33=""),"",INDEX('справочная информация'!$B$188:$Y$211,MATCH('Расчет грейда'!$AE33,'справочная информация'!$A$188:$A$211,0),MATCH('Расчет грейда'!$AD33,'справочная информация'!$B$187:$Y$187,0))),"НЕТ")</f>
        <v/>
      </c>
      <c r="AG33" s="3" t="e">
        <f>VLOOKUP(J33,'справочная информация'!$D$267:$E$274,2,0)</f>
        <v>#N/A</v>
      </c>
      <c r="AH33" s="3" t="e">
        <f>VLOOKUP(K33,'справочная информация'!$D$279:$E$283,2,0)</f>
        <v>#N/A</v>
      </c>
      <c r="AI33" s="3" t="e">
        <f>VLOOKUP(L33,'справочная информация'!$D$288:$E$290,2,0)</f>
        <v>#N/A</v>
      </c>
      <c r="AJ33" s="3" t="str">
        <f t="shared" si="6"/>
        <v/>
      </c>
      <c r="AK33" s="169" t="e">
        <f>VLOOKUP(M33,'справочная информация'!$D$294:$E$301,2,0)</f>
        <v>#N/A</v>
      </c>
      <c r="AL33" s="3" t="e">
        <f>VLOOKUP(N33,'справочная информация'!$D$306:$E$310,2,0)</f>
        <v>#N/A</v>
      </c>
      <c r="AM33" s="169" t="str">
        <f t="shared" si="7"/>
        <v>()</v>
      </c>
      <c r="AN33" s="3" t="str">
        <f t="shared" si="8"/>
        <v/>
      </c>
      <c r="AO33" s="3" t="e">
        <f>VLOOKUP(O33,'справочная информация'!$D$329:$E$336,2,0)</f>
        <v>#N/A</v>
      </c>
      <c r="AP33" s="3" t="e">
        <f>VLOOKUP(P33,'справочная информация'!$D$342:$E$349,2,0)</f>
        <v>#N/A</v>
      </c>
      <c r="AQ33" s="3" t="e">
        <f>VLOOKUP(Q33,'справочная информация'!$D$316:$E$325,2,0)</f>
        <v>#N/A</v>
      </c>
      <c r="AR33" s="3" t="str">
        <f t="shared" si="9"/>
        <v/>
      </c>
      <c r="AS33" s="170" t="str">
        <f t="shared" si="10"/>
        <v/>
      </c>
      <c r="AT33" s="3" t="str">
        <f t="shared" si="11"/>
        <v/>
      </c>
      <c r="AU33" s="3" t="e">
        <f>ABS(MATCH($AX33,'справочная информация'!$A$354:$A$391,0)-MATCH($AY33,'справочная информация'!$A$354:$A$391,0))</f>
        <v>#N/A</v>
      </c>
      <c r="AV33" s="3" t="str">
        <f>IFERROR(INDEX('справочная информация'!$B$6:$R$29,MATCH('Расчет грейда'!$Y33,'справочная информация'!$A$6:$A$29,0),MATCH('Расчет грейда'!$X33,'справочная информация'!$B$5:$R$5,0)),"")</f>
        <v/>
      </c>
      <c r="AW33" s="171" t="str">
        <f>IFERROR(INDEX('справочная информация'!$B$37:$H$52,MATCH('Расчет грейда'!$AA33,'справочная информация'!$A$37:$A$52,0),MATCH('Расчет грейда'!$N33,'справочная информация'!$B$36:$H$36,0)),"")</f>
        <v/>
      </c>
      <c r="AX33" s="122" t="str">
        <f>IFERROR(INDEX('справочная информация'!$D$108:$AD$123,MATCH('Расчет грейда'!$AW33,'справочная информация'!$C$108:$C$123,0),MATCH('Расчет грейда'!$AV33,'справочная информация'!$D$107:$AD$107,0)),"")</f>
        <v/>
      </c>
      <c r="AY33" s="133" t="str">
        <f>IFERROR(INDEX('справочная информация'!$B$158:$Y$181,MATCH('Расчет грейда'!$AE33,'справочная информация'!$A$158:$A$181,0),MATCH('Расчет грейда'!$AD33,'справочная информация'!$B$157:$Y$157,0)),"")</f>
        <v/>
      </c>
      <c r="AZ33" s="170" t="str">
        <f t="shared" si="12"/>
        <v/>
      </c>
      <c r="BA33" s="172" t="str">
        <f>IFERROR(CONCATENATE(TEXT(AZ33/INDEX('справочная информация'!$D$223:$D$261,MATCH('Расчет грейда'!$AZ33,'справочная информация'!$C$223:$C$261,1)),"0%")," - процент относительно медианы 100%. ","MIN балл на грейде ",INDEX('справочная информация'!$C$223:$C$261,MATCH('Расчет грейда'!$AZ33,'справочная информация'!$C$223:$C$261,1)),", "," MAX балл на грейде ",INDEX('справочная информация'!$E$223:$E$261,MATCH('Расчет грейда'!$AZ33,'справочная информация'!$C$223:$C$261,1))),"")</f>
        <v/>
      </c>
      <c r="BB33" s="120" t="str">
        <f t="shared" si="13"/>
        <v/>
      </c>
      <c r="BC33" s="3" t="str">
        <f t="shared" si="14"/>
        <v/>
      </c>
      <c r="BD33" s="121" t="str">
        <f>IFERROR(VLOOKUP(BC33,'справочная информация'!$B$416:$C$424,2,0),"Проверить данные, нетипичная должность")</f>
        <v>Проверить данные, нетипичная должность</v>
      </c>
      <c r="BE33" s="3" t="str">
        <f t="shared" si="15"/>
        <v/>
      </c>
      <c r="BF33" s="3" t="str">
        <f>IFERROR(INDEX('справочная информация'!$F$223:$F$261,MATCH('Расчет грейда'!$AZ33,'справочная информация'!$C$223:$C$261,1)),"")</f>
        <v/>
      </c>
    </row>
    <row r="34" spans="1:58" s="9" customFormat="1" x14ac:dyDescent="0.35">
      <c r="A34" s="120"/>
      <c r="B34" s="122"/>
      <c r="C34" s="140"/>
      <c r="D34" s="120"/>
      <c r="E34" s="120"/>
      <c r="F34" s="120"/>
      <c r="G34" s="120"/>
      <c r="H34" s="120"/>
      <c r="J34" s="142"/>
      <c r="K34" s="142"/>
      <c r="L34" s="142"/>
      <c r="R34" s="3"/>
      <c r="S34" s="138"/>
      <c r="T34" s="3"/>
      <c r="U34" s="3"/>
      <c r="V34" s="3"/>
      <c r="W34" s="3" t="str">
        <f t="shared" si="0"/>
        <v/>
      </c>
      <c r="X34" s="9" t="str">
        <f t="shared" si="1"/>
        <v/>
      </c>
      <c r="Y34" s="9" t="str">
        <f t="shared" si="2"/>
        <v/>
      </c>
      <c r="Z34" s="3" t="e">
        <f>INDEX('справочная информация'!$U$6:$AK$29,MATCH('Расчет грейда'!$Y34,'справочная информация'!$T$6:$T$29,0),MATCH('Расчет грейда'!$X34,'справочная информация'!$U$5:$AK$5,0))</f>
        <v>#N/A</v>
      </c>
      <c r="AA34" s="9" t="str">
        <f t="shared" si="3"/>
        <v/>
      </c>
      <c r="AB34" s="3" t="e">
        <f>INDEX('справочная информация'!$B$68:$H$83,MATCH('Расчет грейда'!$AA34,'справочная информация'!$A$68:$A$83,0),MATCH('Расчет грейда'!$N34,'справочная информация'!$B$67:$H$67,0))</f>
        <v>#N/A</v>
      </c>
      <c r="AC34" s="3" t="e">
        <f>INDEX('справочная информация'!$D$130:$AD$145,MATCH('Расчет грейда'!$AW34,'справочная информация'!$C$130:$C$145,0),MATCH('Расчет грейда'!$AV34,'справочная информация'!$D$129:$AD$129,0))</f>
        <v>#N/A</v>
      </c>
      <c r="AD34" s="9" t="str">
        <f t="shared" si="4"/>
        <v/>
      </c>
      <c r="AE34" s="9" t="str">
        <f t="shared" si="5"/>
        <v/>
      </c>
      <c r="AF34" s="3" t="str">
        <f>IFERROR(IF(AND(AD34="",AE34=""),"",INDEX('справочная информация'!$B$188:$Y$211,MATCH('Расчет грейда'!$AE34,'справочная информация'!$A$188:$A$211,0),MATCH('Расчет грейда'!$AD34,'справочная информация'!$B$187:$Y$187,0))),"НЕТ")</f>
        <v/>
      </c>
      <c r="AG34" s="3" t="e">
        <f>VLOOKUP(J34,'справочная информация'!$D$267:$E$274,2,0)</f>
        <v>#N/A</v>
      </c>
      <c r="AH34" s="3" t="e">
        <f>VLOOKUP(K34,'справочная информация'!$D$279:$E$283,2,0)</f>
        <v>#N/A</v>
      </c>
      <c r="AI34" s="3" t="e">
        <f>VLOOKUP(L34,'справочная информация'!$D$288:$E$290,2,0)</f>
        <v>#N/A</v>
      </c>
      <c r="AJ34" s="3" t="str">
        <f t="shared" si="6"/>
        <v/>
      </c>
      <c r="AK34" s="169" t="e">
        <f>VLOOKUP(M34,'справочная информация'!$D$294:$E$301,2,0)</f>
        <v>#N/A</v>
      </c>
      <c r="AL34" s="3" t="e">
        <f>VLOOKUP(N34,'справочная информация'!$D$306:$E$310,2,0)</f>
        <v>#N/A</v>
      </c>
      <c r="AM34" s="169" t="str">
        <f t="shared" si="7"/>
        <v>()</v>
      </c>
      <c r="AN34" s="3" t="str">
        <f t="shared" si="8"/>
        <v/>
      </c>
      <c r="AO34" s="3" t="e">
        <f>VLOOKUP(O34,'справочная информация'!$D$329:$E$336,2,0)</f>
        <v>#N/A</v>
      </c>
      <c r="AP34" s="3" t="e">
        <f>VLOOKUP(P34,'справочная информация'!$D$342:$E$349,2,0)</f>
        <v>#N/A</v>
      </c>
      <c r="AQ34" s="3" t="e">
        <f>VLOOKUP(Q34,'справочная информация'!$D$316:$E$325,2,0)</f>
        <v>#N/A</v>
      </c>
      <c r="AR34" s="3" t="str">
        <f t="shared" si="9"/>
        <v/>
      </c>
      <c r="AS34" s="170" t="str">
        <f t="shared" si="10"/>
        <v/>
      </c>
      <c r="AT34" s="3" t="str">
        <f t="shared" si="11"/>
        <v/>
      </c>
      <c r="AU34" s="3" t="e">
        <f>ABS(MATCH($AX34,'справочная информация'!$A$354:$A$391,0)-MATCH($AY34,'справочная информация'!$A$354:$A$391,0))</f>
        <v>#N/A</v>
      </c>
      <c r="AV34" s="3" t="str">
        <f>IFERROR(INDEX('справочная информация'!$B$6:$R$29,MATCH('Расчет грейда'!$Y34,'справочная информация'!$A$6:$A$29,0),MATCH('Расчет грейда'!$X34,'справочная информация'!$B$5:$R$5,0)),"")</f>
        <v/>
      </c>
      <c r="AW34" s="171" t="str">
        <f>IFERROR(INDEX('справочная информация'!$B$37:$H$52,MATCH('Расчет грейда'!$AA34,'справочная информация'!$A$37:$A$52,0),MATCH('Расчет грейда'!$N34,'справочная информация'!$B$36:$H$36,0)),"")</f>
        <v/>
      </c>
      <c r="AX34" s="122" t="str">
        <f>IFERROR(INDEX('справочная информация'!$D$108:$AD$123,MATCH('Расчет грейда'!$AW34,'справочная информация'!$C$108:$C$123,0),MATCH('Расчет грейда'!$AV34,'справочная информация'!$D$107:$AD$107,0)),"")</f>
        <v/>
      </c>
      <c r="AY34" s="133" t="str">
        <f>IFERROR(INDEX('справочная информация'!$B$158:$Y$181,MATCH('Расчет грейда'!$AE34,'справочная информация'!$A$158:$A$181,0),MATCH('Расчет грейда'!$AD34,'справочная информация'!$B$157:$Y$157,0)),"")</f>
        <v/>
      </c>
      <c r="AZ34" s="170" t="str">
        <f t="shared" si="12"/>
        <v/>
      </c>
      <c r="BA34" s="172" t="str">
        <f>IFERROR(CONCATENATE(TEXT(AZ34/INDEX('справочная информация'!$D$223:$D$261,MATCH('Расчет грейда'!$AZ34,'справочная информация'!$C$223:$C$261,1)),"0%")," - процент относительно медианы 100%. ","MIN балл на грейде ",INDEX('справочная информация'!$C$223:$C$261,MATCH('Расчет грейда'!$AZ34,'справочная информация'!$C$223:$C$261,1)),", "," MAX балл на грейде ",INDEX('справочная информация'!$E$223:$E$261,MATCH('Расчет грейда'!$AZ34,'справочная информация'!$C$223:$C$261,1))),"")</f>
        <v/>
      </c>
      <c r="BB34" s="120" t="str">
        <f t="shared" si="13"/>
        <v/>
      </c>
      <c r="BC34" s="3" t="str">
        <f t="shared" si="14"/>
        <v/>
      </c>
      <c r="BD34" s="121" t="str">
        <f>IFERROR(VLOOKUP(BC34,'справочная информация'!$B$416:$C$424,2,0),"Проверить данные, нетипичная должность")</f>
        <v>Проверить данные, нетипичная должность</v>
      </c>
      <c r="BE34" s="3" t="str">
        <f t="shared" si="15"/>
        <v/>
      </c>
      <c r="BF34" s="3" t="str">
        <f>IFERROR(INDEX('справочная информация'!$F$223:$F$261,MATCH('Расчет грейда'!$AZ34,'справочная информация'!$C$223:$C$261,1)),"")</f>
        <v/>
      </c>
    </row>
    <row r="35" spans="1:58" s="9" customFormat="1" x14ac:dyDescent="0.35">
      <c r="A35" s="120"/>
      <c r="B35" s="122"/>
      <c r="C35" s="140"/>
      <c r="D35" s="120"/>
      <c r="E35" s="120"/>
      <c r="F35" s="120"/>
      <c r="G35" s="120"/>
      <c r="H35" s="120"/>
      <c r="J35" s="142"/>
      <c r="K35" s="142"/>
      <c r="L35" s="142"/>
      <c r="R35" s="3"/>
      <c r="S35" s="138"/>
      <c r="T35" s="3"/>
      <c r="U35" s="3"/>
      <c r="V35" s="3"/>
      <c r="W35" s="3" t="str">
        <f t="shared" si="0"/>
        <v/>
      </c>
      <c r="X35" s="9" t="str">
        <f t="shared" si="1"/>
        <v/>
      </c>
      <c r="Y35" s="9" t="str">
        <f t="shared" si="2"/>
        <v/>
      </c>
      <c r="Z35" s="3" t="e">
        <f>INDEX('справочная информация'!$U$6:$AK$29,MATCH('Расчет грейда'!$Y35,'справочная информация'!$T$6:$T$29,0),MATCH('Расчет грейда'!$X35,'справочная информация'!$U$5:$AK$5,0))</f>
        <v>#N/A</v>
      </c>
      <c r="AA35" s="9" t="str">
        <f t="shared" si="3"/>
        <v/>
      </c>
      <c r="AB35" s="3" t="e">
        <f>INDEX('справочная информация'!$B$68:$H$83,MATCH('Расчет грейда'!$AA35,'справочная информация'!$A$68:$A$83,0),MATCH('Расчет грейда'!$N35,'справочная информация'!$B$67:$H$67,0))</f>
        <v>#N/A</v>
      </c>
      <c r="AC35" s="3" t="e">
        <f>INDEX('справочная информация'!$D$130:$AD$145,MATCH('Расчет грейда'!$AW35,'справочная информация'!$C$130:$C$145,0),MATCH('Расчет грейда'!$AV35,'справочная информация'!$D$129:$AD$129,0))</f>
        <v>#N/A</v>
      </c>
      <c r="AD35" s="9" t="str">
        <f t="shared" si="4"/>
        <v/>
      </c>
      <c r="AE35" s="9" t="str">
        <f t="shared" si="5"/>
        <v/>
      </c>
      <c r="AF35" s="3" t="str">
        <f>IFERROR(IF(AND(AD35="",AE35=""),"",INDEX('справочная информация'!$B$188:$Y$211,MATCH('Расчет грейда'!$AE35,'справочная информация'!$A$188:$A$211,0),MATCH('Расчет грейда'!$AD35,'справочная информация'!$B$187:$Y$187,0))),"НЕТ")</f>
        <v/>
      </c>
      <c r="AG35" s="3" t="e">
        <f>VLOOKUP(J35,'справочная информация'!$D$267:$E$274,2,0)</f>
        <v>#N/A</v>
      </c>
      <c r="AH35" s="3" t="e">
        <f>VLOOKUP(K35,'справочная информация'!$D$279:$E$283,2,0)</f>
        <v>#N/A</v>
      </c>
      <c r="AI35" s="3" t="e">
        <f>VLOOKUP(L35,'справочная информация'!$D$288:$E$290,2,0)</f>
        <v>#N/A</v>
      </c>
      <c r="AJ35" s="3" t="str">
        <f t="shared" si="6"/>
        <v/>
      </c>
      <c r="AK35" s="169" t="e">
        <f>VLOOKUP(M35,'справочная информация'!$D$294:$E$301,2,0)</f>
        <v>#N/A</v>
      </c>
      <c r="AL35" s="3" t="e">
        <f>VLOOKUP(N35,'справочная информация'!$D$306:$E$310,2,0)</f>
        <v>#N/A</v>
      </c>
      <c r="AM35" s="169" t="str">
        <f t="shared" si="7"/>
        <v>()</v>
      </c>
      <c r="AN35" s="3" t="str">
        <f t="shared" si="8"/>
        <v/>
      </c>
      <c r="AO35" s="3" t="e">
        <f>VLOOKUP(O35,'справочная информация'!$D$329:$E$336,2,0)</f>
        <v>#N/A</v>
      </c>
      <c r="AP35" s="3" t="e">
        <f>VLOOKUP(P35,'справочная информация'!$D$342:$E$349,2,0)</f>
        <v>#N/A</v>
      </c>
      <c r="AQ35" s="3" t="e">
        <f>VLOOKUP(Q35,'справочная информация'!$D$316:$E$325,2,0)</f>
        <v>#N/A</v>
      </c>
      <c r="AR35" s="3" t="str">
        <f t="shared" si="9"/>
        <v/>
      </c>
      <c r="AS35" s="170" t="str">
        <f t="shared" si="10"/>
        <v/>
      </c>
      <c r="AT35" s="3" t="str">
        <f t="shared" si="11"/>
        <v/>
      </c>
      <c r="AU35" s="3" t="e">
        <f>ABS(MATCH($AX35,'справочная информация'!$A$354:$A$391,0)-MATCH($AY35,'справочная информация'!$A$354:$A$391,0))</f>
        <v>#N/A</v>
      </c>
      <c r="AV35" s="3" t="str">
        <f>IFERROR(INDEX('справочная информация'!$B$6:$R$29,MATCH('Расчет грейда'!$Y35,'справочная информация'!$A$6:$A$29,0),MATCH('Расчет грейда'!$X35,'справочная информация'!$B$5:$R$5,0)),"")</f>
        <v/>
      </c>
      <c r="AW35" s="171" t="str">
        <f>IFERROR(INDEX('справочная информация'!$B$37:$H$52,MATCH('Расчет грейда'!$AA35,'справочная информация'!$A$37:$A$52,0),MATCH('Расчет грейда'!$N35,'справочная информация'!$B$36:$H$36,0)),"")</f>
        <v/>
      </c>
      <c r="AX35" s="122" t="str">
        <f>IFERROR(INDEX('справочная информация'!$D$108:$AD$123,MATCH('Расчет грейда'!$AW35,'справочная информация'!$C$108:$C$123,0),MATCH('Расчет грейда'!$AV35,'справочная информация'!$D$107:$AD$107,0)),"")</f>
        <v/>
      </c>
      <c r="AY35" s="133" t="str">
        <f>IFERROR(INDEX('справочная информация'!$B$158:$Y$181,MATCH('Расчет грейда'!$AE35,'справочная информация'!$A$158:$A$181,0),MATCH('Расчет грейда'!$AD35,'справочная информация'!$B$157:$Y$157,0)),"")</f>
        <v/>
      </c>
      <c r="AZ35" s="170" t="str">
        <f t="shared" si="12"/>
        <v/>
      </c>
      <c r="BA35" s="172" t="str">
        <f>IFERROR(CONCATENATE(TEXT(AZ35/INDEX('справочная информация'!$D$223:$D$261,MATCH('Расчет грейда'!$AZ35,'справочная информация'!$C$223:$C$261,1)),"0%")," - процент относительно медианы 100%. ","MIN балл на грейде ",INDEX('справочная информация'!$C$223:$C$261,MATCH('Расчет грейда'!$AZ35,'справочная информация'!$C$223:$C$261,1)),", "," MAX балл на грейде ",INDEX('справочная информация'!$E$223:$E$261,MATCH('Расчет грейда'!$AZ35,'справочная информация'!$C$223:$C$261,1))),"")</f>
        <v/>
      </c>
      <c r="BB35" s="120" t="str">
        <f t="shared" si="13"/>
        <v/>
      </c>
      <c r="BC35" s="3" t="str">
        <f t="shared" si="14"/>
        <v/>
      </c>
      <c r="BD35" s="121" t="str">
        <f>IFERROR(VLOOKUP(BC35,'справочная информация'!$B$416:$C$424,2,0),"Проверить данные, нетипичная должность")</f>
        <v>Проверить данные, нетипичная должность</v>
      </c>
      <c r="BE35" s="3" t="str">
        <f t="shared" si="15"/>
        <v/>
      </c>
      <c r="BF35" s="3" t="str">
        <f>IFERROR(INDEX('справочная информация'!$F$223:$F$261,MATCH('Расчет грейда'!$AZ35,'справочная информация'!$C$223:$C$261,1)),"")</f>
        <v/>
      </c>
    </row>
    <row r="36" spans="1:58" s="9" customFormat="1" x14ac:dyDescent="0.35">
      <c r="A36" s="120"/>
      <c r="B36" s="122"/>
      <c r="C36" s="140"/>
      <c r="D36" s="120"/>
      <c r="E36" s="120"/>
      <c r="F36" s="120"/>
      <c r="G36" s="120"/>
      <c r="H36" s="120"/>
      <c r="J36" s="142"/>
      <c r="K36" s="142"/>
      <c r="L36" s="142"/>
      <c r="R36" s="3"/>
      <c r="S36" s="138"/>
      <c r="T36" s="3"/>
      <c r="U36" s="3"/>
      <c r="V36" s="3"/>
      <c r="W36" s="3" t="str">
        <f t="shared" si="0"/>
        <v/>
      </c>
      <c r="X36" s="9" t="str">
        <f t="shared" si="1"/>
        <v/>
      </c>
      <c r="Y36" s="9" t="str">
        <f t="shared" si="2"/>
        <v/>
      </c>
      <c r="Z36" s="3" t="e">
        <f>INDEX('справочная информация'!$U$6:$AK$29,MATCH('Расчет грейда'!$Y36,'справочная информация'!$T$6:$T$29,0),MATCH('Расчет грейда'!$X36,'справочная информация'!$U$5:$AK$5,0))</f>
        <v>#N/A</v>
      </c>
      <c r="AA36" s="9" t="str">
        <f t="shared" si="3"/>
        <v/>
      </c>
      <c r="AB36" s="3" t="e">
        <f>INDEX('справочная информация'!$B$68:$H$83,MATCH('Расчет грейда'!$AA36,'справочная информация'!$A$68:$A$83,0),MATCH('Расчет грейда'!$N36,'справочная информация'!$B$67:$H$67,0))</f>
        <v>#N/A</v>
      </c>
      <c r="AC36" s="3" t="e">
        <f>INDEX('справочная информация'!$D$130:$AD$145,MATCH('Расчет грейда'!$AW36,'справочная информация'!$C$130:$C$145,0),MATCH('Расчет грейда'!$AV36,'справочная информация'!$D$129:$AD$129,0))</f>
        <v>#N/A</v>
      </c>
      <c r="AD36" s="9" t="str">
        <f t="shared" si="4"/>
        <v/>
      </c>
      <c r="AE36" s="9" t="str">
        <f t="shared" si="5"/>
        <v/>
      </c>
      <c r="AF36" s="3" t="str">
        <f>IFERROR(IF(AND(AD36="",AE36=""),"",INDEX('справочная информация'!$B$188:$Y$211,MATCH('Расчет грейда'!$AE36,'справочная информация'!$A$188:$A$211,0),MATCH('Расчет грейда'!$AD36,'справочная информация'!$B$187:$Y$187,0))),"НЕТ")</f>
        <v/>
      </c>
      <c r="AG36" s="3" t="e">
        <f>VLOOKUP(J36,'справочная информация'!$D$267:$E$274,2,0)</f>
        <v>#N/A</v>
      </c>
      <c r="AH36" s="3" t="e">
        <f>VLOOKUP(K36,'справочная информация'!$D$279:$E$283,2,0)</f>
        <v>#N/A</v>
      </c>
      <c r="AI36" s="3" t="e">
        <f>VLOOKUP(L36,'справочная информация'!$D$288:$E$290,2,0)</f>
        <v>#N/A</v>
      </c>
      <c r="AJ36" s="3" t="str">
        <f t="shared" si="6"/>
        <v/>
      </c>
      <c r="AK36" s="169" t="e">
        <f>VLOOKUP(M36,'справочная информация'!$D$294:$E$301,2,0)</f>
        <v>#N/A</v>
      </c>
      <c r="AL36" s="3" t="e">
        <f>VLOOKUP(N36,'справочная информация'!$D$306:$E$310,2,0)</f>
        <v>#N/A</v>
      </c>
      <c r="AM36" s="169" t="str">
        <f t="shared" si="7"/>
        <v>()</v>
      </c>
      <c r="AN36" s="3" t="str">
        <f t="shared" si="8"/>
        <v/>
      </c>
      <c r="AO36" s="3" t="e">
        <f>VLOOKUP(O36,'справочная информация'!$D$329:$E$336,2,0)</f>
        <v>#N/A</v>
      </c>
      <c r="AP36" s="3" t="e">
        <f>VLOOKUP(P36,'справочная информация'!$D$342:$E$349,2,0)</f>
        <v>#N/A</v>
      </c>
      <c r="AQ36" s="3" t="e">
        <f>VLOOKUP(Q36,'справочная информация'!$D$316:$E$325,2,0)</f>
        <v>#N/A</v>
      </c>
      <c r="AR36" s="3" t="str">
        <f t="shared" si="9"/>
        <v/>
      </c>
      <c r="AS36" s="170" t="str">
        <f t="shared" si="10"/>
        <v/>
      </c>
      <c r="AT36" s="3" t="str">
        <f t="shared" si="11"/>
        <v/>
      </c>
      <c r="AU36" s="3" t="e">
        <f>ABS(MATCH($AX36,'справочная информация'!$A$354:$A$391,0)-MATCH($AY36,'справочная информация'!$A$354:$A$391,0))</f>
        <v>#N/A</v>
      </c>
      <c r="AV36" s="3" t="str">
        <f>IFERROR(INDEX('справочная информация'!$B$6:$R$29,MATCH('Расчет грейда'!$Y36,'справочная информация'!$A$6:$A$29,0),MATCH('Расчет грейда'!$X36,'справочная информация'!$B$5:$R$5,0)),"")</f>
        <v/>
      </c>
      <c r="AW36" s="171" t="str">
        <f>IFERROR(INDEX('справочная информация'!$B$37:$H$52,MATCH('Расчет грейда'!$AA36,'справочная информация'!$A$37:$A$52,0),MATCH('Расчет грейда'!$N36,'справочная информация'!$B$36:$H$36,0)),"")</f>
        <v/>
      </c>
      <c r="AX36" s="122" t="str">
        <f>IFERROR(INDEX('справочная информация'!$D$108:$AD$123,MATCH('Расчет грейда'!$AW36,'справочная информация'!$C$108:$C$123,0),MATCH('Расчет грейда'!$AV36,'справочная информация'!$D$107:$AD$107,0)),"")</f>
        <v/>
      </c>
      <c r="AY36" s="133" t="str">
        <f>IFERROR(INDEX('справочная информация'!$B$158:$Y$181,MATCH('Расчет грейда'!$AE36,'справочная информация'!$A$158:$A$181,0),MATCH('Расчет грейда'!$AD36,'справочная информация'!$B$157:$Y$157,0)),"")</f>
        <v/>
      </c>
      <c r="AZ36" s="170" t="str">
        <f t="shared" si="12"/>
        <v/>
      </c>
      <c r="BA36" s="172" t="str">
        <f>IFERROR(CONCATENATE(TEXT(AZ36/INDEX('справочная информация'!$D$223:$D$261,MATCH('Расчет грейда'!$AZ36,'справочная информация'!$C$223:$C$261,1)),"0%")," - процент относительно медианы 100%. ","MIN балл на грейде ",INDEX('справочная информация'!$C$223:$C$261,MATCH('Расчет грейда'!$AZ36,'справочная информация'!$C$223:$C$261,1)),", "," MAX балл на грейде ",INDEX('справочная информация'!$E$223:$E$261,MATCH('Расчет грейда'!$AZ36,'справочная информация'!$C$223:$C$261,1))),"")</f>
        <v/>
      </c>
      <c r="BB36" s="120" t="str">
        <f t="shared" si="13"/>
        <v/>
      </c>
      <c r="BC36" s="3" t="str">
        <f t="shared" si="14"/>
        <v/>
      </c>
      <c r="BD36" s="121" t="str">
        <f>IFERROR(VLOOKUP(BC36,'справочная информация'!$B$416:$C$424,2,0),"Проверить данные, нетипичная должность")</f>
        <v>Проверить данные, нетипичная должность</v>
      </c>
      <c r="BE36" s="3" t="str">
        <f t="shared" si="15"/>
        <v/>
      </c>
      <c r="BF36" s="3" t="str">
        <f>IFERROR(INDEX('справочная информация'!$F$223:$F$261,MATCH('Расчет грейда'!$AZ36,'справочная информация'!$C$223:$C$261,1)),"")</f>
        <v/>
      </c>
    </row>
    <row r="37" spans="1:58" s="9" customFormat="1" x14ac:dyDescent="0.35">
      <c r="A37" s="120"/>
      <c r="B37" s="122"/>
      <c r="C37" s="140"/>
      <c r="D37" s="120"/>
      <c r="E37" s="120"/>
      <c r="F37" s="120"/>
      <c r="G37" s="120"/>
      <c r="H37" s="120"/>
      <c r="J37" s="142"/>
      <c r="K37" s="142"/>
      <c r="L37" s="142"/>
      <c r="R37" s="3"/>
      <c r="S37" s="138"/>
      <c r="T37" s="3"/>
      <c r="U37" s="3"/>
      <c r="V37" s="3"/>
      <c r="W37" s="3" t="str">
        <f t="shared" si="0"/>
        <v/>
      </c>
      <c r="X37" s="9" t="str">
        <f t="shared" si="1"/>
        <v/>
      </c>
      <c r="Y37" s="9" t="str">
        <f t="shared" si="2"/>
        <v/>
      </c>
      <c r="Z37" s="3" t="e">
        <f>INDEX('справочная информация'!$U$6:$AK$29,MATCH('Расчет грейда'!$Y37,'справочная информация'!$T$6:$T$29,0),MATCH('Расчет грейда'!$X37,'справочная информация'!$U$5:$AK$5,0))</f>
        <v>#N/A</v>
      </c>
      <c r="AA37" s="9" t="str">
        <f t="shared" si="3"/>
        <v/>
      </c>
      <c r="AB37" s="3" t="e">
        <f>INDEX('справочная информация'!$B$68:$H$83,MATCH('Расчет грейда'!$AA37,'справочная информация'!$A$68:$A$83,0),MATCH('Расчет грейда'!$N37,'справочная информация'!$B$67:$H$67,0))</f>
        <v>#N/A</v>
      </c>
      <c r="AC37" s="3" t="e">
        <f>INDEX('справочная информация'!$D$130:$AD$145,MATCH('Расчет грейда'!$AW37,'справочная информация'!$C$130:$C$145,0),MATCH('Расчет грейда'!$AV37,'справочная информация'!$D$129:$AD$129,0))</f>
        <v>#N/A</v>
      </c>
      <c r="AD37" s="9" t="str">
        <f t="shared" si="4"/>
        <v/>
      </c>
      <c r="AE37" s="9" t="str">
        <f t="shared" si="5"/>
        <v/>
      </c>
      <c r="AF37" s="3" t="str">
        <f>IFERROR(IF(AND(AD37="",AE37=""),"",INDEX('справочная информация'!$B$188:$Y$211,MATCH('Расчет грейда'!$AE37,'справочная информация'!$A$188:$A$211,0),MATCH('Расчет грейда'!$AD37,'справочная информация'!$B$187:$Y$187,0))),"НЕТ")</f>
        <v/>
      </c>
      <c r="AG37" s="3" t="e">
        <f>VLOOKUP(J37,'справочная информация'!$D$267:$E$274,2,0)</f>
        <v>#N/A</v>
      </c>
      <c r="AH37" s="3" t="e">
        <f>VLOOKUP(K37,'справочная информация'!$D$279:$E$283,2,0)</f>
        <v>#N/A</v>
      </c>
      <c r="AI37" s="3" t="e">
        <f>VLOOKUP(L37,'справочная информация'!$D$288:$E$290,2,0)</f>
        <v>#N/A</v>
      </c>
      <c r="AJ37" s="3" t="str">
        <f t="shared" si="6"/>
        <v/>
      </c>
      <c r="AK37" s="169" t="e">
        <f>VLOOKUP(M37,'справочная информация'!$D$294:$E$301,2,0)</f>
        <v>#N/A</v>
      </c>
      <c r="AL37" s="3" t="e">
        <f>VLOOKUP(N37,'справочная информация'!$D$306:$E$310,2,0)</f>
        <v>#N/A</v>
      </c>
      <c r="AM37" s="169" t="str">
        <f t="shared" si="7"/>
        <v>()</v>
      </c>
      <c r="AN37" s="3" t="str">
        <f t="shared" si="8"/>
        <v/>
      </c>
      <c r="AO37" s="3" t="e">
        <f>VLOOKUP(O37,'справочная информация'!$D$329:$E$336,2,0)</f>
        <v>#N/A</v>
      </c>
      <c r="AP37" s="3" t="e">
        <f>VLOOKUP(P37,'справочная информация'!$D$342:$E$349,2,0)</f>
        <v>#N/A</v>
      </c>
      <c r="AQ37" s="3" t="e">
        <f>VLOOKUP(Q37,'справочная информация'!$D$316:$E$325,2,0)</f>
        <v>#N/A</v>
      </c>
      <c r="AR37" s="3" t="str">
        <f t="shared" si="9"/>
        <v/>
      </c>
      <c r="AS37" s="170" t="str">
        <f t="shared" si="10"/>
        <v/>
      </c>
      <c r="AT37" s="3" t="str">
        <f t="shared" si="11"/>
        <v/>
      </c>
      <c r="AU37" s="3" t="e">
        <f>ABS(MATCH($AX37,'справочная информация'!$A$354:$A$391,0)-MATCH($AY37,'справочная информация'!$A$354:$A$391,0))</f>
        <v>#N/A</v>
      </c>
      <c r="AV37" s="3" t="str">
        <f>IFERROR(INDEX('справочная информация'!$B$6:$R$29,MATCH('Расчет грейда'!$Y37,'справочная информация'!$A$6:$A$29,0),MATCH('Расчет грейда'!$X37,'справочная информация'!$B$5:$R$5,0)),"")</f>
        <v/>
      </c>
      <c r="AW37" s="171" t="str">
        <f>IFERROR(INDEX('справочная информация'!$B$37:$H$52,MATCH('Расчет грейда'!$AA37,'справочная информация'!$A$37:$A$52,0),MATCH('Расчет грейда'!$N37,'справочная информация'!$B$36:$H$36,0)),"")</f>
        <v/>
      </c>
      <c r="AX37" s="122" t="str">
        <f>IFERROR(INDEX('справочная информация'!$D$108:$AD$123,MATCH('Расчет грейда'!$AW37,'справочная информация'!$C$108:$C$123,0),MATCH('Расчет грейда'!$AV37,'справочная информация'!$D$107:$AD$107,0)),"")</f>
        <v/>
      </c>
      <c r="AY37" s="133" t="str">
        <f>IFERROR(INDEX('справочная информация'!$B$158:$Y$181,MATCH('Расчет грейда'!$AE37,'справочная информация'!$A$158:$A$181,0),MATCH('Расчет грейда'!$AD37,'справочная информация'!$B$157:$Y$157,0)),"")</f>
        <v/>
      </c>
      <c r="AZ37" s="170" t="str">
        <f t="shared" si="12"/>
        <v/>
      </c>
      <c r="BA37" s="172" t="str">
        <f>IFERROR(CONCATENATE(TEXT(AZ37/INDEX('справочная информация'!$D$223:$D$261,MATCH('Расчет грейда'!$AZ37,'справочная информация'!$C$223:$C$261,1)),"0%")," - процент относительно медианы 100%. ","MIN балл на грейде ",INDEX('справочная информация'!$C$223:$C$261,MATCH('Расчет грейда'!$AZ37,'справочная информация'!$C$223:$C$261,1)),", "," MAX балл на грейде ",INDEX('справочная информация'!$E$223:$E$261,MATCH('Расчет грейда'!$AZ37,'справочная информация'!$C$223:$C$261,1))),"")</f>
        <v/>
      </c>
      <c r="BB37" s="120" t="str">
        <f t="shared" si="13"/>
        <v/>
      </c>
      <c r="BC37" s="3" t="str">
        <f t="shared" si="14"/>
        <v/>
      </c>
      <c r="BD37" s="121" t="str">
        <f>IFERROR(VLOOKUP(BC37,'справочная информация'!$B$416:$C$424,2,0),"Проверить данные, нетипичная должность")</f>
        <v>Проверить данные, нетипичная должность</v>
      </c>
      <c r="BE37" s="3" t="str">
        <f t="shared" si="15"/>
        <v/>
      </c>
      <c r="BF37" s="3" t="str">
        <f>IFERROR(INDEX('справочная информация'!$F$223:$F$261,MATCH('Расчет грейда'!$AZ37,'справочная информация'!$C$223:$C$261,1)),"")</f>
        <v/>
      </c>
    </row>
    <row r="38" spans="1:58" s="9" customFormat="1" x14ac:dyDescent="0.35">
      <c r="A38" s="120"/>
      <c r="B38" s="122"/>
      <c r="C38" s="140"/>
      <c r="D38" s="120"/>
      <c r="E38" s="120"/>
      <c r="F38" s="120"/>
      <c r="G38" s="120"/>
      <c r="H38" s="120"/>
      <c r="J38" s="142"/>
      <c r="K38" s="142"/>
      <c r="L38" s="142"/>
      <c r="R38" s="3"/>
      <c r="S38" s="138"/>
      <c r="T38" s="3"/>
      <c r="U38" s="3"/>
      <c r="V38" s="3"/>
      <c r="W38" s="3" t="str">
        <f t="shared" si="0"/>
        <v/>
      </c>
      <c r="X38" s="9" t="str">
        <f t="shared" si="1"/>
        <v/>
      </c>
      <c r="Y38" s="9" t="str">
        <f t="shared" si="2"/>
        <v/>
      </c>
      <c r="Z38" s="3" t="e">
        <f>INDEX('справочная информация'!$U$6:$AK$29,MATCH('Расчет грейда'!$Y38,'справочная информация'!$T$6:$T$29,0),MATCH('Расчет грейда'!$X38,'справочная информация'!$U$5:$AK$5,0))</f>
        <v>#N/A</v>
      </c>
      <c r="AA38" s="9" t="str">
        <f t="shared" si="3"/>
        <v/>
      </c>
      <c r="AB38" s="3" t="e">
        <f>INDEX('справочная информация'!$B$68:$H$83,MATCH('Расчет грейда'!$AA38,'справочная информация'!$A$68:$A$83,0),MATCH('Расчет грейда'!$N38,'справочная информация'!$B$67:$H$67,0))</f>
        <v>#N/A</v>
      </c>
      <c r="AC38" s="3" t="e">
        <f>INDEX('справочная информация'!$D$130:$AD$145,MATCH('Расчет грейда'!$AW38,'справочная информация'!$C$130:$C$145,0),MATCH('Расчет грейда'!$AV38,'справочная информация'!$D$129:$AD$129,0))</f>
        <v>#N/A</v>
      </c>
      <c r="AD38" s="9" t="str">
        <f t="shared" si="4"/>
        <v/>
      </c>
      <c r="AE38" s="9" t="str">
        <f t="shared" si="5"/>
        <v/>
      </c>
      <c r="AF38" s="3" t="str">
        <f>IFERROR(IF(AND(AD38="",AE38=""),"",INDEX('справочная информация'!$B$188:$Y$211,MATCH('Расчет грейда'!$AE38,'справочная информация'!$A$188:$A$211,0),MATCH('Расчет грейда'!$AD38,'справочная информация'!$B$187:$Y$187,0))),"НЕТ")</f>
        <v/>
      </c>
      <c r="AG38" s="3" t="e">
        <f>VLOOKUP(J38,'справочная информация'!$D$267:$E$274,2,0)</f>
        <v>#N/A</v>
      </c>
      <c r="AH38" s="3" t="e">
        <f>VLOOKUP(K38,'справочная информация'!$D$279:$E$283,2,0)</f>
        <v>#N/A</v>
      </c>
      <c r="AI38" s="3" t="e">
        <f>VLOOKUP(L38,'справочная информация'!$D$288:$E$290,2,0)</f>
        <v>#N/A</v>
      </c>
      <c r="AJ38" s="3" t="str">
        <f t="shared" si="6"/>
        <v/>
      </c>
      <c r="AK38" s="169" t="e">
        <f>VLOOKUP(M38,'справочная информация'!$D$294:$E$301,2,0)</f>
        <v>#N/A</v>
      </c>
      <c r="AL38" s="3" t="e">
        <f>VLOOKUP(N38,'справочная информация'!$D$306:$E$310,2,0)</f>
        <v>#N/A</v>
      </c>
      <c r="AM38" s="169" t="str">
        <f t="shared" si="7"/>
        <v>()</v>
      </c>
      <c r="AN38" s="3" t="str">
        <f t="shared" si="8"/>
        <v/>
      </c>
      <c r="AO38" s="3" t="e">
        <f>VLOOKUP(O38,'справочная информация'!$D$329:$E$336,2,0)</f>
        <v>#N/A</v>
      </c>
      <c r="AP38" s="3" t="e">
        <f>VLOOKUP(P38,'справочная информация'!$D$342:$E$349,2,0)</f>
        <v>#N/A</v>
      </c>
      <c r="AQ38" s="3" t="e">
        <f>VLOOKUP(Q38,'справочная информация'!$D$316:$E$325,2,0)</f>
        <v>#N/A</v>
      </c>
      <c r="AR38" s="3" t="str">
        <f t="shared" si="9"/>
        <v/>
      </c>
      <c r="AS38" s="170" t="str">
        <f t="shared" si="10"/>
        <v/>
      </c>
      <c r="AT38" s="3" t="str">
        <f t="shared" si="11"/>
        <v/>
      </c>
      <c r="AU38" s="3" t="e">
        <f>ABS(MATCH($AX38,'справочная информация'!$A$354:$A$391,0)-MATCH($AY38,'справочная информация'!$A$354:$A$391,0))</f>
        <v>#N/A</v>
      </c>
      <c r="AV38" s="3" t="str">
        <f>IFERROR(INDEX('справочная информация'!$B$6:$R$29,MATCH('Расчет грейда'!$Y38,'справочная информация'!$A$6:$A$29,0),MATCH('Расчет грейда'!$X38,'справочная информация'!$B$5:$R$5,0)),"")</f>
        <v/>
      </c>
      <c r="AW38" s="171" t="str">
        <f>IFERROR(INDEX('справочная информация'!$B$37:$H$52,MATCH('Расчет грейда'!$AA38,'справочная информация'!$A$37:$A$52,0),MATCH('Расчет грейда'!$N38,'справочная информация'!$B$36:$H$36,0)),"")</f>
        <v/>
      </c>
      <c r="AX38" s="122" t="str">
        <f>IFERROR(INDEX('справочная информация'!$D$108:$AD$123,MATCH('Расчет грейда'!$AW38,'справочная информация'!$C$108:$C$123,0),MATCH('Расчет грейда'!$AV38,'справочная информация'!$D$107:$AD$107,0)),"")</f>
        <v/>
      </c>
      <c r="AY38" s="133" t="str">
        <f>IFERROR(INDEX('справочная информация'!$B$158:$Y$181,MATCH('Расчет грейда'!$AE38,'справочная информация'!$A$158:$A$181,0),MATCH('Расчет грейда'!$AD38,'справочная информация'!$B$157:$Y$157,0)),"")</f>
        <v/>
      </c>
      <c r="AZ38" s="170" t="str">
        <f t="shared" si="12"/>
        <v/>
      </c>
      <c r="BA38" s="172" t="str">
        <f>IFERROR(CONCATENATE(TEXT(AZ38/INDEX('справочная информация'!$D$223:$D$261,MATCH('Расчет грейда'!$AZ38,'справочная информация'!$C$223:$C$261,1)),"0%")," - процент относительно медианы 100%. ","MIN балл на грейде ",INDEX('справочная информация'!$C$223:$C$261,MATCH('Расчет грейда'!$AZ38,'справочная информация'!$C$223:$C$261,1)),", "," MAX балл на грейде ",INDEX('справочная информация'!$E$223:$E$261,MATCH('Расчет грейда'!$AZ38,'справочная информация'!$C$223:$C$261,1))),"")</f>
        <v/>
      </c>
      <c r="BB38" s="120" t="str">
        <f t="shared" si="13"/>
        <v/>
      </c>
      <c r="BC38" s="3" t="str">
        <f t="shared" si="14"/>
        <v/>
      </c>
      <c r="BD38" s="121" t="str">
        <f>IFERROR(VLOOKUP(BC38,'справочная информация'!$B$416:$C$424,2,0),"Проверить данные, нетипичная должность")</f>
        <v>Проверить данные, нетипичная должность</v>
      </c>
      <c r="BE38" s="3" t="str">
        <f t="shared" si="15"/>
        <v/>
      </c>
      <c r="BF38" s="3" t="str">
        <f>IFERROR(INDEX('справочная информация'!$F$223:$F$261,MATCH('Расчет грейда'!$AZ38,'справочная информация'!$C$223:$C$261,1)),"")</f>
        <v/>
      </c>
    </row>
    <row r="39" spans="1:58" s="9" customFormat="1" x14ac:dyDescent="0.35">
      <c r="A39" s="120"/>
      <c r="B39" s="122"/>
      <c r="C39" s="140"/>
      <c r="D39" s="120"/>
      <c r="E39" s="120"/>
      <c r="F39" s="120"/>
      <c r="G39" s="120"/>
      <c r="H39" s="120"/>
      <c r="J39" s="142"/>
      <c r="K39" s="142"/>
      <c r="L39" s="142"/>
      <c r="R39" s="3"/>
      <c r="S39" s="138"/>
      <c r="T39" s="3"/>
      <c r="U39" s="3"/>
      <c r="V39" s="3"/>
      <c r="W39" s="3" t="str">
        <f t="shared" si="0"/>
        <v/>
      </c>
      <c r="X39" s="9" t="str">
        <f t="shared" si="1"/>
        <v/>
      </c>
      <c r="Y39" s="9" t="str">
        <f t="shared" si="2"/>
        <v/>
      </c>
      <c r="Z39" s="3" t="e">
        <f>INDEX('справочная информация'!$U$6:$AK$29,MATCH('Расчет грейда'!$Y39,'справочная информация'!$T$6:$T$29,0),MATCH('Расчет грейда'!$X39,'справочная информация'!$U$5:$AK$5,0))</f>
        <v>#N/A</v>
      </c>
      <c r="AA39" s="9" t="str">
        <f t="shared" si="3"/>
        <v/>
      </c>
      <c r="AB39" s="3" t="e">
        <f>INDEX('справочная информация'!$B$68:$H$83,MATCH('Расчет грейда'!$AA39,'справочная информация'!$A$68:$A$83,0),MATCH('Расчет грейда'!$N39,'справочная информация'!$B$67:$H$67,0))</f>
        <v>#N/A</v>
      </c>
      <c r="AC39" s="3" t="e">
        <f>INDEX('справочная информация'!$D$130:$AD$145,MATCH('Расчет грейда'!$AW39,'справочная информация'!$C$130:$C$145,0),MATCH('Расчет грейда'!$AV39,'справочная информация'!$D$129:$AD$129,0))</f>
        <v>#N/A</v>
      </c>
      <c r="AD39" s="9" t="str">
        <f t="shared" si="4"/>
        <v/>
      </c>
      <c r="AE39" s="9" t="str">
        <f t="shared" si="5"/>
        <v/>
      </c>
      <c r="AF39" s="3" t="str">
        <f>IFERROR(IF(AND(AD39="",AE39=""),"",INDEX('справочная информация'!$B$188:$Y$211,MATCH('Расчет грейда'!$AE39,'справочная информация'!$A$188:$A$211,0),MATCH('Расчет грейда'!$AD39,'справочная информация'!$B$187:$Y$187,0))),"НЕТ")</f>
        <v/>
      </c>
      <c r="AG39" s="3" t="e">
        <f>VLOOKUP(J39,'справочная информация'!$D$267:$E$274,2,0)</f>
        <v>#N/A</v>
      </c>
      <c r="AH39" s="3" t="e">
        <f>VLOOKUP(K39,'справочная информация'!$D$279:$E$283,2,0)</f>
        <v>#N/A</v>
      </c>
      <c r="AI39" s="3" t="e">
        <f>VLOOKUP(L39,'справочная информация'!$D$288:$E$290,2,0)</f>
        <v>#N/A</v>
      </c>
      <c r="AJ39" s="3" t="str">
        <f t="shared" si="6"/>
        <v/>
      </c>
      <c r="AK39" s="169" t="e">
        <f>VLOOKUP(M39,'справочная информация'!$D$294:$E$301,2,0)</f>
        <v>#N/A</v>
      </c>
      <c r="AL39" s="3" t="e">
        <f>VLOOKUP(N39,'справочная информация'!$D$306:$E$310,2,0)</f>
        <v>#N/A</v>
      </c>
      <c r="AM39" s="169" t="str">
        <f t="shared" si="7"/>
        <v>()</v>
      </c>
      <c r="AN39" s="3" t="str">
        <f t="shared" si="8"/>
        <v/>
      </c>
      <c r="AO39" s="3" t="e">
        <f>VLOOKUP(O39,'справочная информация'!$D$329:$E$336,2,0)</f>
        <v>#N/A</v>
      </c>
      <c r="AP39" s="3" t="e">
        <f>VLOOKUP(P39,'справочная информация'!$D$342:$E$349,2,0)</f>
        <v>#N/A</v>
      </c>
      <c r="AQ39" s="3" t="e">
        <f>VLOOKUP(Q39,'справочная информация'!$D$316:$E$325,2,0)</f>
        <v>#N/A</v>
      </c>
      <c r="AR39" s="3" t="str">
        <f t="shared" si="9"/>
        <v/>
      </c>
      <c r="AS39" s="170" t="str">
        <f t="shared" si="10"/>
        <v/>
      </c>
      <c r="AT39" s="3" t="str">
        <f t="shared" si="11"/>
        <v/>
      </c>
      <c r="AU39" s="3" t="e">
        <f>ABS(MATCH($AX39,'справочная информация'!$A$354:$A$391,0)-MATCH($AY39,'справочная информация'!$A$354:$A$391,0))</f>
        <v>#N/A</v>
      </c>
      <c r="AV39" s="3" t="str">
        <f>IFERROR(INDEX('справочная информация'!$B$6:$R$29,MATCH('Расчет грейда'!$Y39,'справочная информация'!$A$6:$A$29,0),MATCH('Расчет грейда'!$X39,'справочная информация'!$B$5:$R$5,0)),"")</f>
        <v/>
      </c>
      <c r="AW39" s="171" t="str">
        <f>IFERROR(INDEX('справочная информация'!$B$37:$H$52,MATCH('Расчет грейда'!$AA39,'справочная информация'!$A$37:$A$52,0),MATCH('Расчет грейда'!$N39,'справочная информация'!$B$36:$H$36,0)),"")</f>
        <v/>
      </c>
      <c r="AX39" s="122" t="str">
        <f>IFERROR(INDEX('справочная информация'!$D$108:$AD$123,MATCH('Расчет грейда'!$AW39,'справочная информация'!$C$108:$C$123,0),MATCH('Расчет грейда'!$AV39,'справочная информация'!$D$107:$AD$107,0)),"")</f>
        <v/>
      </c>
      <c r="AY39" s="133" t="str">
        <f>IFERROR(INDEX('справочная информация'!$B$158:$Y$181,MATCH('Расчет грейда'!$AE39,'справочная информация'!$A$158:$A$181,0),MATCH('Расчет грейда'!$AD39,'справочная информация'!$B$157:$Y$157,0)),"")</f>
        <v/>
      </c>
      <c r="AZ39" s="170" t="str">
        <f t="shared" si="12"/>
        <v/>
      </c>
      <c r="BA39" s="172" t="str">
        <f>IFERROR(CONCATENATE(TEXT(AZ39/INDEX('справочная информация'!$D$223:$D$261,MATCH('Расчет грейда'!$AZ39,'справочная информация'!$C$223:$C$261,1)),"0%")," - процент относительно медианы 100%. ","MIN балл на грейде ",INDEX('справочная информация'!$C$223:$C$261,MATCH('Расчет грейда'!$AZ39,'справочная информация'!$C$223:$C$261,1)),", "," MAX балл на грейде ",INDEX('справочная информация'!$E$223:$E$261,MATCH('Расчет грейда'!$AZ39,'справочная информация'!$C$223:$C$261,1))),"")</f>
        <v/>
      </c>
      <c r="BB39" s="120" t="str">
        <f t="shared" si="13"/>
        <v/>
      </c>
      <c r="BC39" s="3" t="str">
        <f t="shared" si="14"/>
        <v/>
      </c>
      <c r="BD39" s="121" t="str">
        <f>IFERROR(VLOOKUP(BC39,'справочная информация'!$B$416:$C$424,2,0),"Проверить данные, нетипичная должность")</f>
        <v>Проверить данные, нетипичная должность</v>
      </c>
      <c r="BE39" s="3" t="str">
        <f t="shared" si="15"/>
        <v/>
      </c>
      <c r="BF39" s="3" t="str">
        <f>IFERROR(INDEX('справочная информация'!$F$223:$F$261,MATCH('Расчет грейда'!$AZ39,'справочная информация'!$C$223:$C$261,1)),"")</f>
        <v/>
      </c>
    </row>
    <row r="40" spans="1:58" s="9" customFormat="1" x14ac:dyDescent="0.35">
      <c r="A40" s="120"/>
      <c r="B40" s="122"/>
      <c r="C40" s="140"/>
      <c r="D40" s="120"/>
      <c r="E40" s="120"/>
      <c r="F40" s="120"/>
      <c r="G40" s="120"/>
      <c r="H40" s="120"/>
      <c r="J40" s="142"/>
      <c r="K40" s="142"/>
      <c r="L40" s="142"/>
      <c r="R40" s="3"/>
      <c r="S40" s="138"/>
      <c r="T40" s="3"/>
      <c r="U40" s="3"/>
      <c r="V40" s="3"/>
      <c r="W40" s="3" t="str">
        <f t="shared" si="0"/>
        <v/>
      </c>
      <c r="X40" s="9" t="str">
        <f t="shared" si="1"/>
        <v/>
      </c>
      <c r="Y40" s="9" t="str">
        <f t="shared" si="2"/>
        <v/>
      </c>
      <c r="Z40" s="3" t="e">
        <f>INDEX('справочная информация'!$U$6:$AK$29,MATCH('Расчет грейда'!$Y40,'справочная информация'!$T$6:$T$29,0),MATCH('Расчет грейда'!$X40,'справочная информация'!$U$5:$AK$5,0))</f>
        <v>#N/A</v>
      </c>
      <c r="AA40" s="9" t="str">
        <f t="shared" si="3"/>
        <v/>
      </c>
      <c r="AB40" s="3" t="e">
        <f>INDEX('справочная информация'!$B$68:$H$83,MATCH('Расчет грейда'!$AA40,'справочная информация'!$A$68:$A$83,0),MATCH('Расчет грейда'!$N40,'справочная информация'!$B$67:$H$67,0))</f>
        <v>#N/A</v>
      </c>
      <c r="AC40" s="3" t="e">
        <f>INDEX('справочная информация'!$D$130:$AD$145,MATCH('Расчет грейда'!$AW40,'справочная информация'!$C$130:$C$145,0),MATCH('Расчет грейда'!$AV40,'справочная информация'!$D$129:$AD$129,0))</f>
        <v>#N/A</v>
      </c>
      <c r="AD40" s="9" t="str">
        <f t="shared" si="4"/>
        <v/>
      </c>
      <c r="AE40" s="9" t="str">
        <f t="shared" si="5"/>
        <v/>
      </c>
      <c r="AF40" s="3" t="str">
        <f>IFERROR(IF(AND(AD40="",AE40=""),"",INDEX('справочная информация'!$B$188:$Y$211,MATCH('Расчет грейда'!$AE40,'справочная информация'!$A$188:$A$211,0),MATCH('Расчет грейда'!$AD40,'справочная информация'!$B$187:$Y$187,0))),"НЕТ")</f>
        <v/>
      </c>
      <c r="AG40" s="3" t="e">
        <f>VLOOKUP(J40,'справочная информация'!$D$267:$E$274,2,0)</f>
        <v>#N/A</v>
      </c>
      <c r="AH40" s="3" t="e">
        <f>VLOOKUP(K40,'справочная информация'!$D$279:$E$283,2,0)</f>
        <v>#N/A</v>
      </c>
      <c r="AI40" s="3" t="e">
        <f>VLOOKUP(L40,'справочная информация'!$D$288:$E$290,2,0)</f>
        <v>#N/A</v>
      </c>
      <c r="AJ40" s="3" t="str">
        <f t="shared" si="6"/>
        <v/>
      </c>
      <c r="AK40" s="169" t="e">
        <f>VLOOKUP(M40,'справочная информация'!$D$294:$E$301,2,0)</f>
        <v>#N/A</v>
      </c>
      <c r="AL40" s="3" t="e">
        <f>VLOOKUP(N40,'справочная информация'!$D$306:$E$310,2,0)</f>
        <v>#N/A</v>
      </c>
      <c r="AM40" s="169" t="str">
        <f t="shared" si="7"/>
        <v>()</v>
      </c>
      <c r="AN40" s="3" t="str">
        <f t="shared" si="8"/>
        <v/>
      </c>
      <c r="AO40" s="3" t="e">
        <f>VLOOKUP(O40,'справочная информация'!$D$329:$E$336,2,0)</f>
        <v>#N/A</v>
      </c>
      <c r="AP40" s="3" t="e">
        <f>VLOOKUP(P40,'справочная информация'!$D$342:$E$349,2,0)</f>
        <v>#N/A</v>
      </c>
      <c r="AQ40" s="3" t="e">
        <f>VLOOKUP(Q40,'справочная информация'!$D$316:$E$325,2,0)</f>
        <v>#N/A</v>
      </c>
      <c r="AR40" s="3" t="str">
        <f t="shared" si="9"/>
        <v/>
      </c>
      <c r="AS40" s="170" t="str">
        <f t="shared" si="10"/>
        <v/>
      </c>
      <c r="AT40" s="3" t="str">
        <f t="shared" si="11"/>
        <v/>
      </c>
      <c r="AU40" s="3" t="e">
        <f>ABS(MATCH($AX40,'справочная информация'!$A$354:$A$391,0)-MATCH($AY40,'справочная информация'!$A$354:$A$391,0))</f>
        <v>#N/A</v>
      </c>
      <c r="AV40" s="3" t="str">
        <f>IFERROR(INDEX('справочная информация'!$B$6:$R$29,MATCH('Расчет грейда'!$Y40,'справочная информация'!$A$6:$A$29,0),MATCH('Расчет грейда'!$X40,'справочная информация'!$B$5:$R$5,0)),"")</f>
        <v/>
      </c>
      <c r="AW40" s="171" t="str">
        <f>IFERROR(INDEX('справочная информация'!$B$37:$H$52,MATCH('Расчет грейда'!$AA40,'справочная информация'!$A$37:$A$52,0),MATCH('Расчет грейда'!$N40,'справочная информация'!$B$36:$H$36,0)),"")</f>
        <v/>
      </c>
      <c r="AX40" s="122" t="str">
        <f>IFERROR(INDEX('справочная информация'!$D$108:$AD$123,MATCH('Расчет грейда'!$AW40,'справочная информация'!$C$108:$C$123,0),MATCH('Расчет грейда'!$AV40,'справочная информация'!$D$107:$AD$107,0)),"")</f>
        <v/>
      </c>
      <c r="AY40" s="133" t="str">
        <f>IFERROR(INDEX('справочная информация'!$B$158:$Y$181,MATCH('Расчет грейда'!$AE40,'справочная информация'!$A$158:$A$181,0),MATCH('Расчет грейда'!$AD40,'справочная информация'!$B$157:$Y$157,0)),"")</f>
        <v/>
      </c>
      <c r="AZ40" s="170" t="str">
        <f t="shared" si="12"/>
        <v/>
      </c>
      <c r="BA40" s="172" t="str">
        <f>IFERROR(CONCATENATE(TEXT(AZ40/INDEX('справочная информация'!$D$223:$D$261,MATCH('Расчет грейда'!$AZ40,'справочная информация'!$C$223:$C$261,1)),"0%")," - процент относительно медианы 100%. ","MIN балл на грейде ",INDEX('справочная информация'!$C$223:$C$261,MATCH('Расчет грейда'!$AZ40,'справочная информация'!$C$223:$C$261,1)),", "," MAX балл на грейде ",INDEX('справочная информация'!$E$223:$E$261,MATCH('Расчет грейда'!$AZ40,'справочная информация'!$C$223:$C$261,1))),"")</f>
        <v/>
      </c>
      <c r="BB40" s="120" t="str">
        <f t="shared" si="13"/>
        <v/>
      </c>
      <c r="BC40" s="3" t="str">
        <f t="shared" si="14"/>
        <v/>
      </c>
      <c r="BD40" s="121" t="str">
        <f>IFERROR(VLOOKUP(BC40,'справочная информация'!$B$416:$C$424,2,0),"Проверить данные, нетипичная должность")</f>
        <v>Проверить данные, нетипичная должность</v>
      </c>
      <c r="BE40" s="3" t="str">
        <f t="shared" si="15"/>
        <v/>
      </c>
      <c r="BF40" s="3" t="str">
        <f>IFERROR(INDEX('справочная информация'!$F$223:$F$261,MATCH('Расчет грейда'!$AZ40,'справочная информация'!$C$223:$C$261,1)),"")</f>
        <v/>
      </c>
    </row>
    <row r="41" spans="1:58" s="9" customFormat="1" x14ac:dyDescent="0.35">
      <c r="A41" s="120"/>
      <c r="B41" s="122"/>
      <c r="C41" s="140"/>
      <c r="D41" s="120"/>
      <c r="E41" s="120"/>
      <c r="F41" s="120"/>
      <c r="G41" s="120"/>
      <c r="H41" s="120"/>
      <c r="J41" s="142"/>
      <c r="K41" s="142"/>
      <c r="L41" s="142"/>
      <c r="R41" s="3"/>
      <c r="S41" s="138"/>
      <c r="T41" s="3"/>
      <c r="U41" s="3"/>
      <c r="V41" s="3"/>
      <c r="W41" s="3" t="str">
        <f t="shared" si="0"/>
        <v/>
      </c>
      <c r="X41" s="9" t="str">
        <f t="shared" si="1"/>
        <v/>
      </c>
      <c r="Y41" s="9" t="str">
        <f t="shared" si="2"/>
        <v/>
      </c>
      <c r="Z41" s="3" t="e">
        <f>INDEX('справочная информация'!$U$6:$AK$29,MATCH('Расчет грейда'!$Y41,'справочная информация'!$T$6:$T$29,0),MATCH('Расчет грейда'!$X41,'справочная информация'!$U$5:$AK$5,0))</f>
        <v>#N/A</v>
      </c>
      <c r="AA41" s="9" t="str">
        <f t="shared" si="3"/>
        <v/>
      </c>
      <c r="AB41" s="3" t="e">
        <f>INDEX('справочная информация'!$B$68:$H$83,MATCH('Расчет грейда'!$AA41,'справочная информация'!$A$68:$A$83,0),MATCH('Расчет грейда'!$N41,'справочная информация'!$B$67:$H$67,0))</f>
        <v>#N/A</v>
      </c>
      <c r="AC41" s="3" t="e">
        <f>INDEX('справочная информация'!$D$130:$AD$145,MATCH('Расчет грейда'!$AW41,'справочная информация'!$C$130:$C$145,0),MATCH('Расчет грейда'!$AV41,'справочная информация'!$D$129:$AD$129,0))</f>
        <v>#N/A</v>
      </c>
      <c r="AD41" s="9" t="str">
        <f t="shared" si="4"/>
        <v/>
      </c>
      <c r="AE41" s="9" t="str">
        <f t="shared" si="5"/>
        <v/>
      </c>
      <c r="AF41" s="3" t="str">
        <f>IFERROR(IF(AND(AD41="",AE41=""),"",INDEX('справочная информация'!$B$188:$Y$211,MATCH('Расчет грейда'!$AE41,'справочная информация'!$A$188:$A$211,0),MATCH('Расчет грейда'!$AD41,'справочная информация'!$B$187:$Y$187,0))),"НЕТ")</f>
        <v/>
      </c>
      <c r="AG41" s="3" t="e">
        <f>VLOOKUP(J41,'справочная информация'!$D$267:$E$274,2,0)</f>
        <v>#N/A</v>
      </c>
      <c r="AH41" s="3" t="e">
        <f>VLOOKUP(K41,'справочная информация'!$D$279:$E$283,2,0)</f>
        <v>#N/A</v>
      </c>
      <c r="AI41" s="3" t="e">
        <f>VLOOKUP(L41,'справочная информация'!$D$288:$E$290,2,0)</f>
        <v>#N/A</v>
      </c>
      <c r="AJ41" s="3" t="str">
        <f t="shared" si="6"/>
        <v/>
      </c>
      <c r="AK41" s="169" t="e">
        <f>VLOOKUP(M41,'справочная информация'!$D$294:$E$301,2,0)</f>
        <v>#N/A</v>
      </c>
      <c r="AL41" s="3" t="e">
        <f>VLOOKUP(N41,'справочная информация'!$D$306:$E$310,2,0)</f>
        <v>#N/A</v>
      </c>
      <c r="AM41" s="169" t="str">
        <f t="shared" si="7"/>
        <v>()</v>
      </c>
      <c r="AN41" s="3" t="str">
        <f t="shared" si="8"/>
        <v/>
      </c>
      <c r="AO41" s="3" t="e">
        <f>VLOOKUP(O41,'справочная информация'!$D$329:$E$336,2,0)</f>
        <v>#N/A</v>
      </c>
      <c r="AP41" s="3" t="e">
        <f>VLOOKUP(P41,'справочная информация'!$D$342:$E$349,2,0)</f>
        <v>#N/A</v>
      </c>
      <c r="AQ41" s="3" t="e">
        <f>VLOOKUP(Q41,'справочная информация'!$D$316:$E$325,2,0)</f>
        <v>#N/A</v>
      </c>
      <c r="AR41" s="3" t="str">
        <f t="shared" si="9"/>
        <v/>
      </c>
      <c r="AS41" s="170" t="str">
        <f t="shared" si="10"/>
        <v/>
      </c>
      <c r="AT41" s="3" t="str">
        <f t="shared" si="11"/>
        <v/>
      </c>
      <c r="AU41" s="3" t="e">
        <f>ABS(MATCH($AX41,'справочная информация'!$A$354:$A$391,0)-MATCH($AY41,'справочная информация'!$A$354:$A$391,0))</f>
        <v>#N/A</v>
      </c>
      <c r="AV41" s="3" t="str">
        <f>IFERROR(INDEX('справочная информация'!$B$6:$R$29,MATCH('Расчет грейда'!$Y41,'справочная информация'!$A$6:$A$29,0),MATCH('Расчет грейда'!$X41,'справочная информация'!$B$5:$R$5,0)),"")</f>
        <v/>
      </c>
      <c r="AW41" s="171" t="str">
        <f>IFERROR(INDEX('справочная информация'!$B$37:$H$52,MATCH('Расчет грейда'!$AA41,'справочная информация'!$A$37:$A$52,0),MATCH('Расчет грейда'!$N41,'справочная информация'!$B$36:$H$36,0)),"")</f>
        <v/>
      </c>
      <c r="AX41" s="122" t="str">
        <f>IFERROR(INDEX('справочная информация'!$D$108:$AD$123,MATCH('Расчет грейда'!$AW41,'справочная информация'!$C$108:$C$123,0),MATCH('Расчет грейда'!$AV41,'справочная информация'!$D$107:$AD$107,0)),"")</f>
        <v/>
      </c>
      <c r="AY41" s="133" t="str">
        <f>IFERROR(INDEX('справочная информация'!$B$158:$Y$181,MATCH('Расчет грейда'!$AE41,'справочная информация'!$A$158:$A$181,0),MATCH('Расчет грейда'!$AD41,'справочная информация'!$B$157:$Y$157,0)),"")</f>
        <v/>
      </c>
      <c r="AZ41" s="170" t="str">
        <f t="shared" si="12"/>
        <v/>
      </c>
      <c r="BA41" s="172" t="str">
        <f>IFERROR(CONCATENATE(TEXT(AZ41/INDEX('справочная информация'!$D$223:$D$261,MATCH('Расчет грейда'!$AZ41,'справочная информация'!$C$223:$C$261,1)),"0%")," - процент относительно медианы 100%. ","MIN балл на грейде ",INDEX('справочная информация'!$C$223:$C$261,MATCH('Расчет грейда'!$AZ41,'справочная информация'!$C$223:$C$261,1)),", "," MAX балл на грейде ",INDEX('справочная информация'!$E$223:$E$261,MATCH('Расчет грейда'!$AZ41,'справочная информация'!$C$223:$C$261,1))),"")</f>
        <v/>
      </c>
      <c r="BB41" s="120" t="str">
        <f t="shared" si="13"/>
        <v/>
      </c>
      <c r="BC41" s="3" t="str">
        <f t="shared" si="14"/>
        <v/>
      </c>
      <c r="BD41" s="121" t="str">
        <f>IFERROR(VLOOKUP(BC41,'справочная информация'!$B$416:$C$424,2,0),"Проверить данные, нетипичная должность")</f>
        <v>Проверить данные, нетипичная должность</v>
      </c>
      <c r="BE41" s="3" t="str">
        <f t="shared" si="15"/>
        <v/>
      </c>
      <c r="BF41" s="3" t="str">
        <f>IFERROR(INDEX('справочная информация'!$F$223:$F$261,MATCH('Расчет грейда'!$AZ41,'справочная информация'!$C$223:$C$261,1)),"")</f>
        <v/>
      </c>
    </row>
    <row r="42" spans="1:58" s="9" customFormat="1" x14ac:dyDescent="0.35">
      <c r="A42" s="120"/>
      <c r="B42" s="122"/>
      <c r="C42" s="140"/>
      <c r="D42" s="120"/>
      <c r="E42" s="120"/>
      <c r="F42" s="120"/>
      <c r="G42" s="120"/>
      <c r="H42" s="120"/>
      <c r="J42" s="142"/>
      <c r="K42" s="142"/>
      <c r="L42" s="142"/>
      <c r="R42" s="3"/>
      <c r="S42" s="138"/>
      <c r="T42" s="3"/>
      <c r="U42" s="3"/>
      <c r="V42" s="3"/>
      <c r="W42" s="3" t="str">
        <f t="shared" si="0"/>
        <v/>
      </c>
      <c r="X42" s="9" t="str">
        <f t="shared" si="1"/>
        <v/>
      </c>
      <c r="Y42" s="9" t="str">
        <f t="shared" si="2"/>
        <v/>
      </c>
      <c r="Z42" s="3" t="e">
        <f>INDEX('справочная информация'!$U$6:$AK$29,MATCH('Расчет грейда'!$Y42,'справочная информация'!$T$6:$T$29,0),MATCH('Расчет грейда'!$X42,'справочная информация'!$U$5:$AK$5,0))</f>
        <v>#N/A</v>
      </c>
      <c r="AA42" s="9" t="str">
        <f t="shared" si="3"/>
        <v/>
      </c>
      <c r="AB42" s="3" t="e">
        <f>INDEX('справочная информация'!$B$68:$H$83,MATCH('Расчет грейда'!$AA42,'справочная информация'!$A$68:$A$83,0),MATCH('Расчет грейда'!$N42,'справочная информация'!$B$67:$H$67,0))</f>
        <v>#N/A</v>
      </c>
      <c r="AC42" s="3" t="e">
        <f>INDEX('справочная информация'!$D$130:$AD$145,MATCH('Расчет грейда'!$AW42,'справочная информация'!$C$130:$C$145,0),MATCH('Расчет грейда'!$AV42,'справочная информация'!$D$129:$AD$129,0))</f>
        <v>#N/A</v>
      </c>
      <c r="AD42" s="9" t="str">
        <f t="shared" si="4"/>
        <v/>
      </c>
      <c r="AE42" s="9" t="str">
        <f t="shared" si="5"/>
        <v/>
      </c>
      <c r="AF42" s="3" t="str">
        <f>IFERROR(IF(AND(AD42="",AE42=""),"",INDEX('справочная информация'!$B$188:$Y$211,MATCH('Расчет грейда'!$AE42,'справочная информация'!$A$188:$A$211,0),MATCH('Расчет грейда'!$AD42,'справочная информация'!$B$187:$Y$187,0))),"НЕТ")</f>
        <v/>
      </c>
      <c r="AG42" s="3" t="e">
        <f>VLOOKUP(J42,'справочная информация'!$D$267:$E$274,2,0)</f>
        <v>#N/A</v>
      </c>
      <c r="AH42" s="3" t="e">
        <f>VLOOKUP(K42,'справочная информация'!$D$279:$E$283,2,0)</f>
        <v>#N/A</v>
      </c>
      <c r="AI42" s="3" t="e">
        <f>VLOOKUP(L42,'справочная информация'!$D$288:$E$290,2,0)</f>
        <v>#N/A</v>
      </c>
      <c r="AJ42" s="3" t="str">
        <f t="shared" si="6"/>
        <v/>
      </c>
      <c r="AK42" s="169" t="e">
        <f>VLOOKUP(M42,'справочная информация'!$D$294:$E$301,2,0)</f>
        <v>#N/A</v>
      </c>
      <c r="AL42" s="3" t="e">
        <f>VLOOKUP(N42,'справочная информация'!$D$306:$E$310,2,0)</f>
        <v>#N/A</v>
      </c>
      <c r="AM42" s="169" t="str">
        <f t="shared" si="7"/>
        <v>()</v>
      </c>
      <c r="AN42" s="3" t="str">
        <f t="shared" si="8"/>
        <v/>
      </c>
      <c r="AO42" s="3" t="e">
        <f>VLOOKUP(O42,'справочная информация'!$D$329:$E$336,2,0)</f>
        <v>#N/A</v>
      </c>
      <c r="AP42" s="3" t="e">
        <f>VLOOKUP(P42,'справочная информация'!$D$342:$E$349,2,0)</f>
        <v>#N/A</v>
      </c>
      <c r="AQ42" s="3" t="e">
        <f>VLOOKUP(Q42,'справочная информация'!$D$316:$E$325,2,0)</f>
        <v>#N/A</v>
      </c>
      <c r="AR42" s="3" t="str">
        <f t="shared" si="9"/>
        <v/>
      </c>
      <c r="AS42" s="170" t="str">
        <f t="shared" si="10"/>
        <v/>
      </c>
      <c r="AT42" s="3" t="str">
        <f t="shared" si="11"/>
        <v/>
      </c>
      <c r="AU42" s="3" t="e">
        <f>ABS(MATCH($AX42,'справочная информация'!$A$354:$A$391,0)-MATCH($AY42,'справочная информация'!$A$354:$A$391,0))</f>
        <v>#N/A</v>
      </c>
      <c r="AV42" s="3" t="str">
        <f>IFERROR(INDEX('справочная информация'!$B$6:$R$29,MATCH('Расчет грейда'!$Y42,'справочная информация'!$A$6:$A$29,0),MATCH('Расчет грейда'!$X42,'справочная информация'!$B$5:$R$5,0)),"")</f>
        <v/>
      </c>
      <c r="AW42" s="171" t="str">
        <f>IFERROR(INDEX('справочная информация'!$B$37:$H$52,MATCH('Расчет грейда'!$AA42,'справочная информация'!$A$37:$A$52,0),MATCH('Расчет грейда'!$N42,'справочная информация'!$B$36:$H$36,0)),"")</f>
        <v/>
      </c>
      <c r="AX42" s="122" t="str">
        <f>IFERROR(INDEX('справочная информация'!$D$108:$AD$123,MATCH('Расчет грейда'!$AW42,'справочная информация'!$C$108:$C$123,0),MATCH('Расчет грейда'!$AV42,'справочная информация'!$D$107:$AD$107,0)),"")</f>
        <v/>
      </c>
      <c r="AY42" s="133" t="str">
        <f>IFERROR(INDEX('справочная информация'!$B$158:$Y$181,MATCH('Расчет грейда'!$AE42,'справочная информация'!$A$158:$A$181,0),MATCH('Расчет грейда'!$AD42,'справочная информация'!$B$157:$Y$157,0)),"")</f>
        <v/>
      </c>
      <c r="AZ42" s="170" t="str">
        <f t="shared" si="12"/>
        <v/>
      </c>
      <c r="BA42" s="172" t="str">
        <f>IFERROR(CONCATENATE(TEXT(AZ42/INDEX('справочная информация'!$D$223:$D$261,MATCH('Расчет грейда'!$AZ42,'справочная информация'!$C$223:$C$261,1)),"0%")," - процент относительно медианы 100%. ","MIN балл на грейде ",INDEX('справочная информация'!$C$223:$C$261,MATCH('Расчет грейда'!$AZ42,'справочная информация'!$C$223:$C$261,1)),", "," MAX балл на грейде ",INDEX('справочная информация'!$E$223:$E$261,MATCH('Расчет грейда'!$AZ42,'справочная информация'!$C$223:$C$261,1))),"")</f>
        <v/>
      </c>
      <c r="BB42" s="120" t="str">
        <f t="shared" si="13"/>
        <v/>
      </c>
      <c r="BC42" s="3" t="str">
        <f t="shared" si="14"/>
        <v/>
      </c>
      <c r="BD42" s="121" t="str">
        <f>IFERROR(VLOOKUP(BC42,'справочная информация'!$B$416:$C$424,2,0),"Проверить данные, нетипичная должность")</f>
        <v>Проверить данные, нетипичная должность</v>
      </c>
      <c r="BE42" s="3" t="str">
        <f t="shared" si="15"/>
        <v/>
      </c>
      <c r="BF42" s="3" t="str">
        <f>IFERROR(INDEX('справочная информация'!$F$223:$F$261,MATCH('Расчет грейда'!$AZ42,'справочная информация'!$C$223:$C$261,1)),"")</f>
        <v/>
      </c>
    </row>
    <row r="43" spans="1:58" s="9" customFormat="1" x14ac:dyDescent="0.35">
      <c r="A43" s="120"/>
      <c r="B43" s="122"/>
      <c r="C43" s="140"/>
      <c r="D43" s="120"/>
      <c r="E43" s="120"/>
      <c r="F43" s="120"/>
      <c r="G43" s="120"/>
      <c r="H43" s="120"/>
      <c r="J43" s="142"/>
      <c r="K43" s="142"/>
      <c r="L43" s="142"/>
      <c r="R43" s="3"/>
      <c r="S43" s="138"/>
      <c r="T43" s="3"/>
      <c r="U43" s="3"/>
      <c r="V43" s="3"/>
      <c r="W43" s="3" t="str">
        <f t="shared" si="0"/>
        <v/>
      </c>
      <c r="X43" s="9" t="str">
        <f t="shared" si="1"/>
        <v/>
      </c>
      <c r="Y43" s="9" t="str">
        <f t="shared" si="2"/>
        <v/>
      </c>
      <c r="Z43" s="3" t="e">
        <f>INDEX('справочная информация'!$U$6:$AK$29,MATCH('Расчет грейда'!$Y43,'справочная информация'!$T$6:$T$29,0),MATCH('Расчет грейда'!$X43,'справочная информация'!$U$5:$AK$5,0))</f>
        <v>#N/A</v>
      </c>
      <c r="AA43" s="9" t="str">
        <f t="shared" si="3"/>
        <v/>
      </c>
      <c r="AB43" s="3" t="e">
        <f>INDEX('справочная информация'!$B$68:$H$83,MATCH('Расчет грейда'!$AA43,'справочная информация'!$A$68:$A$83,0),MATCH('Расчет грейда'!$N43,'справочная информация'!$B$67:$H$67,0))</f>
        <v>#N/A</v>
      </c>
      <c r="AC43" s="3" t="e">
        <f>INDEX('справочная информация'!$D$130:$AD$145,MATCH('Расчет грейда'!$AW43,'справочная информация'!$C$130:$C$145,0),MATCH('Расчет грейда'!$AV43,'справочная информация'!$D$129:$AD$129,0))</f>
        <v>#N/A</v>
      </c>
      <c r="AD43" s="9" t="str">
        <f t="shared" si="4"/>
        <v/>
      </c>
      <c r="AE43" s="9" t="str">
        <f t="shared" si="5"/>
        <v/>
      </c>
      <c r="AF43" s="3" t="str">
        <f>IFERROR(IF(AND(AD43="",AE43=""),"",INDEX('справочная информация'!$B$188:$Y$211,MATCH('Расчет грейда'!$AE43,'справочная информация'!$A$188:$A$211,0),MATCH('Расчет грейда'!$AD43,'справочная информация'!$B$187:$Y$187,0))),"НЕТ")</f>
        <v/>
      </c>
      <c r="AG43" s="3" t="e">
        <f>VLOOKUP(J43,'справочная информация'!$D$267:$E$274,2,0)</f>
        <v>#N/A</v>
      </c>
      <c r="AH43" s="3" t="e">
        <f>VLOOKUP(K43,'справочная информация'!$D$279:$E$283,2,0)</f>
        <v>#N/A</v>
      </c>
      <c r="AI43" s="3" t="e">
        <f>VLOOKUP(L43,'справочная информация'!$D$288:$E$290,2,0)</f>
        <v>#N/A</v>
      </c>
      <c r="AJ43" s="3" t="str">
        <f t="shared" si="6"/>
        <v/>
      </c>
      <c r="AK43" s="169" t="e">
        <f>VLOOKUP(M43,'справочная информация'!$D$294:$E$301,2,0)</f>
        <v>#N/A</v>
      </c>
      <c r="AL43" s="3" t="e">
        <f>VLOOKUP(N43,'справочная информация'!$D$306:$E$310,2,0)</f>
        <v>#N/A</v>
      </c>
      <c r="AM43" s="169" t="str">
        <f t="shared" si="7"/>
        <v>()</v>
      </c>
      <c r="AN43" s="3" t="str">
        <f t="shared" si="8"/>
        <v/>
      </c>
      <c r="AO43" s="3" t="e">
        <f>VLOOKUP(O43,'справочная информация'!$D$329:$E$336,2,0)</f>
        <v>#N/A</v>
      </c>
      <c r="AP43" s="3" t="e">
        <f>VLOOKUP(P43,'справочная информация'!$D$342:$E$349,2,0)</f>
        <v>#N/A</v>
      </c>
      <c r="AQ43" s="3" t="e">
        <f>VLOOKUP(Q43,'справочная информация'!$D$316:$E$325,2,0)</f>
        <v>#N/A</v>
      </c>
      <c r="AR43" s="3" t="str">
        <f t="shared" si="9"/>
        <v/>
      </c>
      <c r="AS43" s="170" t="str">
        <f t="shared" si="10"/>
        <v/>
      </c>
      <c r="AT43" s="3" t="str">
        <f t="shared" si="11"/>
        <v/>
      </c>
      <c r="AU43" s="3" t="e">
        <f>ABS(MATCH($AX43,'справочная информация'!$A$354:$A$391,0)-MATCH($AY43,'справочная информация'!$A$354:$A$391,0))</f>
        <v>#N/A</v>
      </c>
      <c r="AV43" s="3" t="str">
        <f>IFERROR(INDEX('справочная информация'!$B$6:$R$29,MATCH('Расчет грейда'!$Y43,'справочная информация'!$A$6:$A$29,0),MATCH('Расчет грейда'!$X43,'справочная информация'!$B$5:$R$5,0)),"")</f>
        <v/>
      </c>
      <c r="AW43" s="171" t="str">
        <f>IFERROR(INDEX('справочная информация'!$B$37:$H$52,MATCH('Расчет грейда'!$AA43,'справочная информация'!$A$37:$A$52,0),MATCH('Расчет грейда'!$N43,'справочная информация'!$B$36:$H$36,0)),"")</f>
        <v/>
      </c>
      <c r="AX43" s="122" t="str">
        <f>IFERROR(INDEX('справочная информация'!$D$108:$AD$123,MATCH('Расчет грейда'!$AW43,'справочная информация'!$C$108:$C$123,0),MATCH('Расчет грейда'!$AV43,'справочная информация'!$D$107:$AD$107,0)),"")</f>
        <v/>
      </c>
      <c r="AY43" s="133" t="str">
        <f>IFERROR(INDEX('справочная информация'!$B$158:$Y$181,MATCH('Расчет грейда'!$AE43,'справочная информация'!$A$158:$A$181,0),MATCH('Расчет грейда'!$AD43,'справочная информация'!$B$157:$Y$157,0)),"")</f>
        <v/>
      </c>
      <c r="AZ43" s="170" t="str">
        <f t="shared" si="12"/>
        <v/>
      </c>
      <c r="BA43" s="172" t="str">
        <f>IFERROR(CONCATENATE(TEXT(AZ43/INDEX('справочная информация'!$D$223:$D$261,MATCH('Расчет грейда'!$AZ43,'справочная информация'!$C$223:$C$261,1)),"0%")," - процент относительно медианы 100%. ","MIN балл на грейде ",INDEX('справочная информация'!$C$223:$C$261,MATCH('Расчет грейда'!$AZ43,'справочная информация'!$C$223:$C$261,1)),", "," MAX балл на грейде ",INDEX('справочная информация'!$E$223:$E$261,MATCH('Расчет грейда'!$AZ43,'справочная информация'!$C$223:$C$261,1))),"")</f>
        <v/>
      </c>
      <c r="BB43" s="120" t="str">
        <f t="shared" si="13"/>
        <v/>
      </c>
      <c r="BC43" s="3" t="str">
        <f t="shared" si="14"/>
        <v/>
      </c>
      <c r="BD43" s="121" t="str">
        <f>IFERROR(VLOOKUP(BC43,'справочная информация'!$B$416:$C$424,2,0),"Проверить данные, нетипичная должность")</f>
        <v>Проверить данные, нетипичная должность</v>
      </c>
      <c r="BE43" s="3" t="str">
        <f t="shared" si="15"/>
        <v/>
      </c>
      <c r="BF43" s="3" t="str">
        <f>IFERROR(INDEX('справочная информация'!$F$223:$F$261,MATCH('Расчет грейда'!$AZ43,'справочная информация'!$C$223:$C$261,1)),"")</f>
        <v/>
      </c>
    </row>
    <row r="44" spans="1:58" s="9" customFormat="1" x14ac:dyDescent="0.35">
      <c r="A44" s="120"/>
      <c r="B44" s="122"/>
      <c r="C44" s="140"/>
      <c r="D44" s="120"/>
      <c r="E44" s="120"/>
      <c r="F44" s="120"/>
      <c r="G44" s="120"/>
      <c r="H44" s="120"/>
      <c r="J44" s="142"/>
      <c r="K44" s="142"/>
      <c r="L44" s="142"/>
      <c r="R44" s="3"/>
      <c r="S44" s="138"/>
      <c r="T44" s="3"/>
      <c r="U44" s="3"/>
      <c r="V44" s="3"/>
      <c r="W44" s="3" t="str">
        <f t="shared" si="0"/>
        <v/>
      </c>
      <c r="X44" s="9" t="str">
        <f t="shared" si="1"/>
        <v/>
      </c>
      <c r="Y44" s="9" t="str">
        <f t="shared" si="2"/>
        <v/>
      </c>
      <c r="Z44" s="3" t="e">
        <f>INDEX('справочная информация'!$U$6:$AK$29,MATCH('Расчет грейда'!$Y44,'справочная информация'!$T$6:$T$29,0),MATCH('Расчет грейда'!$X44,'справочная информация'!$U$5:$AK$5,0))</f>
        <v>#N/A</v>
      </c>
      <c r="AA44" s="9" t="str">
        <f t="shared" si="3"/>
        <v/>
      </c>
      <c r="AB44" s="3" t="e">
        <f>INDEX('справочная информация'!$B$68:$H$83,MATCH('Расчет грейда'!$AA44,'справочная информация'!$A$68:$A$83,0),MATCH('Расчет грейда'!$N44,'справочная информация'!$B$67:$H$67,0))</f>
        <v>#N/A</v>
      </c>
      <c r="AC44" s="3" t="e">
        <f>INDEX('справочная информация'!$D$130:$AD$145,MATCH('Расчет грейда'!$AW44,'справочная информация'!$C$130:$C$145,0),MATCH('Расчет грейда'!$AV44,'справочная информация'!$D$129:$AD$129,0))</f>
        <v>#N/A</v>
      </c>
      <c r="AD44" s="9" t="str">
        <f t="shared" si="4"/>
        <v/>
      </c>
      <c r="AE44" s="9" t="str">
        <f t="shared" si="5"/>
        <v/>
      </c>
      <c r="AF44" s="3" t="str">
        <f>IFERROR(IF(AND(AD44="",AE44=""),"",INDEX('справочная информация'!$B$188:$Y$211,MATCH('Расчет грейда'!$AE44,'справочная информация'!$A$188:$A$211,0),MATCH('Расчет грейда'!$AD44,'справочная информация'!$B$187:$Y$187,0))),"НЕТ")</f>
        <v/>
      </c>
      <c r="AG44" s="3" t="e">
        <f>VLOOKUP(J44,'справочная информация'!$D$267:$E$274,2,0)</f>
        <v>#N/A</v>
      </c>
      <c r="AH44" s="3" t="e">
        <f>VLOOKUP(K44,'справочная информация'!$D$279:$E$283,2,0)</f>
        <v>#N/A</v>
      </c>
      <c r="AI44" s="3" t="e">
        <f>VLOOKUP(L44,'справочная информация'!$D$288:$E$290,2,0)</f>
        <v>#N/A</v>
      </c>
      <c r="AJ44" s="3" t="str">
        <f t="shared" si="6"/>
        <v/>
      </c>
      <c r="AK44" s="169" t="e">
        <f>VLOOKUP(M44,'справочная информация'!$D$294:$E$301,2,0)</f>
        <v>#N/A</v>
      </c>
      <c r="AL44" s="3" t="e">
        <f>VLOOKUP(N44,'справочная информация'!$D$306:$E$310,2,0)</f>
        <v>#N/A</v>
      </c>
      <c r="AM44" s="169" t="str">
        <f t="shared" si="7"/>
        <v>()</v>
      </c>
      <c r="AN44" s="3" t="str">
        <f t="shared" si="8"/>
        <v/>
      </c>
      <c r="AO44" s="3" t="e">
        <f>VLOOKUP(O44,'справочная информация'!$D$329:$E$336,2,0)</f>
        <v>#N/A</v>
      </c>
      <c r="AP44" s="3" t="e">
        <f>VLOOKUP(P44,'справочная информация'!$D$342:$E$349,2,0)</f>
        <v>#N/A</v>
      </c>
      <c r="AQ44" s="3" t="e">
        <f>VLOOKUP(Q44,'справочная информация'!$D$316:$E$325,2,0)</f>
        <v>#N/A</v>
      </c>
      <c r="AR44" s="3" t="str">
        <f t="shared" si="9"/>
        <v/>
      </c>
      <c r="AS44" s="170" t="str">
        <f t="shared" si="10"/>
        <v/>
      </c>
      <c r="AT44" s="3" t="str">
        <f t="shared" si="11"/>
        <v/>
      </c>
      <c r="AU44" s="3" t="e">
        <f>ABS(MATCH($AX44,'справочная информация'!$A$354:$A$391,0)-MATCH($AY44,'справочная информация'!$A$354:$A$391,0))</f>
        <v>#N/A</v>
      </c>
      <c r="AV44" s="3" t="str">
        <f>IFERROR(INDEX('справочная информация'!$B$6:$R$29,MATCH('Расчет грейда'!$Y44,'справочная информация'!$A$6:$A$29,0),MATCH('Расчет грейда'!$X44,'справочная информация'!$B$5:$R$5,0)),"")</f>
        <v/>
      </c>
      <c r="AW44" s="171" t="str">
        <f>IFERROR(INDEX('справочная информация'!$B$37:$H$52,MATCH('Расчет грейда'!$AA44,'справочная информация'!$A$37:$A$52,0),MATCH('Расчет грейда'!$N44,'справочная информация'!$B$36:$H$36,0)),"")</f>
        <v/>
      </c>
      <c r="AX44" s="122" t="str">
        <f>IFERROR(INDEX('справочная информация'!$D$108:$AD$123,MATCH('Расчет грейда'!$AW44,'справочная информация'!$C$108:$C$123,0),MATCH('Расчет грейда'!$AV44,'справочная информация'!$D$107:$AD$107,0)),"")</f>
        <v/>
      </c>
      <c r="AY44" s="133" t="str">
        <f>IFERROR(INDEX('справочная информация'!$B$158:$Y$181,MATCH('Расчет грейда'!$AE44,'справочная информация'!$A$158:$A$181,0),MATCH('Расчет грейда'!$AD44,'справочная информация'!$B$157:$Y$157,0)),"")</f>
        <v/>
      </c>
      <c r="AZ44" s="170" t="str">
        <f t="shared" si="12"/>
        <v/>
      </c>
      <c r="BA44" s="172" t="str">
        <f>IFERROR(CONCATENATE(TEXT(AZ44/INDEX('справочная информация'!$D$223:$D$261,MATCH('Расчет грейда'!$AZ44,'справочная информация'!$C$223:$C$261,1)),"0%")," - процент относительно медианы 100%. ","MIN балл на грейде ",INDEX('справочная информация'!$C$223:$C$261,MATCH('Расчет грейда'!$AZ44,'справочная информация'!$C$223:$C$261,1)),", "," MAX балл на грейде ",INDEX('справочная информация'!$E$223:$E$261,MATCH('Расчет грейда'!$AZ44,'справочная информация'!$C$223:$C$261,1))),"")</f>
        <v/>
      </c>
      <c r="BB44" s="120" t="str">
        <f t="shared" si="13"/>
        <v/>
      </c>
      <c r="BC44" s="3" t="str">
        <f t="shared" si="14"/>
        <v/>
      </c>
      <c r="BD44" s="121" t="str">
        <f>IFERROR(VLOOKUP(BC44,'справочная информация'!$B$416:$C$424,2,0),"Проверить данные, нетипичная должность")</f>
        <v>Проверить данные, нетипичная должность</v>
      </c>
      <c r="BE44" s="3" t="str">
        <f t="shared" si="15"/>
        <v/>
      </c>
      <c r="BF44" s="3" t="str">
        <f>IFERROR(INDEX('справочная информация'!$F$223:$F$261,MATCH('Расчет грейда'!$AZ44,'справочная информация'!$C$223:$C$261,1)),"")</f>
        <v/>
      </c>
    </row>
    <row r="45" spans="1:58" s="9" customFormat="1" x14ac:dyDescent="0.35">
      <c r="A45" s="120"/>
      <c r="B45" s="122"/>
      <c r="C45" s="140"/>
      <c r="D45" s="120"/>
      <c r="E45" s="120"/>
      <c r="F45" s="120"/>
      <c r="G45" s="120"/>
      <c r="H45" s="120"/>
      <c r="J45" s="142"/>
      <c r="K45" s="142"/>
      <c r="L45" s="142"/>
      <c r="R45" s="3"/>
      <c r="S45" s="138"/>
      <c r="T45" s="3"/>
      <c r="U45" s="3"/>
      <c r="V45" s="3"/>
      <c r="W45" s="3" t="str">
        <f t="shared" si="0"/>
        <v/>
      </c>
      <c r="X45" s="9" t="str">
        <f t="shared" si="1"/>
        <v/>
      </c>
      <c r="Y45" s="9" t="str">
        <f t="shared" si="2"/>
        <v/>
      </c>
      <c r="Z45" s="3" t="e">
        <f>INDEX('справочная информация'!$U$6:$AK$29,MATCH('Расчет грейда'!$Y45,'справочная информация'!$T$6:$T$29,0),MATCH('Расчет грейда'!$X45,'справочная информация'!$U$5:$AK$5,0))</f>
        <v>#N/A</v>
      </c>
      <c r="AA45" s="9" t="str">
        <f t="shared" si="3"/>
        <v/>
      </c>
      <c r="AB45" s="3" t="e">
        <f>INDEX('справочная информация'!$B$68:$H$83,MATCH('Расчет грейда'!$AA45,'справочная информация'!$A$68:$A$83,0),MATCH('Расчет грейда'!$N45,'справочная информация'!$B$67:$H$67,0))</f>
        <v>#N/A</v>
      </c>
      <c r="AC45" s="3" t="e">
        <f>INDEX('справочная информация'!$D$130:$AD$145,MATCH('Расчет грейда'!$AW45,'справочная информация'!$C$130:$C$145,0),MATCH('Расчет грейда'!$AV45,'справочная информация'!$D$129:$AD$129,0))</f>
        <v>#N/A</v>
      </c>
      <c r="AD45" s="9" t="str">
        <f t="shared" si="4"/>
        <v/>
      </c>
      <c r="AE45" s="9" t="str">
        <f t="shared" si="5"/>
        <v/>
      </c>
      <c r="AF45" s="3" t="str">
        <f>IFERROR(IF(AND(AD45="",AE45=""),"",INDEX('справочная информация'!$B$188:$Y$211,MATCH('Расчет грейда'!$AE45,'справочная информация'!$A$188:$A$211,0),MATCH('Расчет грейда'!$AD45,'справочная информация'!$B$187:$Y$187,0))),"НЕТ")</f>
        <v/>
      </c>
      <c r="AG45" s="3" t="e">
        <f>VLOOKUP(J45,'справочная информация'!$D$267:$E$274,2,0)</f>
        <v>#N/A</v>
      </c>
      <c r="AH45" s="3" t="e">
        <f>VLOOKUP(K45,'справочная информация'!$D$279:$E$283,2,0)</f>
        <v>#N/A</v>
      </c>
      <c r="AI45" s="3" t="e">
        <f>VLOOKUP(L45,'справочная информация'!$D$288:$E$290,2,0)</f>
        <v>#N/A</v>
      </c>
      <c r="AJ45" s="3" t="str">
        <f t="shared" si="6"/>
        <v/>
      </c>
      <c r="AK45" s="169" t="e">
        <f>VLOOKUP(M45,'справочная информация'!$D$294:$E$301,2,0)</f>
        <v>#N/A</v>
      </c>
      <c r="AL45" s="3" t="e">
        <f>VLOOKUP(N45,'справочная информация'!$D$306:$E$310,2,0)</f>
        <v>#N/A</v>
      </c>
      <c r="AM45" s="169" t="str">
        <f t="shared" si="7"/>
        <v>()</v>
      </c>
      <c r="AN45" s="3" t="str">
        <f t="shared" si="8"/>
        <v/>
      </c>
      <c r="AO45" s="3" t="e">
        <f>VLOOKUP(O45,'справочная информация'!$D$329:$E$336,2,0)</f>
        <v>#N/A</v>
      </c>
      <c r="AP45" s="3" t="e">
        <f>VLOOKUP(P45,'справочная информация'!$D$342:$E$349,2,0)</f>
        <v>#N/A</v>
      </c>
      <c r="AQ45" s="3" t="e">
        <f>VLOOKUP(Q45,'справочная информация'!$D$316:$E$325,2,0)</f>
        <v>#N/A</v>
      </c>
      <c r="AR45" s="3" t="str">
        <f t="shared" si="9"/>
        <v/>
      </c>
      <c r="AS45" s="170" t="str">
        <f t="shared" si="10"/>
        <v/>
      </c>
      <c r="AT45" s="3" t="str">
        <f t="shared" si="11"/>
        <v/>
      </c>
      <c r="AU45" s="3" t="e">
        <f>ABS(MATCH($AX45,'справочная информация'!$A$354:$A$391,0)-MATCH($AY45,'справочная информация'!$A$354:$A$391,0))</f>
        <v>#N/A</v>
      </c>
      <c r="AV45" s="3" t="str">
        <f>IFERROR(INDEX('справочная информация'!$B$6:$R$29,MATCH('Расчет грейда'!$Y45,'справочная информация'!$A$6:$A$29,0),MATCH('Расчет грейда'!$X45,'справочная информация'!$B$5:$R$5,0)),"")</f>
        <v/>
      </c>
      <c r="AW45" s="171" t="str">
        <f>IFERROR(INDEX('справочная информация'!$B$37:$H$52,MATCH('Расчет грейда'!$AA45,'справочная информация'!$A$37:$A$52,0),MATCH('Расчет грейда'!$N45,'справочная информация'!$B$36:$H$36,0)),"")</f>
        <v/>
      </c>
      <c r="AX45" s="122" t="str">
        <f>IFERROR(INDEX('справочная информация'!$D$108:$AD$123,MATCH('Расчет грейда'!$AW45,'справочная информация'!$C$108:$C$123,0),MATCH('Расчет грейда'!$AV45,'справочная информация'!$D$107:$AD$107,0)),"")</f>
        <v/>
      </c>
      <c r="AY45" s="133" t="str">
        <f>IFERROR(INDEX('справочная информация'!$B$158:$Y$181,MATCH('Расчет грейда'!$AE45,'справочная информация'!$A$158:$A$181,0),MATCH('Расчет грейда'!$AD45,'справочная информация'!$B$157:$Y$157,0)),"")</f>
        <v/>
      </c>
      <c r="AZ45" s="170" t="str">
        <f t="shared" si="12"/>
        <v/>
      </c>
      <c r="BA45" s="172" t="str">
        <f>IFERROR(CONCATENATE(TEXT(AZ45/INDEX('справочная информация'!$D$223:$D$261,MATCH('Расчет грейда'!$AZ45,'справочная информация'!$C$223:$C$261,1)),"0%")," - процент относительно медианы 100%. ","MIN балл на грейде ",INDEX('справочная информация'!$C$223:$C$261,MATCH('Расчет грейда'!$AZ45,'справочная информация'!$C$223:$C$261,1)),", "," MAX балл на грейде ",INDEX('справочная информация'!$E$223:$E$261,MATCH('Расчет грейда'!$AZ45,'справочная информация'!$C$223:$C$261,1))),"")</f>
        <v/>
      </c>
      <c r="BB45" s="120" t="str">
        <f t="shared" si="13"/>
        <v/>
      </c>
      <c r="BC45" s="3" t="str">
        <f t="shared" si="14"/>
        <v/>
      </c>
      <c r="BD45" s="121" t="str">
        <f>IFERROR(VLOOKUP(BC45,'справочная информация'!$B$416:$C$424,2,0),"Проверить данные, нетипичная должность")</f>
        <v>Проверить данные, нетипичная должность</v>
      </c>
      <c r="BE45" s="3" t="str">
        <f t="shared" si="15"/>
        <v/>
      </c>
      <c r="BF45" s="3" t="str">
        <f>IFERROR(INDEX('справочная информация'!$F$223:$F$261,MATCH('Расчет грейда'!$AZ45,'справочная информация'!$C$223:$C$261,1)),"")</f>
        <v/>
      </c>
    </row>
    <row r="46" spans="1:58" s="9" customFormat="1" x14ac:dyDescent="0.35">
      <c r="A46" s="120"/>
      <c r="B46" s="122"/>
      <c r="C46" s="140"/>
      <c r="D46" s="120"/>
      <c r="E46" s="120"/>
      <c r="F46" s="120"/>
      <c r="G46" s="120"/>
      <c r="H46" s="120"/>
      <c r="J46" s="142"/>
      <c r="K46" s="142"/>
      <c r="L46" s="142"/>
      <c r="R46" s="3"/>
      <c r="S46" s="138"/>
      <c r="T46" s="3"/>
      <c r="U46" s="3"/>
      <c r="V46" s="3"/>
      <c r="W46" s="3" t="str">
        <f t="shared" si="0"/>
        <v/>
      </c>
      <c r="X46" s="9" t="str">
        <f t="shared" si="1"/>
        <v/>
      </c>
      <c r="Y46" s="9" t="str">
        <f t="shared" si="2"/>
        <v/>
      </c>
      <c r="Z46" s="3" t="e">
        <f>INDEX('справочная информация'!$U$6:$AK$29,MATCH('Расчет грейда'!$Y46,'справочная информация'!$T$6:$T$29,0),MATCH('Расчет грейда'!$X46,'справочная информация'!$U$5:$AK$5,0))</f>
        <v>#N/A</v>
      </c>
      <c r="AA46" s="9" t="str">
        <f t="shared" si="3"/>
        <v/>
      </c>
      <c r="AB46" s="3" t="e">
        <f>INDEX('справочная информация'!$B$68:$H$83,MATCH('Расчет грейда'!$AA46,'справочная информация'!$A$68:$A$83,0),MATCH('Расчет грейда'!$N46,'справочная информация'!$B$67:$H$67,0))</f>
        <v>#N/A</v>
      </c>
      <c r="AC46" s="3" t="e">
        <f>INDEX('справочная информация'!$D$130:$AD$145,MATCH('Расчет грейда'!$AW46,'справочная информация'!$C$130:$C$145,0),MATCH('Расчет грейда'!$AV46,'справочная информация'!$D$129:$AD$129,0))</f>
        <v>#N/A</v>
      </c>
      <c r="AD46" s="9" t="str">
        <f t="shared" si="4"/>
        <v/>
      </c>
      <c r="AE46" s="9" t="str">
        <f t="shared" si="5"/>
        <v/>
      </c>
      <c r="AF46" s="3" t="str">
        <f>IFERROR(IF(AND(AD46="",AE46=""),"",INDEX('справочная информация'!$B$188:$Y$211,MATCH('Расчет грейда'!$AE46,'справочная информация'!$A$188:$A$211,0),MATCH('Расчет грейда'!$AD46,'справочная информация'!$B$187:$Y$187,0))),"НЕТ")</f>
        <v/>
      </c>
      <c r="AG46" s="3" t="e">
        <f>VLOOKUP(J46,'справочная информация'!$D$267:$E$274,2,0)</f>
        <v>#N/A</v>
      </c>
      <c r="AH46" s="3" t="e">
        <f>VLOOKUP(K46,'справочная информация'!$D$279:$E$283,2,0)</f>
        <v>#N/A</v>
      </c>
      <c r="AI46" s="3" t="e">
        <f>VLOOKUP(L46,'справочная информация'!$D$288:$E$290,2,0)</f>
        <v>#N/A</v>
      </c>
      <c r="AJ46" s="3" t="str">
        <f t="shared" si="6"/>
        <v/>
      </c>
      <c r="AK46" s="169" t="e">
        <f>VLOOKUP(M46,'справочная информация'!$D$294:$E$301,2,0)</f>
        <v>#N/A</v>
      </c>
      <c r="AL46" s="3" t="e">
        <f>VLOOKUP(N46,'справочная информация'!$D$306:$E$310,2,0)</f>
        <v>#N/A</v>
      </c>
      <c r="AM46" s="169" t="str">
        <f t="shared" si="7"/>
        <v>()</v>
      </c>
      <c r="AN46" s="3" t="str">
        <f t="shared" si="8"/>
        <v/>
      </c>
      <c r="AO46" s="3" t="e">
        <f>VLOOKUP(O46,'справочная информация'!$D$329:$E$336,2,0)</f>
        <v>#N/A</v>
      </c>
      <c r="AP46" s="3" t="e">
        <f>VLOOKUP(P46,'справочная информация'!$D$342:$E$349,2,0)</f>
        <v>#N/A</v>
      </c>
      <c r="AQ46" s="3" t="e">
        <f>VLOOKUP(Q46,'справочная информация'!$D$316:$E$325,2,0)</f>
        <v>#N/A</v>
      </c>
      <c r="AR46" s="3" t="str">
        <f t="shared" si="9"/>
        <v/>
      </c>
      <c r="AS46" s="170" t="str">
        <f t="shared" si="10"/>
        <v/>
      </c>
      <c r="AT46" s="3" t="str">
        <f t="shared" si="11"/>
        <v/>
      </c>
      <c r="AU46" s="3" t="e">
        <f>ABS(MATCH($AX46,'справочная информация'!$A$354:$A$391,0)-MATCH($AY46,'справочная информация'!$A$354:$A$391,0))</f>
        <v>#N/A</v>
      </c>
      <c r="AV46" s="3" t="str">
        <f>IFERROR(INDEX('справочная информация'!$B$6:$R$29,MATCH('Расчет грейда'!$Y46,'справочная информация'!$A$6:$A$29,0),MATCH('Расчет грейда'!$X46,'справочная информация'!$B$5:$R$5,0)),"")</f>
        <v/>
      </c>
      <c r="AW46" s="171" t="str">
        <f>IFERROR(INDEX('справочная информация'!$B$37:$H$52,MATCH('Расчет грейда'!$AA46,'справочная информация'!$A$37:$A$52,0),MATCH('Расчет грейда'!$N46,'справочная информация'!$B$36:$H$36,0)),"")</f>
        <v/>
      </c>
      <c r="AX46" s="122" t="str">
        <f>IFERROR(INDEX('справочная информация'!$D$108:$AD$123,MATCH('Расчет грейда'!$AW46,'справочная информация'!$C$108:$C$123,0),MATCH('Расчет грейда'!$AV46,'справочная информация'!$D$107:$AD$107,0)),"")</f>
        <v/>
      </c>
      <c r="AY46" s="133" t="str">
        <f>IFERROR(INDEX('справочная информация'!$B$158:$Y$181,MATCH('Расчет грейда'!$AE46,'справочная информация'!$A$158:$A$181,0),MATCH('Расчет грейда'!$AD46,'справочная информация'!$B$157:$Y$157,0)),"")</f>
        <v/>
      </c>
      <c r="AZ46" s="170" t="str">
        <f t="shared" si="12"/>
        <v/>
      </c>
      <c r="BA46" s="172" t="str">
        <f>IFERROR(CONCATENATE(TEXT(AZ46/INDEX('справочная информация'!$D$223:$D$261,MATCH('Расчет грейда'!$AZ46,'справочная информация'!$C$223:$C$261,1)),"0%")," - процент относительно медианы 100%. ","MIN балл на грейде ",INDEX('справочная информация'!$C$223:$C$261,MATCH('Расчет грейда'!$AZ46,'справочная информация'!$C$223:$C$261,1)),", "," MAX балл на грейде ",INDEX('справочная информация'!$E$223:$E$261,MATCH('Расчет грейда'!$AZ46,'справочная информация'!$C$223:$C$261,1))),"")</f>
        <v/>
      </c>
      <c r="BB46" s="120" t="str">
        <f t="shared" si="13"/>
        <v/>
      </c>
      <c r="BC46" s="3" t="str">
        <f t="shared" si="14"/>
        <v/>
      </c>
      <c r="BD46" s="121" t="str">
        <f>IFERROR(VLOOKUP(BC46,'справочная информация'!$B$416:$C$424,2,0),"Проверить данные, нетипичная должность")</f>
        <v>Проверить данные, нетипичная должность</v>
      </c>
      <c r="BE46" s="3" t="str">
        <f t="shared" si="15"/>
        <v/>
      </c>
      <c r="BF46" s="3" t="str">
        <f>IFERROR(INDEX('справочная информация'!$F$223:$F$261,MATCH('Расчет грейда'!$AZ46,'справочная информация'!$C$223:$C$261,1)),"")</f>
        <v/>
      </c>
    </row>
    <row r="47" spans="1:58" s="9" customFormat="1" x14ac:dyDescent="0.35">
      <c r="A47" s="120"/>
      <c r="B47" s="122"/>
      <c r="C47" s="140"/>
      <c r="D47" s="120"/>
      <c r="E47" s="120"/>
      <c r="F47" s="120"/>
      <c r="G47" s="120"/>
      <c r="H47" s="120"/>
      <c r="J47" s="142"/>
      <c r="K47" s="142"/>
      <c r="L47" s="142"/>
      <c r="R47" s="3"/>
      <c r="S47" s="138"/>
      <c r="T47" s="3"/>
      <c r="U47" s="3"/>
      <c r="V47" s="3"/>
      <c r="W47" s="3" t="str">
        <f t="shared" si="0"/>
        <v/>
      </c>
      <c r="X47" s="9" t="str">
        <f t="shared" si="1"/>
        <v/>
      </c>
      <c r="Y47" s="9" t="str">
        <f t="shared" si="2"/>
        <v/>
      </c>
      <c r="Z47" s="3" t="e">
        <f>INDEX('справочная информация'!$U$6:$AK$29,MATCH('Расчет грейда'!$Y47,'справочная информация'!$T$6:$T$29,0),MATCH('Расчет грейда'!$X47,'справочная информация'!$U$5:$AK$5,0))</f>
        <v>#N/A</v>
      </c>
      <c r="AA47" s="9" t="str">
        <f t="shared" si="3"/>
        <v/>
      </c>
      <c r="AB47" s="3" t="e">
        <f>INDEX('справочная информация'!$B$68:$H$83,MATCH('Расчет грейда'!$AA47,'справочная информация'!$A$68:$A$83,0),MATCH('Расчет грейда'!$N47,'справочная информация'!$B$67:$H$67,0))</f>
        <v>#N/A</v>
      </c>
      <c r="AC47" s="3" t="e">
        <f>INDEX('справочная информация'!$D$130:$AD$145,MATCH('Расчет грейда'!$AW47,'справочная информация'!$C$130:$C$145,0),MATCH('Расчет грейда'!$AV47,'справочная информация'!$D$129:$AD$129,0))</f>
        <v>#N/A</v>
      </c>
      <c r="AD47" s="9" t="str">
        <f t="shared" si="4"/>
        <v/>
      </c>
      <c r="AE47" s="9" t="str">
        <f t="shared" si="5"/>
        <v/>
      </c>
      <c r="AF47" s="3" t="str">
        <f>IFERROR(IF(AND(AD47="",AE47=""),"",INDEX('справочная информация'!$B$188:$Y$211,MATCH('Расчет грейда'!$AE47,'справочная информация'!$A$188:$A$211,0),MATCH('Расчет грейда'!$AD47,'справочная информация'!$B$187:$Y$187,0))),"НЕТ")</f>
        <v/>
      </c>
      <c r="AG47" s="3" t="e">
        <f>VLOOKUP(J47,'справочная информация'!$D$267:$E$274,2,0)</f>
        <v>#N/A</v>
      </c>
      <c r="AH47" s="3" t="e">
        <f>VLOOKUP(K47,'справочная информация'!$D$279:$E$283,2,0)</f>
        <v>#N/A</v>
      </c>
      <c r="AI47" s="3" t="e">
        <f>VLOOKUP(L47,'справочная информация'!$D$288:$E$290,2,0)</f>
        <v>#N/A</v>
      </c>
      <c r="AJ47" s="3" t="str">
        <f t="shared" si="6"/>
        <v/>
      </c>
      <c r="AK47" s="169" t="e">
        <f>VLOOKUP(M47,'справочная информация'!$D$294:$E$301,2,0)</f>
        <v>#N/A</v>
      </c>
      <c r="AL47" s="3" t="e">
        <f>VLOOKUP(N47,'справочная информация'!$D$306:$E$310,2,0)</f>
        <v>#N/A</v>
      </c>
      <c r="AM47" s="169" t="str">
        <f t="shared" si="7"/>
        <v>()</v>
      </c>
      <c r="AN47" s="3" t="str">
        <f t="shared" si="8"/>
        <v/>
      </c>
      <c r="AO47" s="3" t="e">
        <f>VLOOKUP(O47,'справочная информация'!$D$329:$E$336,2,0)</f>
        <v>#N/A</v>
      </c>
      <c r="AP47" s="3" t="e">
        <f>VLOOKUP(P47,'справочная информация'!$D$342:$E$349,2,0)</f>
        <v>#N/A</v>
      </c>
      <c r="AQ47" s="3" t="e">
        <f>VLOOKUP(Q47,'справочная информация'!$D$316:$E$325,2,0)</f>
        <v>#N/A</v>
      </c>
      <c r="AR47" s="3" t="str">
        <f t="shared" si="9"/>
        <v/>
      </c>
      <c r="AS47" s="170" t="str">
        <f t="shared" si="10"/>
        <v/>
      </c>
      <c r="AT47" s="3" t="str">
        <f t="shared" si="11"/>
        <v/>
      </c>
      <c r="AU47" s="3" t="e">
        <f>ABS(MATCH($AX47,'справочная информация'!$A$354:$A$391,0)-MATCH($AY47,'справочная информация'!$A$354:$A$391,0))</f>
        <v>#N/A</v>
      </c>
      <c r="AV47" s="3" t="str">
        <f>IFERROR(INDEX('справочная информация'!$B$6:$R$29,MATCH('Расчет грейда'!$Y47,'справочная информация'!$A$6:$A$29,0),MATCH('Расчет грейда'!$X47,'справочная информация'!$B$5:$R$5,0)),"")</f>
        <v/>
      </c>
      <c r="AW47" s="171" t="str">
        <f>IFERROR(INDEX('справочная информация'!$B$37:$H$52,MATCH('Расчет грейда'!$AA47,'справочная информация'!$A$37:$A$52,0),MATCH('Расчет грейда'!$N47,'справочная информация'!$B$36:$H$36,0)),"")</f>
        <v/>
      </c>
      <c r="AX47" s="122" t="str">
        <f>IFERROR(INDEX('справочная информация'!$D$108:$AD$123,MATCH('Расчет грейда'!$AW47,'справочная информация'!$C$108:$C$123,0),MATCH('Расчет грейда'!$AV47,'справочная информация'!$D$107:$AD$107,0)),"")</f>
        <v/>
      </c>
      <c r="AY47" s="133" t="str">
        <f>IFERROR(INDEX('справочная информация'!$B$158:$Y$181,MATCH('Расчет грейда'!$AE47,'справочная информация'!$A$158:$A$181,0),MATCH('Расчет грейда'!$AD47,'справочная информация'!$B$157:$Y$157,0)),"")</f>
        <v/>
      </c>
      <c r="AZ47" s="170" t="str">
        <f t="shared" si="12"/>
        <v/>
      </c>
      <c r="BA47" s="172" t="str">
        <f>IFERROR(CONCATENATE(TEXT(AZ47/INDEX('справочная информация'!$D$223:$D$261,MATCH('Расчет грейда'!$AZ47,'справочная информация'!$C$223:$C$261,1)),"0%")," - процент относительно медианы 100%. ","MIN балл на грейде ",INDEX('справочная информация'!$C$223:$C$261,MATCH('Расчет грейда'!$AZ47,'справочная информация'!$C$223:$C$261,1)),", "," MAX балл на грейде ",INDEX('справочная информация'!$E$223:$E$261,MATCH('Расчет грейда'!$AZ47,'справочная информация'!$C$223:$C$261,1))),"")</f>
        <v/>
      </c>
      <c r="BB47" s="120" t="str">
        <f t="shared" si="13"/>
        <v/>
      </c>
      <c r="BC47" s="3" t="str">
        <f t="shared" si="14"/>
        <v/>
      </c>
      <c r="BD47" s="121" t="str">
        <f>IFERROR(VLOOKUP(BC47,'справочная информация'!$B$416:$C$424,2,0),"Проверить данные, нетипичная должность")</f>
        <v>Проверить данные, нетипичная должность</v>
      </c>
      <c r="BE47" s="3" t="str">
        <f t="shared" si="15"/>
        <v/>
      </c>
      <c r="BF47" s="3" t="str">
        <f>IFERROR(INDEX('справочная информация'!$F$223:$F$261,MATCH('Расчет грейда'!$AZ47,'справочная информация'!$C$223:$C$261,1)),"")</f>
        <v/>
      </c>
    </row>
    <row r="48" spans="1:58" s="9" customFormat="1" x14ac:dyDescent="0.35">
      <c r="A48" s="120"/>
      <c r="B48" s="122"/>
      <c r="C48" s="140"/>
      <c r="D48" s="120"/>
      <c r="E48" s="120"/>
      <c r="F48" s="120"/>
      <c r="G48" s="120"/>
      <c r="H48" s="120"/>
      <c r="J48" s="142"/>
      <c r="K48" s="142"/>
      <c r="L48" s="142"/>
      <c r="R48" s="3"/>
      <c r="S48" s="138"/>
      <c r="T48" s="3"/>
      <c r="U48" s="3"/>
      <c r="V48" s="3"/>
      <c r="W48" s="3" t="str">
        <f t="shared" si="0"/>
        <v/>
      </c>
      <c r="X48" s="9" t="str">
        <f t="shared" si="1"/>
        <v/>
      </c>
      <c r="Y48" s="9" t="str">
        <f t="shared" si="2"/>
        <v/>
      </c>
      <c r="Z48" s="3" t="e">
        <f>INDEX('справочная информация'!$U$6:$AK$29,MATCH('Расчет грейда'!$Y48,'справочная информация'!$T$6:$T$29,0),MATCH('Расчет грейда'!$X48,'справочная информация'!$U$5:$AK$5,0))</f>
        <v>#N/A</v>
      </c>
      <c r="AA48" s="9" t="str">
        <f t="shared" si="3"/>
        <v/>
      </c>
      <c r="AB48" s="3" t="e">
        <f>INDEX('справочная информация'!$B$68:$H$83,MATCH('Расчет грейда'!$AA48,'справочная информация'!$A$68:$A$83,0),MATCH('Расчет грейда'!$N48,'справочная информация'!$B$67:$H$67,0))</f>
        <v>#N/A</v>
      </c>
      <c r="AC48" s="3" t="e">
        <f>INDEX('справочная информация'!$D$130:$AD$145,MATCH('Расчет грейда'!$AW48,'справочная информация'!$C$130:$C$145,0),MATCH('Расчет грейда'!$AV48,'справочная информация'!$D$129:$AD$129,0))</f>
        <v>#N/A</v>
      </c>
      <c r="AD48" s="9" t="str">
        <f t="shared" si="4"/>
        <v/>
      </c>
      <c r="AE48" s="9" t="str">
        <f t="shared" si="5"/>
        <v/>
      </c>
      <c r="AF48" s="3" t="str">
        <f>IFERROR(IF(AND(AD48="",AE48=""),"",INDEX('справочная информация'!$B$188:$Y$211,MATCH('Расчет грейда'!$AE48,'справочная информация'!$A$188:$A$211,0),MATCH('Расчет грейда'!$AD48,'справочная информация'!$B$187:$Y$187,0))),"НЕТ")</f>
        <v/>
      </c>
      <c r="AG48" s="3" t="e">
        <f>VLOOKUP(J48,'справочная информация'!$D$267:$E$274,2,0)</f>
        <v>#N/A</v>
      </c>
      <c r="AH48" s="3" t="e">
        <f>VLOOKUP(K48,'справочная информация'!$D$279:$E$283,2,0)</f>
        <v>#N/A</v>
      </c>
      <c r="AI48" s="3" t="e">
        <f>VLOOKUP(L48,'справочная информация'!$D$288:$E$290,2,0)</f>
        <v>#N/A</v>
      </c>
      <c r="AJ48" s="3" t="str">
        <f t="shared" si="6"/>
        <v/>
      </c>
      <c r="AK48" s="169" t="e">
        <f>VLOOKUP(M48,'справочная информация'!$D$294:$E$301,2,0)</f>
        <v>#N/A</v>
      </c>
      <c r="AL48" s="3" t="e">
        <f>VLOOKUP(N48,'справочная информация'!$D$306:$E$310,2,0)</f>
        <v>#N/A</v>
      </c>
      <c r="AM48" s="169" t="str">
        <f t="shared" si="7"/>
        <v>()</v>
      </c>
      <c r="AN48" s="3" t="str">
        <f t="shared" si="8"/>
        <v/>
      </c>
      <c r="AO48" s="3" t="e">
        <f>VLOOKUP(O48,'справочная информация'!$D$329:$E$336,2,0)</f>
        <v>#N/A</v>
      </c>
      <c r="AP48" s="3" t="e">
        <f>VLOOKUP(P48,'справочная информация'!$D$342:$E$349,2,0)</f>
        <v>#N/A</v>
      </c>
      <c r="AQ48" s="3" t="e">
        <f>VLOOKUP(Q48,'справочная информация'!$D$316:$E$325,2,0)</f>
        <v>#N/A</v>
      </c>
      <c r="AR48" s="3" t="str">
        <f t="shared" si="9"/>
        <v/>
      </c>
      <c r="AS48" s="170" t="str">
        <f t="shared" si="10"/>
        <v/>
      </c>
      <c r="AT48" s="3" t="str">
        <f t="shared" si="11"/>
        <v/>
      </c>
      <c r="AU48" s="3" t="e">
        <f>ABS(MATCH($AX48,'справочная информация'!$A$354:$A$391,0)-MATCH($AY48,'справочная информация'!$A$354:$A$391,0))</f>
        <v>#N/A</v>
      </c>
      <c r="AV48" s="3" t="str">
        <f>IFERROR(INDEX('справочная информация'!$B$6:$R$29,MATCH('Расчет грейда'!$Y48,'справочная информация'!$A$6:$A$29,0),MATCH('Расчет грейда'!$X48,'справочная информация'!$B$5:$R$5,0)),"")</f>
        <v/>
      </c>
      <c r="AW48" s="171" t="str">
        <f>IFERROR(INDEX('справочная информация'!$B$37:$H$52,MATCH('Расчет грейда'!$AA48,'справочная информация'!$A$37:$A$52,0),MATCH('Расчет грейда'!$N48,'справочная информация'!$B$36:$H$36,0)),"")</f>
        <v/>
      </c>
      <c r="AX48" s="122" t="str">
        <f>IFERROR(INDEX('справочная информация'!$D$108:$AD$123,MATCH('Расчет грейда'!$AW48,'справочная информация'!$C$108:$C$123,0),MATCH('Расчет грейда'!$AV48,'справочная информация'!$D$107:$AD$107,0)),"")</f>
        <v/>
      </c>
      <c r="AY48" s="133" t="str">
        <f>IFERROR(INDEX('справочная информация'!$B$158:$Y$181,MATCH('Расчет грейда'!$AE48,'справочная информация'!$A$158:$A$181,0),MATCH('Расчет грейда'!$AD48,'справочная информация'!$B$157:$Y$157,0)),"")</f>
        <v/>
      </c>
      <c r="AZ48" s="170" t="str">
        <f t="shared" si="12"/>
        <v/>
      </c>
      <c r="BA48" s="172" t="str">
        <f>IFERROR(CONCATENATE(TEXT(AZ48/INDEX('справочная информация'!$D$223:$D$261,MATCH('Расчет грейда'!$AZ48,'справочная информация'!$C$223:$C$261,1)),"0%")," - процент относительно медианы 100%. ","MIN балл на грейде ",INDEX('справочная информация'!$C$223:$C$261,MATCH('Расчет грейда'!$AZ48,'справочная информация'!$C$223:$C$261,1)),", "," MAX балл на грейде ",INDEX('справочная информация'!$E$223:$E$261,MATCH('Расчет грейда'!$AZ48,'справочная информация'!$C$223:$C$261,1))),"")</f>
        <v/>
      </c>
      <c r="BB48" s="120" t="str">
        <f t="shared" si="13"/>
        <v/>
      </c>
      <c r="BC48" s="3" t="str">
        <f t="shared" si="14"/>
        <v/>
      </c>
      <c r="BD48" s="121" t="str">
        <f>IFERROR(VLOOKUP(BC48,'справочная информация'!$B$416:$C$424,2,0),"Проверить данные, нетипичная должность")</f>
        <v>Проверить данные, нетипичная должность</v>
      </c>
      <c r="BE48" s="3" t="str">
        <f t="shared" si="15"/>
        <v/>
      </c>
      <c r="BF48" s="3" t="str">
        <f>IFERROR(INDEX('справочная информация'!$F$223:$F$261,MATCH('Расчет грейда'!$AZ48,'справочная информация'!$C$223:$C$261,1)),"")</f>
        <v/>
      </c>
    </row>
    <row r="49" spans="1:58" s="9" customFormat="1" x14ac:dyDescent="0.35">
      <c r="A49" s="120"/>
      <c r="B49" s="122"/>
      <c r="C49" s="140"/>
      <c r="D49" s="120"/>
      <c r="E49" s="120"/>
      <c r="F49" s="120"/>
      <c r="G49" s="120"/>
      <c r="H49" s="120"/>
      <c r="J49" s="142"/>
      <c r="K49" s="142"/>
      <c r="L49" s="142"/>
      <c r="R49" s="3"/>
      <c r="S49" s="138"/>
      <c r="T49" s="3"/>
      <c r="U49" s="3"/>
      <c r="V49" s="3"/>
      <c r="W49" s="3" t="str">
        <f t="shared" si="0"/>
        <v/>
      </c>
      <c r="X49" s="9" t="str">
        <f t="shared" si="1"/>
        <v/>
      </c>
      <c r="Y49" s="9" t="str">
        <f t="shared" si="2"/>
        <v/>
      </c>
      <c r="Z49" s="3" t="e">
        <f>INDEX('справочная информация'!$U$6:$AK$29,MATCH('Расчет грейда'!$Y49,'справочная информация'!$T$6:$T$29,0),MATCH('Расчет грейда'!$X49,'справочная информация'!$U$5:$AK$5,0))</f>
        <v>#N/A</v>
      </c>
      <c r="AA49" s="9" t="str">
        <f t="shared" si="3"/>
        <v/>
      </c>
      <c r="AB49" s="3" t="e">
        <f>INDEX('справочная информация'!$B$68:$H$83,MATCH('Расчет грейда'!$AA49,'справочная информация'!$A$68:$A$83,0),MATCH('Расчет грейда'!$N49,'справочная информация'!$B$67:$H$67,0))</f>
        <v>#N/A</v>
      </c>
      <c r="AC49" s="3" t="e">
        <f>INDEX('справочная информация'!$D$130:$AD$145,MATCH('Расчет грейда'!$AW49,'справочная информация'!$C$130:$C$145,0),MATCH('Расчет грейда'!$AV49,'справочная информация'!$D$129:$AD$129,0))</f>
        <v>#N/A</v>
      </c>
      <c r="AD49" s="9" t="str">
        <f t="shared" si="4"/>
        <v/>
      </c>
      <c r="AE49" s="9" t="str">
        <f t="shared" si="5"/>
        <v/>
      </c>
      <c r="AF49" s="3" t="str">
        <f>IFERROR(IF(AND(AD49="",AE49=""),"",INDEX('справочная информация'!$B$188:$Y$211,MATCH('Расчет грейда'!$AE49,'справочная информация'!$A$188:$A$211,0),MATCH('Расчет грейда'!$AD49,'справочная информация'!$B$187:$Y$187,0))),"НЕТ")</f>
        <v/>
      </c>
      <c r="AG49" s="3" t="e">
        <f>VLOOKUP(J49,'справочная информация'!$D$267:$E$274,2,0)</f>
        <v>#N/A</v>
      </c>
      <c r="AH49" s="3" t="e">
        <f>VLOOKUP(K49,'справочная информация'!$D$279:$E$283,2,0)</f>
        <v>#N/A</v>
      </c>
      <c r="AI49" s="3" t="e">
        <f>VLOOKUP(L49,'справочная информация'!$D$288:$E$290,2,0)</f>
        <v>#N/A</v>
      </c>
      <c r="AJ49" s="3" t="str">
        <f t="shared" si="6"/>
        <v/>
      </c>
      <c r="AK49" s="169" t="e">
        <f>VLOOKUP(M49,'справочная информация'!$D$294:$E$301,2,0)</f>
        <v>#N/A</v>
      </c>
      <c r="AL49" s="3" t="e">
        <f>VLOOKUP(N49,'справочная информация'!$D$306:$E$310,2,0)</f>
        <v>#N/A</v>
      </c>
      <c r="AM49" s="169" t="str">
        <f t="shared" si="7"/>
        <v>()</v>
      </c>
      <c r="AN49" s="3" t="str">
        <f t="shared" si="8"/>
        <v/>
      </c>
      <c r="AO49" s="3" t="e">
        <f>VLOOKUP(O49,'справочная информация'!$D$329:$E$336,2,0)</f>
        <v>#N/A</v>
      </c>
      <c r="AP49" s="3" t="e">
        <f>VLOOKUP(P49,'справочная информация'!$D$342:$E$349,2,0)</f>
        <v>#N/A</v>
      </c>
      <c r="AQ49" s="3" t="e">
        <f>VLOOKUP(Q49,'справочная информация'!$D$316:$E$325,2,0)</f>
        <v>#N/A</v>
      </c>
      <c r="AR49" s="3" t="str">
        <f t="shared" si="9"/>
        <v/>
      </c>
      <c r="AS49" s="170" t="str">
        <f t="shared" si="10"/>
        <v/>
      </c>
      <c r="AT49" s="3" t="str">
        <f t="shared" si="11"/>
        <v/>
      </c>
      <c r="AU49" s="3" t="e">
        <f>ABS(MATCH($AX49,'справочная информация'!$A$354:$A$391,0)-MATCH($AY49,'справочная информация'!$A$354:$A$391,0))</f>
        <v>#N/A</v>
      </c>
      <c r="AV49" s="3" t="str">
        <f>IFERROR(INDEX('справочная информация'!$B$6:$R$29,MATCH('Расчет грейда'!$Y49,'справочная информация'!$A$6:$A$29,0),MATCH('Расчет грейда'!$X49,'справочная информация'!$B$5:$R$5,0)),"")</f>
        <v/>
      </c>
      <c r="AW49" s="171" t="str">
        <f>IFERROR(INDEX('справочная информация'!$B$37:$H$52,MATCH('Расчет грейда'!$AA49,'справочная информация'!$A$37:$A$52,0),MATCH('Расчет грейда'!$N49,'справочная информация'!$B$36:$H$36,0)),"")</f>
        <v/>
      </c>
      <c r="AX49" s="122" t="str">
        <f>IFERROR(INDEX('справочная информация'!$D$108:$AD$123,MATCH('Расчет грейда'!$AW49,'справочная информация'!$C$108:$C$123,0),MATCH('Расчет грейда'!$AV49,'справочная информация'!$D$107:$AD$107,0)),"")</f>
        <v/>
      </c>
      <c r="AY49" s="133" t="str">
        <f>IFERROR(INDEX('справочная информация'!$B$158:$Y$181,MATCH('Расчет грейда'!$AE49,'справочная информация'!$A$158:$A$181,0),MATCH('Расчет грейда'!$AD49,'справочная информация'!$B$157:$Y$157,0)),"")</f>
        <v/>
      </c>
      <c r="AZ49" s="170" t="str">
        <f t="shared" si="12"/>
        <v/>
      </c>
      <c r="BA49" s="172" t="str">
        <f>IFERROR(CONCATENATE(TEXT(AZ49/INDEX('справочная информация'!$D$223:$D$261,MATCH('Расчет грейда'!$AZ49,'справочная информация'!$C$223:$C$261,1)),"0%")," - процент относительно медианы 100%. ","MIN балл на грейде ",INDEX('справочная информация'!$C$223:$C$261,MATCH('Расчет грейда'!$AZ49,'справочная информация'!$C$223:$C$261,1)),", "," MAX балл на грейде ",INDEX('справочная информация'!$E$223:$E$261,MATCH('Расчет грейда'!$AZ49,'справочная информация'!$C$223:$C$261,1))),"")</f>
        <v/>
      </c>
      <c r="BB49" s="120" t="str">
        <f t="shared" si="13"/>
        <v/>
      </c>
      <c r="BC49" s="3" t="str">
        <f t="shared" si="14"/>
        <v/>
      </c>
      <c r="BD49" s="121" t="str">
        <f>IFERROR(VLOOKUP(BC49,'справочная информация'!$B$416:$C$424,2,0),"Проверить данные, нетипичная должность")</f>
        <v>Проверить данные, нетипичная должность</v>
      </c>
      <c r="BE49" s="3" t="str">
        <f t="shared" si="15"/>
        <v/>
      </c>
      <c r="BF49" s="3" t="str">
        <f>IFERROR(INDEX('справочная информация'!$F$223:$F$261,MATCH('Расчет грейда'!$AZ49,'справочная информация'!$C$223:$C$261,1)),"")</f>
        <v/>
      </c>
    </row>
    <row r="50" spans="1:58" s="9" customFormat="1" x14ac:dyDescent="0.35">
      <c r="A50" s="120"/>
      <c r="B50" s="122"/>
      <c r="C50" s="140"/>
      <c r="D50" s="120"/>
      <c r="E50" s="120"/>
      <c r="F50" s="120"/>
      <c r="G50" s="120"/>
      <c r="H50" s="120"/>
      <c r="J50" s="142"/>
      <c r="K50" s="142"/>
      <c r="L50" s="142"/>
      <c r="R50" s="3"/>
      <c r="S50" s="138"/>
      <c r="T50" s="3"/>
      <c r="U50" s="3"/>
      <c r="V50" s="3"/>
      <c r="W50" s="3" t="str">
        <f t="shared" si="0"/>
        <v/>
      </c>
      <c r="X50" s="9" t="str">
        <f t="shared" si="1"/>
        <v/>
      </c>
      <c r="Y50" s="9" t="str">
        <f t="shared" si="2"/>
        <v/>
      </c>
      <c r="Z50" s="3" t="e">
        <f>INDEX('справочная информация'!$U$6:$AK$29,MATCH('Расчет грейда'!$Y50,'справочная информация'!$T$6:$T$29,0),MATCH('Расчет грейда'!$X50,'справочная информация'!$U$5:$AK$5,0))</f>
        <v>#N/A</v>
      </c>
      <c r="AA50" s="9" t="str">
        <f t="shared" si="3"/>
        <v/>
      </c>
      <c r="AB50" s="3" t="e">
        <f>INDEX('справочная информация'!$B$68:$H$83,MATCH('Расчет грейда'!$AA50,'справочная информация'!$A$68:$A$83,0),MATCH('Расчет грейда'!$N50,'справочная информация'!$B$67:$H$67,0))</f>
        <v>#N/A</v>
      </c>
      <c r="AC50" s="3" t="e">
        <f>INDEX('справочная информация'!$D$130:$AD$145,MATCH('Расчет грейда'!$AW50,'справочная информация'!$C$130:$C$145,0),MATCH('Расчет грейда'!$AV50,'справочная информация'!$D$129:$AD$129,0))</f>
        <v>#N/A</v>
      </c>
      <c r="AD50" s="9" t="str">
        <f t="shared" si="4"/>
        <v/>
      </c>
      <c r="AE50" s="9" t="str">
        <f t="shared" si="5"/>
        <v/>
      </c>
      <c r="AF50" s="3" t="str">
        <f>IFERROR(IF(AND(AD50="",AE50=""),"",INDEX('справочная информация'!$B$188:$Y$211,MATCH('Расчет грейда'!$AE50,'справочная информация'!$A$188:$A$211,0),MATCH('Расчет грейда'!$AD50,'справочная информация'!$B$187:$Y$187,0))),"НЕТ")</f>
        <v/>
      </c>
      <c r="AG50" s="3" t="e">
        <f>VLOOKUP(J50,'справочная информация'!$D$267:$E$274,2,0)</f>
        <v>#N/A</v>
      </c>
      <c r="AH50" s="3" t="e">
        <f>VLOOKUP(K50,'справочная информация'!$D$279:$E$283,2,0)</f>
        <v>#N/A</v>
      </c>
      <c r="AI50" s="3" t="e">
        <f>VLOOKUP(L50,'справочная информация'!$D$288:$E$290,2,0)</f>
        <v>#N/A</v>
      </c>
      <c r="AJ50" s="3" t="str">
        <f t="shared" si="6"/>
        <v/>
      </c>
      <c r="AK50" s="169" t="e">
        <f>VLOOKUP(M50,'справочная информация'!$D$294:$E$301,2,0)</f>
        <v>#N/A</v>
      </c>
      <c r="AL50" s="3" t="e">
        <f>VLOOKUP(N50,'справочная информация'!$D$306:$E$310,2,0)</f>
        <v>#N/A</v>
      </c>
      <c r="AM50" s="169" t="str">
        <f t="shared" si="7"/>
        <v>()</v>
      </c>
      <c r="AN50" s="3" t="str">
        <f t="shared" si="8"/>
        <v/>
      </c>
      <c r="AO50" s="3" t="e">
        <f>VLOOKUP(O50,'справочная информация'!$D$329:$E$336,2,0)</f>
        <v>#N/A</v>
      </c>
      <c r="AP50" s="3" t="e">
        <f>VLOOKUP(P50,'справочная информация'!$D$342:$E$349,2,0)</f>
        <v>#N/A</v>
      </c>
      <c r="AQ50" s="3" t="e">
        <f>VLOOKUP(Q50,'справочная информация'!$D$316:$E$325,2,0)</f>
        <v>#N/A</v>
      </c>
      <c r="AR50" s="3" t="str">
        <f t="shared" si="9"/>
        <v/>
      </c>
      <c r="AS50" s="170" t="str">
        <f t="shared" si="10"/>
        <v/>
      </c>
      <c r="AT50" s="3" t="str">
        <f t="shared" si="11"/>
        <v/>
      </c>
      <c r="AU50" s="3" t="e">
        <f>ABS(MATCH($AX50,'справочная информация'!$A$354:$A$391,0)-MATCH($AY50,'справочная информация'!$A$354:$A$391,0))</f>
        <v>#N/A</v>
      </c>
      <c r="AV50" s="3" t="str">
        <f>IFERROR(INDEX('справочная информация'!$B$6:$R$29,MATCH('Расчет грейда'!$Y50,'справочная информация'!$A$6:$A$29,0),MATCH('Расчет грейда'!$X50,'справочная информация'!$B$5:$R$5,0)),"")</f>
        <v/>
      </c>
      <c r="AW50" s="171" t="str">
        <f>IFERROR(INDEX('справочная информация'!$B$37:$H$52,MATCH('Расчет грейда'!$AA50,'справочная информация'!$A$37:$A$52,0),MATCH('Расчет грейда'!$N50,'справочная информация'!$B$36:$H$36,0)),"")</f>
        <v/>
      </c>
      <c r="AX50" s="122" t="str">
        <f>IFERROR(INDEX('справочная информация'!$D$108:$AD$123,MATCH('Расчет грейда'!$AW50,'справочная информация'!$C$108:$C$123,0),MATCH('Расчет грейда'!$AV50,'справочная информация'!$D$107:$AD$107,0)),"")</f>
        <v/>
      </c>
      <c r="AY50" s="133" t="str">
        <f>IFERROR(INDEX('справочная информация'!$B$158:$Y$181,MATCH('Расчет грейда'!$AE50,'справочная информация'!$A$158:$A$181,0),MATCH('Расчет грейда'!$AD50,'справочная информация'!$B$157:$Y$157,0)),"")</f>
        <v/>
      </c>
      <c r="AZ50" s="170" t="str">
        <f t="shared" si="12"/>
        <v/>
      </c>
      <c r="BA50" s="172" t="str">
        <f>IFERROR(CONCATENATE(TEXT(AZ50/INDEX('справочная информация'!$D$223:$D$261,MATCH('Расчет грейда'!$AZ50,'справочная информация'!$C$223:$C$261,1)),"0%")," - процент относительно медианы 100%. ","MIN балл на грейде ",INDEX('справочная информация'!$C$223:$C$261,MATCH('Расчет грейда'!$AZ50,'справочная информация'!$C$223:$C$261,1)),", "," MAX балл на грейде ",INDEX('справочная информация'!$E$223:$E$261,MATCH('Расчет грейда'!$AZ50,'справочная информация'!$C$223:$C$261,1))),"")</f>
        <v/>
      </c>
      <c r="BB50" s="120" t="str">
        <f t="shared" si="13"/>
        <v/>
      </c>
      <c r="BC50" s="3" t="str">
        <f t="shared" si="14"/>
        <v/>
      </c>
      <c r="BD50" s="121" t="str">
        <f>IFERROR(VLOOKUP(BC50,'справочная информация'!$B$416:$C$424,2,0),"Проверить данные, нетипичная должность")</f>
        <v>Проверить данные, нетипичная должность</v>
      </c>
      <c r="BE50" s="3" t="str">
        <f t="shared" si="15"/>
        <v/>
      </c>
      <c r="BF50" s="3" t="str">
        <f>IFERROR(INDEX('справочная информация'!$F$223:$F$261,MATCH('Расчет грейда'!$AZ50,'справочная информация'!$C$223:$C$261,1)),"")</f>
        <v/>
      </c>
    </row>
    <row r="51" spans="1:58" s="9" customFormat="1" x14ac:dyDescent="0.35">
      <c r="A51" s="120"/>
      <c r="B51" s="122"/>
      <c r="C51" s="140"/>
      <c r="D51" s="120"/>
      <c r="E51" s="120"/>
      <c r="F51" s="120"/>
      <c r="G51" s="120"/>
      <c r="H51" s="120"/>
      <c r="J51" s="142"/>
      <c r="K51" s="142"/>
      <c r="L51" s="142"/>
      <c r="R51" s="3"/>
      <c r="S51" s="138"/>
      <c r="T51" s="3"/>
      <c r="U51" s="3"/>
      <c r="V51" s="3"/>
      <c r="W51" s="3" t="str">
        <f t="shared" ref="W51:W82" si="16">IF(IFERROR(BF51-6,"")&lt;0,0,IFERROR(BF51-6,""))</f>
        <v/>
      </c>
      <c r="X51" s="9" t="str">
        <f t="shared" ref="X51:X82" si="17">CONCATENATE(K51,L51)</f>
        <v/>
      </c>
      <c r="Y51" s="9" t="str">
        <f t="shared" ref="Y51:Y82" si="18">CONCATENATE(J51,T51)</f>
        <v/>
      </c>
      <c r="Z51" s="3" t="e">
        <f>INDEX('справочная информация'!$U$6:$AK$29,MATCH('Расчет грейда'!$Y51,'справочная информация'!$T$6:$T$29,0),MATCH('Расчет грейда'!$X51,'справочная информация'!$U$5:$AK$5,0))</f>
        <v>#N/A</v>
      </c>
      <c r="AA51" s="9" t="str">
        <f t="shared" ref="AA51:AA82" si="19">CONCATENATE(M51,U51)</f>
        <v/>
      </c>
      <c r="AB51" s="3" t="e">
        <f>INDEX('справочная информация'!$B$68:$H$83,MATCH('Расчет грейда'!$AA51,'справочная информация'!$A$68:$A$83,0),MATCH('Расчет грейда'!$N51,'справочная информация'!$B$67:$H$67,0))</f>
        <v>#N/A</v>
      </c>
      <c r="AC51" s="3" t="e">
        <f>INDEX('справочная информация'!$D$130:$AD$145,MATCH('Расчет грейда'!$AW51,'справочная информация'!$C$130:$C$145,0),MATCH('Расчет грейда'!$AV51,'справочная информация'!$D$129:$AD$129,0))</f>
        <v>#N/A</v>
      </c>
      <c r="AD51" s="9" t="str">
        <f t="shared" ref="AD51:AD82" si="20">CONCATENATE(P51,Q51)</f>
        <v/>
      </c>
      <c r="AE51" s="9" t="str">
        <f t="shared" ref="AE51:AE82" si="21">CONCATENATE(O51,V51)</f>
        <v/>
      </c>
      <c r="AF51" s="3" t="str">
        <f>IFERROR(IF(AND(AD51="",AE51=""),"",INDEX('справочная информация'!$B$188:$Y$211,MATCH('Расчет грейда'!$AE51,'справочная информация'!$A$188:$A$211,0),MATCH('Расчет грейда'!$AD51,'справочная информация'!$B$187:$Y$187,0))),"НЕТ")</f>
        <v/>
      </c>
      <c r="AG51" s="3" t="e">
        <f>VLOOKUP(J51,'справочная информация'!$D$267:$E$274,2,0)</f>
        <v>#N/A</v>
      </c>
      <c r="AH51" s="3" t="e">
        <f>VLOOKUP(K51,'справочная информация'!$D$279:$E$283,2,0)</f>
        <v>#N/A</v>
      </c>
      <c r="AI51" s="3" t="e">
        <f>VLOOKUP(L51,'справочная информация'!$D$288:$E$290,2,0)</f>
        <v>#N/A</v>
      </c>
      <c r="AJ51" s="3" t="str">
        <f t="shared" ref="AJ51:AJ82" si="22">AV51</f>
        <v/>
      </c>
      <c r="AK51" s="169" t="e">
        <f>VLOOKUP(M51,'справочная информация'!$D$294:$E$301,2,0)</f>
        <v>#N/A</v>
      </c>
      <c r="AL51" s="3" t="e">
        <f>VLOOKUP(N51,'справочная информация'!$D$306:$E$310,2,0)</f>
        <v>#N/A</v>
      </c>
      <c r="AM51" s="169" t="str">
        <f t="shared" ref="AM51:AM82" si="23">CONCATENATE("(",AW51,")")</f>
        <v>()</v>
      </c>
      <c r="AN51" s="3" t="str">
        <f t="shared" ref="AN51:AN82" si="24">AX51</f>
        <v/>
      </c>
      <c r="AO51" s="3" t="e">
        <f>VLOOKUP(O51,'справочная информация'!$D$329:$E$336,2,0)</f>
        <v>#N/A</v>
      </c>
      <c r="AP51" s="3" t="e">
        <f>VLOOKUP(P51,'справочная информация'!$D$342:$E$349,2,0)</f>
        <v>#N/A</v>
      </c>
      <c r="AQ51" s="3" t="e">
        <f>VLOOKUP(Q51,'справочная информация'!$D$316:$E$325,2,0)</f>
        <v>#N/A</v>
      </c>
      <c r="AR51" s="3" t="str">
        <f t="shared" ref="AR51:AR82" si="25">AY51</f>
        <v/>
      </c>
      <c r="AS51" s="170" t="str">
        <f t="shared" ref="AS51:AS82" si="26">AZ51</f>
        <v/>
      </c>
      <c r="AT51" s="3" t="str">
        <f t="shared" ref="AT51:AT82" si="27">IF(AND(AX51="",AY51=""),"",IF(AY51&gt;AX51,"A",IF(AX51=AY51,"L","P")))</f>
        <v/>
      </c>
      <c r="AU51" s="3" t="e">
        <f>ABS(MATCH($AX51,'справочная информация'!$A$354:$A$391,0)-MATCH($AY51,'справочная информация'!$A$354:$A$391,0))</f>
        <v>#N/A</v>
      </c>
      <c r="AV51" s="3" t="str">
        <f>IFERROR(INDEX('справочная информация'!$B$6:$R$29,MATCH('Расчет грейда'!$Y51,'справочная информация'!$A$6:$A$29,0),MATCH('Расчет грейда'!$X51,'справочная информация'!$B$5:$R$5,0)),"")</f>
        <v/>
      </c>
      <c r="AW51" s="171" t="str">
        <f>IFERROR(INDEX('справочная информация'!$B$37:$H$52,MATCH('Расчет грейда'!$AA51,'справочная информация'!$A$37:$A$52,0),MATCH('Расчет грейда'!$N51,'справочная информация'!$B$36:$H$36,0)),"")</f>
        <v/>
      </c>
      <c r="AX51" s="122" t="str">
        <f>IFERROR(INDEX('справочная информация'!$D$108:$AD$123,MATCH('Расчет грейда'!$AW51,'справочная информация'!$C$108:$C$123,0),MATCH('Расчет грейда'!$AV51,'справочная информация'!$D$107:$AD$107,0)),"")</f>
        <v/>
      </c>
      <c r="AY51" s="133" t="str">
        <f>IFERROR(INDEX('справочная информация'!$B$158:$Y$181,MATCH('Расчет грейда'!$AE51,'справочная информация'!$A$158:$A$181,0),MATCH('Расчет грейда'!$AD51,'справочная информация'!$B$157:$Y$157,0)),"")</f>
        <v/>
      </c>
      <c r="AZ51" s="170" t="str">
        <f t="shared" ref="AZ51:AZ82" si="28">IFERROR(AV51+AX51+AY51,"")</f>
        <v/>
      </c>
      <c r="BA51" s="172" t="str">
        <f>IFERROR(CONCATENATE(TEXT(AZ51/INDEX('справочная информация'!$D$223:$D$261,MATCH('Расчет грейда'!$AZ51,'справочная информация'!$C$223:$C$261,1)),"0%")," - процент относительно медианы 100%. ","MIN балл на грейде ",INDEX('справочная информация'!$C$223:$C$261,MATCH('Расчет грейда'!$AZ51,'справочная информация'!$C$223:$C$261,1)),", "," MAX балл на грейде ",INDEX('справочная информация'!$E$223:$E$261,MATCH('Расчет грейда'!$AZ51,'справочная информация'!$C$223:$C$261,1))),"")</f>
        <v/>
      </c>
      <c r="BB51" s="120" t="str">
        <f t="shared" ref="BB51:BB82" si="29">IFERROR(IF(AND(AX51="",AY51=""),"",IF(AY51&gt;AX51,"Ответственный профиль (ACC)",IF(AY51=AX51,"Профиль равный (L)","Профиль решения вопросов (PS)"))),"")</f>
        <v/>
      </c>
      <c r="BC51" s="3" t="str">
        <f t="shared" ref="BC51:BC82" si="30">IFERROR(CONCATENATE(AT51,AU51),"")</f>
        <v/>
      </c>
      <c r="BD51" s="121" t="str">
        <f>IFERROR(VLOOKUP(BC51,'справочная информация'!$B$416:$C$424,2,0),"Проверить данные, нетипичная должность")</f>
        <v>Проверить данные, нетипичная должность</v>
      </c>
      <c r="BE51" s="3" t="str">
        <f t="shared" ref="BE51:BE82" si="31">IFERROR(CONCATENATE(AG51,AH51,AI51,"  ",AJ51,"  ",AK51,AL51,"  ",AM51,"  ",AN51,"  ",AO51,AP51,AQ51,"  ",AR51,"  ",AS51,"  ",BC51),"")</f>
        <v/>
      </c>
      <c r="BF51" s="3" t="str">
        <f>IFERROR(INDEX('справочная информация'!$F$223:$F$261,MATCH('Расчет грейда'!$AZ51,'справочная информация'!$C$223:$C$261,1)),"")</f>
        <v/>
      </c>
    </row>
    <row r="52" spans="1:58" s="9" customFormat="1" x14ac:dyDescent="0.35">
      <c r="A52" s="120"/>
      <c r="B52" s="122"/>
      <c r="C52" s="140"/>
      <c r="D52" s="120"/>
      <c r="E52" s="120"/>
      <c r="F52" s="120"/>
      <c r="G52" s="120"/>
      <c r="H52" s="120"/>
      <c r="J52" s="142"/>
      <c r="K52" s="142"/>
      <c r="L52" s="142"/>
      <c r="R52" s="3"/>
      <c r="S52" s="138"/>
      <c r="T52" s="3"/>
      <c r="U52" s="3"/>
      <c r="V52" s="3"/>
      <c r="W52" s="3" t="str">
        <f t="shared" si="16"/>
        <v/>
      </c>
      <c r="X52" s="9" t="str">
        <f t="shared" si="17"/>
        <v/>
      </c>
      <c r="Y52" s="9" t="str">
        <f t="shared" si="18"/>
        <v/>
      </c>
      <c r="Z52" s="3" t="e">
        <f>INDEX('справочная информация'!$U$6:$AK$29,MATCH('Расчет грейда'!$Y52,'справочная информация'!$T$6:$T$29,0),MATCH('Расчет грейда'!$X52,'справочная информация'!$U$5:$AK$5,0))</f>
        <v>#N/A</v>
      </c>
      <c r="AA52" s="9" t="str">
        <f t="shared" si="19"/>
        <v/>
      </c>
      <c r="AB52" s="3" t="e">
        <f>INDEX('справочная информация'!$B$68:$H$83,MATCH('Расчет грейда'!$AA52,'справочная информация'!$A$68:$A$83,0),MATCH('Расчет грейда'!$N52,'справочная информация'!$B$67:$H$67,0))</f>
        <v>#N/A</v>
      </c>
      <c r="AC52" s="3" t="e">
        <f>INDEX('справочная информация'!$D$130:$AD$145,MATCH('Расчет грейда'!$AW52,'справочная информация'!$C$130:$C$145,0),MATCH('Расчет грейда'!$AV52,'справочная информация'!$D$129:$AD$129,0))</f>
        <v>#N/A</v>
      </c>
      <c r="AD52" s="9" t="str">
        <f t="shared" si="20"/>
        <v/>
      </c>
      <c r="AE52" s="9" t="str">
        <f t="shared" si="21"/>
        <v/>
      </c>
      <c r="AF52" s="3" t="str">
        <f>IFERROR(IF(AND(AD52="",AE52=""),"",INDEX('справочная информация'!$B$188:$Y$211,MATCH('Расчет грейда'!$AE52,'справочная информация'!$A$188:$A$211,0),MATCH('Расчет грейда'!$AD52,'справочная информация'!$B$187:$Y$187,0))),"НЕТ")</f>
        <v/>
      </c>
      <c r="AG52" s="3" t="e">
        <f>VLOOKUP(J52,'справочная информация'!$D$267:$E$274,2,0)</f>
        <v>#N/A</v>
      </c>
      <c r="AH52" s="3" t="e">
        <f>VLOOKUP(K52,'справочная информация'!$D$279:$E$283,2,0)</f>
        <v>#N/A</v>
      </c>
      <c r="AI52" s="3" t="e">
        <f>VLOOKUP(L52,'справочная информация'!$D$288:$E$290,2,0)</f>
        <v>#N/A</v>
      </c>
      <c r="AJ52" s="3" t="str">
        <f t="shared" si="22"/>
        <v/>
      </c>
      <c r="AK52" s="169" t="e">
        <f>VLOOKUP(M52,'справочная информация'!$D$294:$E$301,2,0)</f>
        <v>#N/A</v>
      </c>
      <c r="AL52" s="3" t="e">
        <f>VLOOKUP(N52,'справочная информация'!$D$306:$E$310,2,0)</f>
        <v>#N/A</v>
      </c>
      <c r="AM52" s="169" t="str">
        <f t="shared" si="23"/>
        <v>()</v>
      </c>
      <c r="AN52" s="3" t="str">
        <f t="shared" si="24"/>
        <v/>
      </c>
      <c r="AO52" s="3" t="e">
        <f>VLOOKUP(O52,'справочная информация'!$D$329:$E$336,2,0)</f>
        <v>#N/A</v>
      </c>
      <c r="AP52" s="3" t="e">
        <f>VLOOKUP(P52,'справочная информация'!$D$342:$E$349,2,0)</f>
        <v>#N/A</v>
      </c>
      <c r="AQ52" s="3" t="e">
        <f>VLOOKUP(Q52,'справочная информация'!$D$316:$E$325,2,0)</f>
        <v>#N/A</v>
      </c>
      <c r="AR52" s="3" t="str">
        <f t="shared" si="25"/>
        <v/>
      </c>
      <c r="AS52" s="170" t="str">
        <f t="shared" si="26"/>
        <v/>
      </c>
      <c r="AT52" s="3" t="str">
        <f t="shared" si="27"/>
        <v/>
      </c>
      <c r="AU52" s="3" t="e">
        <f>ABS(MATCH($AX52,'справочная информация'!$A$354:$A$391,0)-MATCH($AY52,'справочная информация'!$A$354:$A$391,0))</f>
        <v>#N/A</v>
      </c>
      <c r="AV52" s="3" t="str">
        <f>IFERROR(INDEX('справочная информация'!$B$6:$R$29,MATCH('Расчет грейда'!$Y52,'справочная информация'!$A$6:$A$29,0),MATCH('Расчет грейда'!$X52,'справочная информация'!$B$5:$R$5,0)),"")</f>
        <v/>
      </c>
      <c r="AW52" s="171" t="str">
        <f>IFERROR(INDEX('справочная информация'!$B$37:$H$52,MATCH('Расчет грейда'!$AA52,'справочная информация'!$A$37:$A$52,0),MATCH('Расчет грейда'!$N52,'справочная информация'!$B$36:$H$36,0)),"")</f>
        <v/>
      </c>
      <c r="AX52" s="122" t="str">
        <f>IFERROR(INDEX('справочная информация'!$D$108:$AD$123,MATCH('Расчет грейда'!$AW52,'справочная информация'!$C$108:$C$123,0),MATCH('Расчет грейда'!$AV52,'справочная информация'!$D$107:$AD$107,0)),"")</f>
        <v/>
      </c>
      <c r="AY52" s="133" t="str">
        <f>IFERROR(INDEX('справочная информация'!$B$158:$Y$181,MATCH('Расчет грейда'!$AE52,'справочная информация'!$A$158:$A$181,0),MATCH('Расчет грейда'!$AD52,'справочная информация'!$B$157:$Y$157,0)),"")</f>
        <v/>
      </c>
      <c r="AZ52" s="170" t="str">
        <f t="shared" si="28"/>
        <v/>
      </c>
      <c r="BA52" s="172" t="str">
        <f>IFERROR(CONCATENATE(TEXT(AZ52/INDEX('справочная информация'!$D$223:$D$261,MATCH('Расчет грейда'!$AZ52,'справочная информация'!$C$223:$C$261,1)),"0%")," - процент относительно медианы 100%. ","MIN балл на грейде ",INDEX('справочная информация'!$C$223:$C$261,MATCH('Расчет грейда'!$AZ52,'справочная информация'!$C$223:$C$261,1)),", "," MAX балл на грейде ",INDEX('справочная информация'!$E$223:$E$261,MATCH('Расчет грейда'!$AZ52,'справочная информация'!$C$223:$C$261,1))),"")</f>
        <v/>
      </c>
      <c r="BB52" s="120" t="str">
        <f t="shared" si="29"/>
        <v/>
      </c>
      <c r="BC52" s="3" t="str">
        <f t="shared" si="30"/>
        <v/>
      </c>
      <c r="BD52" s="121" t="str">
        <f>IFERROR(VLOOKUP(BC52,'справочная информация'!$B$416:$C$424,2,0),"Проверить данные, нетипичная должность")</f>
        <v>Проверить данные, нетипичная должность</v>
      </c>
      <c r="BE52" s="3" t="str">
        <f t="shared" si="31"/>
        <v/>
      </c>
      <c r="BF52" s="3" t="str">
        <f>IFERROR(INDEX('справочная информация'!$F$223:$F$261,MATCH('Расчет грейда'!$AZ52,'справочная информация'!$C$223:$C$261,1)),"")</f>
        <v/>
      </c>
    </row>
    <row r="53" spans="1:58" s="9" customFormat="1" x14ac:dyDescent="0.35">
      <c r="A53" s="120"/>
      <c r="B53" s="122"/>
      <c r="C53" s="140"/>
      <c r="D53" s="120"/>
      <c r="E53" s="120"/>
      <c r="F53" s="120"/>
      <c r="G53" s="120"/>
      <c r="H53" s="120"/>
      <c r="J53" s="142"/>
      <c r="K53" s="142"/>
      <c r="L53" s="142"/>
      <c r="R53" s="3"/>
      <c r="S53" s="138"/>
      <c r="T53" s="3"/>
      <c r="U53" s="3"/>
      <c r="V53" s="3"/>
      <c r="W53" s="3" t="str">
        <f t="shared" si="16"/>
        <v/>
      </c>
      <c r="X53" s="9" t="str">
        <f t="shared" si="17"/>
        <v/>
      </c>
      <c r="Y53" s="9" t="str">
        <f t="shared" si="18"/>
        <v/>
      </c>
      <c r="Z53" s="3" t="e">
        <f>INDEX('справочная информация'!$U$6:$AK$29,MATCH('Расчет грейда'!$Y53,'справочная информация'!$T$6:$T$29,0),MATCH('Расчет грейда'!$X53,'справочная информация'!$U$5:$AK$5,0))</f>
        <v>#N/A</v>
      </c>
      <c r="AA53" s="9" t="str">
        <f t="shared" si="19"/>
        <v/>
      </c>
      <c r="AB53" s="3" t="e">
        <f>INDEX('справочная информация'!$B$68:$H$83,MATCH('Расчет грейда'!$AA53,'справочная информация'!$A$68:$A$83,0),MATCH('Расчет грейда'!$N53,'справочная информация'!$B$67:$H$67,0))</f>
        <v>#N/A</v>
      </c>
      <c r="AC53" s="3" t="e">
        <f>INDEX('справочная информация'!$D$130:$AD$145,MATCH('Расчет грейда'!$AW53,'справочная информация'!$C$130:$C$145,0),MATCH('Расчет грейда'!$AV53,'справочная информация'!$D$129:$AD$129,0))</f>
        <v>#N/A</v>
      </c>
      <c r="AD53" s="9" t="str">
        <f t="shared" si="20"/>
        <v/>
      </c>
      <c r="AE53" s="9" t="str">
        <f t="shared" si="21"/>
        <v/>
      </c>
      <c r="AF53" s="3" t="str">
        <f>IFERROR(IF(AND(AD53="",AE53=""),"",INDEX('справочная информация'!$B$188:$Y$211,MATCH('Расчет грейда'!$AE53,'справочная информация'!$A$188:$A$211,0),MATCH('Расчет грейда'!$AD53,'справочная информация'!$B$187:$Y$187,0))),"НЕТ")</f>
        <v/>
      </c>
      <c r="AG53" s="3" t="e">
        <f>VLOOKUP(J53,'справочная информация'!$D$267:$E$274,2,0)</f>
        <v>#N/A</v>
      </c>
      <c r="AH53" s="3" t="e">
        <f>VLOOKUP(K53,'справочная информация'!$D$279:$E$283,2,0)</f>
        <v>#N/A</v>
      </c>
      <c r="AI53" s="3" t="e">
        <f>VLOOKUP(L53,'справочная информация'!$D$288:$E$290,2,0)</f>
        <v>#N/A</v>
      </c>
      <c r="AJ53" s="3" t="str">
        <f t="shared" si="22"/>
        <v/>
      </c>
      <c r="AK53" s="169" t="e">
        <f>VLOOKUP(M53,'справочная информация'!$D$294:$E$301,2,0)</f>
        <v>#N/A</v>
      </c>
      <c r="AL53" s="3" t="e">
        <f>VLOOKUP(N53,'справочная информация'!$D$306:$E$310,2,0)</f>
        <v>#N/A</v>
      </c>
      <c r="AM53" s="169" t="str">
        <f t="shared" si="23"/>
        <v>()</v>
      </c>
      <c r="AN53" s="3" t="str">
        <f t="shared" si="24"/>
        <v/>
      </c>
      <c r="AO53" s="3" t="e">
        <f>VLOOKUP(O53,'справочная информация'!$D$329:$E$336,2,0)</f>
        <v>#N/A</v>
      </c>
      <c r="AP53" s="3" t="e">
        <f>VLOOKUP(P53,'справочная информация'!$D$342:$E$349,2,0)</f>
        <v>#N/A</v>
      </c>
      <c r="AQ53" s="3" t="e">
        <f>VLOOKUP(Q53,'справочная информация'!$D$316:$E$325,2,0)</f>
        <v>#N/A</v>
      </c>
      <c r="AR53" s="3" t="str">
        <f t="shared" si="25"/>
        <v/>
      </c>
      <c r="AS53" s="170" t="str">
        <f t="shared" si="26"/>
        <v/>
      </c>
      <c r="AT53" s="3" t="str">
        <f t="shared" si="27"/>
        <v/>
      </c>
      <c r="AU53" s="3" t="e">
        <f>ABS(MATCH($AX53,'справочная информация'!$A$354:$A$391,0)-MATCH($AY53,'справочная информация'!$A$354:$A$391,0))</f>
        <v>#N/A</v>
      </c>
      <c r="AV53" s="3" t="str">
        <f>IFERROR(INDEX('справочная информация'!$B$6:$R$29,MATCH('Расчет грейда'!$Y53,'справочная информация'!$A$6:$A$29,0),MATCH('Расчет грейда'!$X53,'справочная информация'!$B$5:$R$5,0)),"")</f>
        <v/>
      </c>
      <c r="AW53" s="171" t="str">
        <f>IFERROR(INDEX('справочная информация'!$B$37:$H$52,MATCH('Расчет грейда'!$AA53,'справочная информация'!$A$37:$A$52,0),MATCH('Расчет грейда'!$N53,'справочная информация'!$B$36:$H$36,0)),"")</f>
        <v/>
      </c>
      <c r="AX53" s="122" t="str">
        <f>IFERROR(INDEX('справочная информация'!$D$108:$AD$123,MATCH('Расчет грейда'!$AW53,'справочная информация'!$C$108:$C$123,0),MATCH('Расчет грейда'!$AV53,'справочная информация'!$D$107:$AD$107,0)),"")</f>
        <v/>
      </c>
      <c r="AY53" s="133" t="str">
        <f>IFERROR(INDEX('справочная информация'!$B$158:$Y$181,MATCH('Расчет грейда'!$AE53,'справочная информация'!$A$158:$A$181,0),MATCH('Расчет грейда'!$AD53,'справочная информация'!$B$157:$Y$157,0)),"")</f>
        <v/>
      </c>
      <c r="AZ53" s="170" t="str">
        <f t="shared" si="28"/>
        <v/>
      </c>
      <c r="BA53" s="172" t="str">
        <f>IFERROR(CONCATENATE(TEXT(AZ53/INDEX('справочная информация'!$D$223:$D$261,MATCH('Расчет грейда'!$AZ53,'справочная информация'!$C$223:$C$261,1)),"0%")," - процент относительно медианы 100%. ","MIN балл на грейде ",INDEX('справочная информация'!$C$223:$C$261,MATCH('Расчет грейда'!$AZ53,'справочная информация'!$C$223:$C$261,1)),", "," MAX балл на грейде ",INDEX('справочная информация'!$E$223:$E$261,MATCH('Расчет грейда'!$AZ53,'справочная информация'!$C$223:$C$261,1))),"")</f>
        <v/>
      </c>
      <c r="BB53" s="120" t="str">
        <f t="shared" si="29"/>
        <v/>
      </c>
      <c r="BC53" s="3" t="str">
        <f t="shared" si="30"/>
        <v/>
      </c>
      <c r="BD53" s="121" t="str">
        <f>IFERROR(VLOOKUP(BC53,'справочная информация'!$B$416:$C$424,2,0),"Проверить данные, нетипичная должность")</f>
        <v>Проверить данные, нетипичная должность</v>
      </c>
      <c r="BE53" s="3" t="str">
        <f t="shared" si="31"/>
        <v/>
      </c>
      <c r="BF53" s="3" t="str">
        <f>IFERROR(INDEX('справочная информация'!$F$223:$F$261,MATCH('Расчет грейда'!$AZ53,'справочная информация'!$C$223:$C$261,1)),"")</f>
        <v/>
      </c>
    </row>
    <row r="54" spans="1:58" s="9" customFormat="1" x14ac:dyDescent="0.35">
      <c r="A54" s="120"/>
      <c r="B54" s="122"/>
      <c r="C54" s="140"/>
      <c r="D54" s="120"/>
      <c r="E54" s="120"/>
      <c r="F54" s="120"/>
      <c r="G54" s="120"/>
      <c r="H54" s="120"/>
      <c r="J54" s="142"/>
      <c r="K54" s="142"/>
      <c r="L54" s="142"/>
      <c r="R54" s="3"/>
      <c r="S54" s="138"/>
      <c r="T54" s="3"/>
      <c r="U54" s="3"/>
      <c r="V54" s="3"/>
      <c r="W54" s="3" t="str">
        <f t="shared" si="16"/>
        <v/>
      </c>
      <c r="X54" s="9" t="str">
        <f t="shared" si="17"/>
        <v/>
      </c>
      <c r="Y54" s="9" t="str">
        <f t="shared" si="18"/>
        <v/>
      </c>
      <c r="Z54" s="3" t="e">
        <f>INDEX('справочная информация'!$U$6:$AK$29,MATCH('Расчет грейда'!$Y54,'справочная информация'!$T$6:$T$29,0),MATCH('Расчет грейда'!$X54,'справочная информация'!$U$5:$AK$5,0))</f>
        <v>#N/A</v>
      </c>
      <c r="AA54" s="9" t="str">
        <f t="shared" si="19"/>
        <v/>
      </c>
      <c r="AB54" s="3" t="e">
        <f>INDEX('справочная информация'!$B$68:$H$83,MATCH('Расчет грейда'!$AA54,'справочная информация'!$A$68:$A$83,0),MATCH('Расчет грейда'!$N54,'справочная информация'!$B$67:$H$67,0))</f>
        <v>#N/A</v>
      </c>
      <c r="AC54" s="3" t="e">
        <f>INDEX('справочная информация'!$D$130:$AD$145,MATCH('Расчет грейда'!$AW54,'справочная информация'!$C$130:$C$145,0),MATCH('Расчет грейда'!$AV54,'справочная информация'!$D$129:$AD$129,0))</f>
        <v>#N/A</v>
      </c>
      <c r="AD54" s="9" t="str">
        <f t="shared" si="20"/>
        <v/>
      </c>
      <c r="AE54" s="9" t="str">
        <f t="shared" si="21"/>
        <v/>
      </c>
      <c r="AF54" s="3" t="str">
        <f>IFERROR(IF(AND(AD54="",AE54=""),"",INDEX('справочная информация'!$B$188:$Y$211,MATCH('Расчет грейда'!$AE54,'справочная информация'!$A$188:$A$211,0),MATCH('Расчет грейда'!$AD54,'справочная информация'!$B$187:$Y$187,0))),"НЕТ")</f>
        <v/>
      </c>
      <c r="AG54" s="3" t="e">
        <f>VLOOKUP(J54,'справочная информация'!$D$267:$E$274,2,0)</f>
        <v>#N/A</v>
      </c>
      <c r="AH54" s="3" t="e">
        <f>VLOOKUP(K54,'справочная информация'!$D$279:$E$283,2,0)</f>
        <v>#N/A</v>
      </c>
      <c r="AI54" s="3" t="e">
        <f>VLOOKUP(L54,'справочная информация'!$D$288:$E$290,2,0)</f>
        <v>#N/A</v>
      </c>
      <c r="AJ54" s="3" t="str">
        <f t="shared" si="22"/>
        <v/>
      </c>
      <c r="AK54" s="169" t="e">
        <f>VLOOKUP(M54,'справочная информация'!$D$294:$E$301,2,0)</f>
        <v>#N/A</v>
      </c>
      <c r="AL54" s="3" t="e">
        <f>VLOOKUP(N54,'справочная информация'!$D$306:$E$310,2,0)</f>
        <v>#N/A</v>
      </c>
      <c r="AM54" s="169" t="str">
        <f t="shared" si="23"/>
        <v>()</v>
      </c>
      <c r="AN54" s="3" t="str">
        <f t="shared" si="24"/>
        <v/>
      </c>
      <c r="AO54" s="3" t="e">
        <f>VLOOKUP(O54,'справочная информация'!$D$329:$E$336,2,0)</f>
        <v>#N/A</v>
      </c>
      <c r="AP54" s="3" t="e">
        <f>VLOOKUP(P54,'справочная информация'!$D$342:$E$349,2,0)</f>
        <v>#N/A</v>
      </c>
      <c r="AQ54" s="3" t="e">
        <f>VLOOKUP(Q54,'справочная информация'!$D$316:$E$325,2,0)</f>
        <v>#N/A</v>
      </c>
      <c r="AR54" s="3" t="str">
        <f t="shared" si="25"/>
        <v/>
      </c>
      <c r="AS54" s="170" t="str">
        <f t="shared" si="26"/>
        <v/>
      </c>
      <c r="AT54" s="3" t="str">
        <f t="shared" si="27"/>
        <v/>
      </c>
      <c r="AU54" s="3" t="e">
        <f>ABS(MATCH($AX54,'справочная информация'!$A$354:$A$391,0)-MATCH($AY54,'справочная информация'!$A$354:$A$391,0))</f>
        <v>#N/A</v>
      </c>
      <c r="AV54" s="3" t="str">
        <f>IFERROR(INDEX('справочная информация'!$B$6:$R$29,MATCH('Расчет грейда'!$Y54,'справочная информация'!$A$6:$A$29,0),MATCH('Расчет грейда'!$X54,'справочная информация'!$B$5:$R$5,0)),"")</f>
        <v/>
      </c>
      <c r="AW54" s="171" t="str">
        <f>IFERROR(INDEX('справочная информация'!$B$37:$H$52,MATCH('Расчет грейда'!$AA54,'справочная информация'!$A$37:$A$52,0),MATCH('Расчет грейда'!$N54,'справочная информация'!$B$36:$H$36,0)),"")</f>
        <v/>
      </c>
      <c r="AX54" s="122" t="str">
        <f>IFERROR(INDEX('справочная информация'!$D$108:$AD$123,MATCH('Расчет грейда'!$AW54,'справочная информация'!$C$108:$C$123,0),MATCH('Расчет грейда'!$AV54,'справочная информация'!$D$107:$AD$107,0)),"")</f>
        <v/>
      </c>
      <c r="AY54" s="133" t="str">
        <f>IFERROR(INDEX('справочная информация'!$B$158:$Y$181,MATCH('Расчет грейда'!$AE54,'справочная информация'!$A$158:$A$181,0),MATCH('Расчет грейда'!$AD54,'справочная информация'!$B$157:$Y$157,0)),"")</f>
        <v/>
      </c>
      <c r="AZ54" s="170" t="str">
        <f t="shared" si="28"/>
        <v/>
      </c>
      <c r="BA54" s="172" t="str">
        <f>IFERROR(CONCATENATE(TEXT(AZ54/INDEX('справочная информация'!$D$223:$D$261,MATCH('Расчет грейда'!$AZ54,'справочная информация'!$C$223:$C$261,1)),"0%")," - процент относительно медианы 100%. ","MIN балл на грейде ",INDEX('справочная информация'!$C$223:$C$261,MATCH('Расчет грейда'!$AZ54,'справочная информация'!$C$223:$C$261,1)),", "," MAX балл на грейде ",INDEX('справочная информация'!$E$223:$E$261,MATCH('Расчет грейда'!$AZ54,'справочная информация'!$C$223:$C$261,1))),"")</f>
        <v/>
      </c>
      <c r="BB54" s="120" t="str">
        <f t="shared" si="29"/>
        <v/>
      </c>
      <c r="BC54" s="3" t="str">
        <f t="shared" si="30"/>
        <v/>
      </c>
      <c r="BD54" s="121" t="str">
        <f>IFERROR(VLOOKUP(BC54,'справочная информация'!$B$416:$C$424,2,0),"Проверить данные, нетипичная должность")</f>
        <v>Проверить данные, нетипичная должность</v>
      </c>
      <c r="BE54" s="3" t="str">
        <f t="shared" si="31"/>
        <v/>
      </c>
      <c r="BF54" s="3" t="str">
        <f>IFERROR(INDEX('справочная информация'!$F$223:$F$261,MATCH('Расчет грейда'!$AZ54,'справочная информация'!$C$223:$C$261,1)),"")</f>
        <v/>
      </c>
    </row>
    <row r="55" spans="1:58" s="9" customFormat="1" x14ac:dyDescent="0.35">
      <c r="A55" s="120"/>
      <c r="B55" s="122"/>
      <c r="C55" s="140"/>
      <c r="D55" s="120"/>
      <c r="E55" s="120"/>
      <c r="F55" s="120"/>
      <c r="G55" s="120"/>
      <c r="H55" s="120"/>
      <c r="J55" s="142"/>
      <c r="K55" s="142"/>
      <c r="L55" s="142"/>
      <c r="R55" s="3"/>
      <c r="S55" s="138"/>
      <c r="T55" s="3"/>
      <c r="U55" s="3"/>
      <c r="V55" s="3"/>
      <c r="W55" s="3" t="str">
        <f t="shared" si="16"/>
        <v/>
      </c>
      <c r="X55" s="9" t="str">
        <f t="shared" si="17"/>
        <v/>
      </c>
      <c r="Y55" s="9" t="str">
        <f t="shared" si="18"/>
        <v/>
      </c>
      <c r="Z55" s="3" t="e">
        <f>INDEX('справочная информация'!$U$6:$AK$29,MATCH('Расчет грейда'!$Y55,'справочная информация'!$T$6:$T$29,0),MATCH('Расчет грейда'!$X55,'справочная информация'!$U$5:$AK$5,0))</f>
        <v>#N/A</v>
      </c>
      <c r="AA55" s="9" t="str">
        <f t="shared" si="19"/>
        <v/>
      </c>
      <c r="AB55" s="3" t="e">
        <f>INDEX('справочная информация'!$B$68:$H$83,MATCH('Расчет грейда'!$AA55,'справочная информация'!$A$68:$A$83,0),MATCH('Расчет грейда'!$N55,'справочная информация'!$B$67:$H$67,0))</f>
        <v>#N/A</v>
      </c>
      <c r="AC55" s="3" t="e">
        <f>INDEX('справочная информация'!$D$130:$AD$145,MATCH('Расчет грейда'!$AW55,'справочная информация'!$C$130:$C$145,0),MATCH('Расчет грейда'!$AV55,'справочная информация'!$D$129:$AD$129,0))</f>
        <v>#N/A</v>
      </c>
      <c r="AD55" s="9" t="str">
        <f t="shared" si="20"/>
        <v/>
      </c>
      <c r="AE55" s="9" t="str">
        <f t="shared" si="21"/>
        <v/>
      </c>
      <c r="AF55" s="3" t="str">
        <f>IFERROR(IF(AND(AD55="",AE55=""),"",INDEX('справочная информация'!$B$188:$Y$211,MATCH('Расчет грейда'!$AE55,'справочная информация'!$A$188:$A$211,0),MATCH('Расчет грейда'!$AD55,'справочная информация'!$B$187:$Y$187,0))),"НЕТ")</f>
        <v/>
      </c>
      <c r="AG55" s="3" t="e">
        <f>VLOOKUP(J55,'справочная информация'!$D$267:$E$274,2,0)</f>
        <v>#N/A</v>
      </c>
      <c r="AH55" s="3" t="e">
        <f>VLOOKUP(K55,'справочная информация'!$D$279:$E$283,2,0)</f>
        <v>#N/A</v>
      </c>
      <c r="AI55" s="3" t="e">
        <f>VLOOKUP(L55,'справочная информация'!$D$288:$E$290,2,0)</f>
        <v>#N/A</v>
      </c>
      <c r="AJ55" s="3" t="str">
        <f t="shared" si="22"/>
        <v/>
      </c>
      <c r="AK55" s="169" t="e">
        <f>VLOOKUP(M55,'справочная информация'!$D$294:$E$301,2,0)</f>
        <v>#N/A</v>
      </c>
      <c r="AL55" s="3" t="e">
        <f>VLOOKUP(N55,'справочная информация'!$D$306:$E$310,2,0)</f>
        <v>#N/A</v>
      </c>
      <c r="AM55" s="169" t="str">
        <f t="shared" si="23"/>
        <v>()</v>
      </c>
      <c r="AN55" s="3" t="str">
        <f t="shared" si="24"/>
        <v/>
      </c>
      <c r="AO55" s="3" t="e">
        <f>VLOOKUP(O55,'справочная информация'!$D$329:$E$336,2,0)</f>
        <v>#N/A</v>
      </c>
      <c r="AP55" s="3" t="e">
        <f>VLOOKUP(P55,'справочная информация'!$D$342:$E$349,2,0)</f>
        <v>#N/A</v>
      </c>
      <c r="AQ55" s="3" t="e">
        <f>VLOOKUP(Q55,'справочная информация'!$D$316:$E$325,2,0)</f>
        <v>#N/A</v>
      </c>
      <c r="AR55" s="3" t="str">
        <f t="shared" si="25"/>
        <v/>
      </c>
      <c r="AS55" s="170" t="str">
        <f t="shared" si="26"/>
        <v/>
      </c>
      <c r="AT55" s="3" t="str">
        <f t="shared" si="27"/>
        <v/>
      </c>
      <c r="AU55" s="3" t="e">
        <f>ABS(MATCH($AX55,'справочная информация'!$A$354:$A$391,0)-MATCH($AY55,'справочная информация'!$A$354:$A$391,0))</f>
        <v>#N/A</v>
      </c>
      <c r="AV55" s="3" t="str">
        <f>IFERROR(INDEX('справочная информация'!$B$6:$R$29,MATCH('Расчет грейда'!$Y55,'справочная информация'!$A$6:$A$29,0),MATCH('Расчет грейда'!$X55,'справочная информация'!$B$5:$R$5,0)),"")</f>
        <v/>
      </c>
      <c r="AW55" s="171" t="str">
        <f>IFERROR(INDEX('справочная информация'!$B$37:$H$52,MATCH('Расчет грейда'!$AA55,'справочная информация'!$A$37:$A$52,0),MATCH('Расчет грейда'!$N55,'справочная информация'!$B$36:$H$36,0)),"")</f>
        <v/>
      </c>
      <c r="AX55" s="122" t="str">
        <f>IFERROR(INDEX('справочная информация'!$D$108:$AD$123,MATCH('Расчет грейда'!$AW55,'справочная информация'!$C$108:$C$123,0),MATCH('Расчет грейда'!$AV55,'справочная информация'!$D$107:$AD$107,0)),"")</f>
        <v/>
      </c>
      <c r="AY55" s="133" t="str">
        <f>IFERROR(INDEX('справочная информация'!$B$158:$Y$181,MATCH('Расчет грейда'!$AE55,'справочная информация'!$A$158:$A$181,0),MATCH('Расчет грейда'!$AD55,'справочная информация'!$B$157:$Y$157,0)),"")</f>
        <v/>
      </c>
      <c r="AZ55" s="170" t="str">
        <f t="shared" si="28"/>
        <v/>
      </c>
      <c r="BA55" s="172" t="str">
        <f>IFERROR(CONCATENATE(TEXT(AZ55/INDEX('справочная информация'!$D$223:$D$261,MATCH('Расчет грейда'!$AZ55,'справочная информация'!$C$223:$C$261,1)),"0%")," - процент относительно медианы 100%. ","MIN балл на грейде ",INDEX('справочная информация'!$C$223:$C$261,MATCH('Расчет грейда'!$AZ55,'справочная информация'!$C$223:$C$261,1)),", "," MAX балл на грейде ",INDEX('справочная информация'!$E$223:$E$261,MATCH('Расчет грейда'!$AZ55,'справочная информация'!$C$223:$C$261,1))),"")</f>
        <v/>
      </c>
      <c r="BB55" s="120" t="str">
        <f t="shared" si="29"/>
        <v/>
      </c>
      <c r="BC55" s="3" t="str">
        <f t="shared" si="30"/>
        <v/>
      </c>
      <c r="BD55" s="121" t="str">
        <f>IFERROR(VLOOKUP(BC55,'справочная информация'!$B$416:$C$424,2,0),"Проверить данные, нетипичная должность")</f>
        <v>Проверить данные, нетипичная должность</v>
      </c>
      <c r="BE55" s="3" t="str">
        <f t="shared" si="31"/>
        <v/>
      </c>
      <c r="BF55" s="3" t="str">
        <f>IFERROR(INDEX('справочная информация'!$F$223:$F$261,MATCH('Расчет грейда'!$AZ55,'справочная информация'!$C$223:$C$261,1)),"")</f>
        <v/>
      </c>
    </row>
    <row r="56" spans="1:58" s="9" customFormat="1" x14ac:dyDescent="0.35">
      <c r="A56" s="120"/>
      <c r="B56" s="122"/>
      <c r="C56" s="140"/>
      <c r="D56" s="120"/>
      <c r="E56" s="120"/>
      <c r="F56" s="120"/>
      <c r="G56" s="120"/>
      <c r="H56" s="120"/>
      <c r="J56" s="142"/>
      <c r="K56" s="142"/>
      <c r="L56" s="142"/>
      <c r="R56" s="3"/>
      <c r="S56" s="138"/>
      <c r="T56" s="3"/>
      <c r="U56" s="3"/>
      <c r="V56" s="3"/>
      <c r="W56" s="3" t="str">
        <f t="shared" si="16"/>
        <v/>
      </c>
      <c r="X56" s="9" t="str">
        <f t="shared" si="17"/>
        <v/>
      </c>
      <c r="Y56" s="9" t="str">
        <f t="shared" si="18"/>
        <v/>
      </c>
      <c r="Z56" s="3" t="e">
        <f>INDEX('справочная информация'!$U$6:$AK$29,MATCH('Расчет грейда'!$Y56,'справочная информация'!$T$6:$T$29,0),MATCH('Расчет грейда'!$X56,'справочная информация'!$U$5:$AK$5,0))</f>
        <v>#N/A</v>
      </c>
      <c r="AA56" s="9" t="str">
        <f t="shared" si="19"/>
        <v/>
      </c>
      <c r="AB56" s="3" t="e">
        <f>INDEX('справочная информация'!$B$68:$H$83,MATCH('Расчет грейда'!$AA56,'справочная информация'!$A$68:$A$83,0),MATCH('Расчет грейда'!$N56,'справочная информация'!$B$67:$H$67,0))</f>
        <v>#N/A</v>
      </c>
      <c r="AC56" s="3" t="e">
        <f>INDEX('справочная информация'!$D$130:$AD$145,MATCH('Расчет грейда'!$AW56,'справочная информация'!$C$130:$C$145,0),MATCH('Расчет грейда'!$AV56,'справочная информация'!$D$129:$AD$129,0))</f>
        <v>#N/A</v>
      </c>
      <c r="AD56" s="9" t="str">
        <f t="shared" si="20"/>
        <v/>
      </c>
      <c r="AE56" s="9" t="str">
        <f t="shared" si="21"/>
        <v/>
      </c>
      <c r="AF56" s="3" t="str">
        <f>IFERROR(IF(AND(AD56="",AE56=""),"",INDEX('справочная информация'!$B$188:$Y$211,MATCH('Расчет грейда'!$AE56,'справочная информация'!$A$188:$A$211,0),MATCH('Расчет грейда'!$AD56,'справочная информация'!$B$187:$Y$187,0))),"НЕТ")</f>
        <v/>
      </c>
      <c r="AG56" s="3" t="e">
        <f>VLOOKUP(J56,'справочная информация'!$D$267:$E$274,2,0)</f>
        <v>#N/A</v>
      </c>
      <c r="AH56" s="3" t="e">
        <f>VLOOKUP(K56,'справочная информация'!$D$279:$E$283,2,0)</f>
        <v>#N/A</v>
      </c>
      <c r="AI56" s="3" t="e">
        <f>VLOOKUP(L56,'справочная информация'!$D$288:$E$290,2,0)</f>
        <v>#N/A</v>
      </c>
      <c r="AJ56" s="3" t="str">
        <f t="shared" si="22"/>
        <v/>
      </c>
      <c r="AK56" s="169" t="e">
        <f>VLOOKUP(M56,'справочная информация'!$D$294:$E$301,2,0)</f>
        <v>#N/A</v>
      </c>
      <c r="AL56" s="3" t="e">
        <f>VLOOKUP(N56,'справочная информация'!$D$306:$E$310,2,0)</f>
        <v>#N/A</v>
      </c>
      <c r="AM56" s="169" t="str">
        <f t="shared" si="23"/>
        <v>()</v>
      </c>
      <c r="AN56" s="3" t="str">
        <f t="shared" si="24"/>
        <v/>
      </c>
      <c r="AO56" s="3" t="e">
        <f>VLOOKUP(O56,'справочная информация'!$D$329:$E$336,2,0)</f>
        <v>#N/A</v>
      </c>
      <c r="AP56" s="3" t="e">
        <f>VLOOKUP(P56,'справочная информация'!$D$342:$E$349,2,0)</f>
        <v>#N/A</v>
      </c>
      <c r="AQ56" s="3" t="e">
        <f>VLOOKUP(Q56,'справочная информация'!$D$316:$E$325,2,0)</f>
        <v>#N/A</v>
      </c>
      <c r="AR56" s="3" t="str">
        <f t="shared" si="25"/>
        <v/>
      </c>
      <c r="AS56" s="170" t="str">
        <f t="shared" si="26"/>
        <v/>
      </c>
      <c r="AT56" s="3" t="str">
        <f t="shared" si="27"/>
        <v/>
      </c>
      <c r="AU56" s="3" t="e">
        <f>ABS(MATCH($AX56,'справочная информация'!$A$354:$A$391,0)-MATCH($AY56,'справочная информация'!$A$354:$A$391,0))</f>
        <v>#N/A</v>
      </c>
      <c r="AV56" s="3" t="str">
        <f>IFERROR(INDEX('справочная информация'!$B$6:$R$29,MATCH('Расчет грейда'!$Y56,'справочная информация'!$A$6:$A$29,0),MATCH('Расчет грейда'!$X56,'справочная информация'!$B$5:$R$5,0)),"")</f>
        <v/>
      </c>
      <c r="AW56" s="171" t="str">
        <f>IFERROR(INDEX('справочная информация'!$B$37:$H$52,MATCH('Расчет грейда'!$AA56,'справочная информация'!$A$37:$A$52,0),MATCH('Расчет грейда'!$N56,'справочная информация'!$B$36:$H$36,0)),"")</f>
        <v/>
      </c>
      <c r="AX56" s="122" t="str">
        <f>IFERROR(INDEX('справочная информация'!$D$108:$AD$123,MATCH('Расчет грейда'!$AW56,'справочная информация'!$C$108:$C$123,0),MATCH('Расчет грейда'!$AV56,'справочная информация'!$D$107:$AD$107,0)),"")</f>
        <v/>
      </c>
      <c r="AY56" s="133" t="str">
        <f>IFERROR(INDEX('справочная информация'!$B$158:$Y$181,MATCH('Расчет грейда'!$AE56,'справочная информация'!$A$158:$A$181,0),MATCH('Расчет грейда'!$AD56,'справочная информация'!$B$157:$Y$157,0)),"")</f>
        <v/>
      </c>
      <c r="AZ56" s="170" t="str">
        <f t="shared" si="28"/>
        <v/>
      </c>
      <c r="BA56" s="172" t="str">
        <f>IFERROR(CONCATENATE(TEXT(AZ56/INDEX('справочная информация'!$D$223:$D$261,MATCH('Расчет грейда'!$AZ56,'справочная информация'!$C$223:$C$261,1)),"0%")," - процент относительно медианы 100%. ","MIN балл на грейде ",INDEX('справочная информация'!$C$223:$C$261,MATCH('Расчет грейда'!$AZ56,'справочная информация'!$C$223:$C$261,1)),", "," MAX балл на грейде ",INDEX('справочная информация'!$E$223:$E$261,MATCH('Расчет грейда'!$AZ56,'справочная информация'!$C$223:$C$261,1))),"")</f>
        <v/>
      </c>
      <c r="BB56" s="120" t="str">
        <f t="shared" si="29"/>
        <v/>
      </c>
      <c r="BC56" s="3" t="str">
        <f t="shared" si="30"/>
        <v/>
      </c>
      <c r="BD56" s="121" t="str">
        <f>IFERROR(VLOOKUP(BC56,'справочная информация'!$B$416:$C$424,2,0),"Проверить данные, нетипичная должность")</f>
        <v>Проверить данные, нетипичная должность</v>
      </c>
      <c r="BE56" s="3" t="str">
        <f t="shared" si="31"/>
        <v/>
      </c>
      <c r="BF56" s="3" t="str">
        <f>IFERROR(INDEX('справочная информация'!$F$223:$F$261,MATCH('Расчет грейда'!$AZ56,'справочная информация'!$C$223:$C$261,1)),"")</f>
        <v/>
      </c>
    </row>
    <row r="57" spans="1:58" s="9" customFormat="1" x14ac:dyDescent="0.35">
      <c r="A57" s="120"/>
      <c r="B57" s="122"/>
      <c r="C57" s="140"/>
      <c r="D57" s="120"/>
      <c r="E57" s="120"/>
      <c r="F57" s="120"/>
      <c r="G57" s="120"/>
      <c r="H57" s="120"/>
      <c r="J57" s="142"/>
      <c r="K57" s="142"/>
      <c r="L57" s="142"/>
      <c r="R57" s="3"/>
      <c r="S57" s="138"/>
      <c r="T57" s="3"/>
      <c r="U57" s="3"/>
      <c r="V57" s="3"/>
      <c r="W57" s="3" t="str">
        <f t="shared" si="16"/>
        <v/>
      </c>
      <c r="X57" s="9" t="str">
        <f t="shared" si="17"/>
        <v/>
      </c>
      <c r="Y57" s="9" t="str">
        <f t="shared" si="18"/>
        <v/>
      </c>
      <c r="Z57" s="3" t="e">
        <f>INDEX('справочная информация'!$U$6:$AK$29,MATCH('Расчет грейда'!$Y57,'справочная информация'!$T$6:$T$29,0),MATCH('Расчет грейда'!$X57,'справочная информация'!$U$5:$AK$5,0))</f>
        <v>#N/A</v>
      </c>
      <c r="AA57" s="9" t="str">
        <f t="shared" si="19"/>
        <v/>
      </c>
      <c r="AB57" s="3" t="e">
        <f>INDEX('справочная информация'!$B$68:$H$83,MATCH('Расчет грейда'!$AA57,'справочная информация'!$A$68:$A$83,0),MATCH('Расчет грейда'!$N57,'справочная информация'!$B$67:$H$67,0))</f>
        <v>#N/A</v>
      </c>
      <c r="AC57" s="3" t="e">
        <f>INDEX('справочная информация'!$D$130:$AD$145,MATCH('Расчет грейда'!$AW57,'справочная информация'!$C$130:$C$145,0),MATCH('Расчет грейда'!$AV57,'справочная информация'!$D$129:$AD$129,0))</f>
        <v>#N/A</v>
      </c>
      <c r="AD57" s="9" t="str">
        <f t="shared" si="20"/>
        <v/>
      </c>
      <c r="AE57" s="9" t="str">
        <f t="shared" si="21"/>
        <v/>
      </c>
      <c r="AF57" s="3" t="str">
        <f>IFERROR(IF(AND(AD57="",AE57=""),"",INDEX('справочная информация'!$B$188:$Y$211,MATCH('Расчет грейда'!$AE57,'справочная информация'!$A$188:$A$211,0),MATCH('Расчет грейда'!$AD57,'справочная информация'!$B$187:$Y$187,0))),"НЕТ")</f>
        <v/>
      </c>
      <c r="AG57" s="3" t="e">
        <f>VLOOKUP(J57,'справочная информация'!$D$267:$E$274,2,0)</f>
        <v>#N/A</v>
      </c>
      <c r="AH57" s="3" t="e">
        <f>VLOOKUP(K57,'справочная информация'!$D$279:$E$283,2,0)</f>
        <v>#N/A</v>
      </c>
      <c r="AI57" s="3" t="e">
        <f>VLOOKUP(L57,'справочная информация'!$D$288:$E$290,2,0)</f>
        <v>#N/A</v>
      </c>
      <c r="AJ57" s="3" t="str">
        <f t="shared" si="22"/>
        <v/>
      </c>
      <c r="AK57" s="169" t="e">
        <f>VLOOKUP(M57,'справочная информация'!$D$294:$E$301,2,0)</f>
        <v>#N/A</v>
      </c>
      <c r="AL57" s="3" t="e">
        <f>VLOOKUP(N57,'справочная информация'!$D$306:$E$310,2,0)</f>
        <v>#N/A</v>
      </c>
      <c r="AM57" s="169" t="str">
        <f t="shared" si="23"/>
        <v>()</v>
      </c>
      <c r="AN57" s="3" t="str">
        <f t="shared" si="24"/>
        <v/>
      </c>
      <c r="AO57" s="3" t="e">
        <f>VLOOKUP(O57,'справочная информация'!$D$329:$E$336,2,0)</f>
        <v>#N/A</v>
      </c>
      <c r="AP57" s="3" t="e">
        <f>VLOOKUP(P57,'справочная информация'!$D$342:$E$349,2,0)</f>
        <v>#N/A</v>
      </c>
      <c r="AQ57" s="3" t="e">
        <f>VLOOKUP(Q57,'справочная информация'!$D$316:$E$325,2,0)</f>
        <v>#N/A</v>
      </c>
      <c r="AR57" s="3" t="str">
        <f t="shared" si="25"/>
        <v/>
      </c>
      <c r="AS57" s="170" t="str">
        <f t="shared" si="26"/>
        <v/>
      </c>
      <c r="AT57" s="3" t="str">
        <f t="shared" si="27"/>
        <v/>
      </c>
      <c r="AU57" s="3" t="e">
        <f>ABS(MATCH($AX57,'справочная информация'!$A$354:$A$391,0)-MATCH($AY57,'справочная информация'!$A$354:$A$391,0))</f>
        <v>#N/A</v>
      </c>
      <c r="AV57" s="3" t="str">
        <f>IFERROR(INDEX('справочная информация'!$B$6:$R$29,MATCH('Расчет грейда'!$Y57,'справочная информация'!$A$6:$A$29,0),MATCH('Расчет грейда'!$X57,'справочная информация'!$B$5:$R$5,0)),"")</f>
        <v/>
      </c>
      <c r="AW57" s="171" t="str">
        <f>IFERROR(INDEX('справочная информация'!$B$37:$H$52,MATCH('Расчет грейда'!$AA57,'справочная информация'!$A$37:$A$52,0),MATCH('Расчет грейда'!$N57,'справочная информация'!$B$36:$H$36,0)),"")</f>
        <v/>
      </c>
      <c r="AX57" s="122" t="str">
        <f>IFERROR(INDEX('справочная информация'!$D$108:$AD$123,MATCH('Расчет грейда'!$AW57,'справочная информация'!$C$108:$C$123,0),MATCH('Расчет грейда'!$AV57,'справочная информация'!$D$107:$AD$107,0)),"")</f>
        <v/>
      </c>
      <c r="AY57" s="133" t="str">
        <f>IFERROR(INDEX('справочная информация'!$B$158:$Y$181,MATCH('Расчет грейда'!$AE57,'справочная информация'!$A$158:$A$181,0),MATCH('Расчет грейда'!$AD57,'справочная информация'!$B$157:$Y$157,0)),"")</f>
        <v/>
      </c>
      <c r="AZ57" s="170" t="str">
        <f t="shared" si="28"/>
        <v/>
      </c>
      <c r="BA57" s="172" t="str">
        <f>IFERROR(CONCATENATE(TEXT(AZ57/INDEX('справочная информация'!$D$223:$D$261,MATCH('Расчет грейда'!$AZ57,'справочная информация'!$C$223:$C$261,1)),"0%")," - процент относительно медианы 100%. ","MIN балл на грейде ",INDEX('справочная информация'!$C$223:$C$261,MATCH('Расчет грейда'!$AZ57,'справочная информация'!$C$223:$C$261,1)),", "," MAX балл на грейде ",INDEX('справочная информация'!$E$223:$E$261,MATCH('Расчет грейда'!$AZ57,'справочная информация'!$C$223:$C$261,1))),"")</f>
        <v/>
      </c>
      <c r="BB57" s="120" t="str">
        <f t="shared" si="29"/>
        <v/>
      </c>
      <c r="BC57" s="3" t="str">
        <f t="shared" si="30"/>
        <v/>
      </c>
      <c r="BD57" s="121" t="str">
        <f>IFERROR(VLOOKUP(BC57,'справочная информация'!$B$416:$C$424,2,0),"Проверить данные, нетипичная должность")</f>
        <v>Проверить данные, нетипичная должность</v>
      </c>
      <c r="BE57" s="3" t="str">
        <f t="shared" si="31"/>
        <v/>
      </c>
      <c r="BF57" s="3" t="str">
        <f>IFERROR(INDEX('справочная информация'!$F$223:$F$261,MATCH('Расчет грейда'!$AZ57,'справочная информация'!$C$223:$C$261,1)),"")</f>
        <v/>
      </c>
    </row>
    <row r="58" spans="1:58" s="9" customFormat="1" x14ac:dyDescent="0.35">
      <c r="A58" s="120"/>
      <c r="B58" s="122"/>
      <c r="C58" s="140"/>
      <c r="D58" s="120"/>
      <c r="E58" s="120"/>
      <c r="F58" s="120"/>
      <c r="G58" s="120"/>
      <c r="H58" s="120"/>
      <c r="J58" s="142"/>
      <c r="K58" s="142"/>
      <c r="L58" s="142"/>
      <c r="R58" s="3"/>
      <c r="S58" s="138"/>
      <c r="T58" s="3"/>
      <c r="U58" s="3"/>
      <c r="V58" s="3"/>
      <c r="W58" s="3" t="str">
        <f t="shared" si="16"/>
        <v/>
      </c>
      <c r="X58" s="9" t="str">
        <f t="shared" si="17"/>
        <v/>
      </c>
      <c r="Y58" s="9" t="str">
        <f t="shared" si="18"/>
        <v/>
      </c>
      <c r="Z58" s="3" t="e">
        <f>INDEX('справочная информация'!$U$6:$AK$29,MATCH('Расчет грейда'!$Y58,'справочная информация'!$T$6:$T$29,0),MATCH('Расчет грейда'!$X58,'справочная информация'!$U$5:$AK$5,0))</f>
        <v>#N/A</v>
      </c>
      <c r="AA58" s="9" t="str">
        <f t="shared" si="19"/>
        <v/>
      </c>
      <c r="AB58" s="3" t="e">
        <f>INDEX('справочная информация'!$B$68:$H$83,MATCH('Расчет грейда'!$AA58,'справочная информация'!$A$68:$A$83,0),MATCH('Расчет грейда'!$N58,'справочная информация'!$B$67:$H$67,0))</f>
        <v>#N/A</v>
      </c>
      <c r="AC58" s="3" t="e">
        <f>INDEX('справочная информация'!$D$130:$AD$145,MATCH('Расчет грейда'!$AW58,'справочная информация'!$C$130:$C$145,0),MATCH('Расчет грейда'!$AV58,'справочная информация'!$D$129:$AD$129,0))</f>
        <v>#N/A</v>
      </c>
      <c r="AD58" s="9" t="str">
        <f t="shared" si="20"/>
        <v/>
      </c>
      <c r="AE58" s="9" t="str">
        <f t="shared" si="21"/>
        <v/>
      </c>
      <c r="AF58" s="3" t="str">
        <f>IFERROR(IF(AND(AD58="",AE58=""),"",INDEX('справочная информация'!$B$188:$Y$211,MATCH('Расчет грейда'!$AE58,'справочная информация'!$A$188:$A$211,0),MATCH('Расчет грейда'!$AD58,'справочная информация'!$B$187:$Y$187,0))),"НЕТ")</f>
        <v/>
      </c>
      <c r="AG58" s="3" t="e">
        <f>VLOOKUP(J58,'справочная информация'!$D$267:$E$274,2,0)</f>
        <v>#N/A</v>
      </c>
      <c r="AH58" s="3" t="e">
        <f>VLOOKUP(K58,'справочная информация'!$D$279:$E$283,2,0)</f>
        <v>#N/A</v>
      </c>
      <c r="AI58" s="3" t="e">
        <f>VLOOKUP(L58,'справочная информация'!$D$288:$E$290,2,0)</f>
        <v>#N/A</v>
      </c>
      <c r="AJ58" s="3" t="str">
        <f t="shared" si="22"/>
        <v/>
      </c>
      <c r="AK58" s="169" t="e">
        <f>VLOOKUP(M58,'справочная информация'!$D$294:$E$301,2,0)</f>
        <v>#N/A</v>
      </c>
      <c r="AL58" s="3" t="e">
        <f>VLOOKUP(N58,'справочная информация'!$D$306:$E$310,2,0)</f>
        <v>#N/A</v>
      </c>
      <c r="AM58" s="169" t="str">
        <f t="shared" si="23"/>
        <v>()</v>
      </c>
      <c r="AN58" s="3" t="str">
        <f t="shared" si="24"/>
        <v/>
      </c>
      <c r="AO58" s="3" t="e">
        <f>VLOOKUP(O58,'справочная информация'!$D$329:$E$336,2,0)</f>
        <v>#N/A</v>
      </c>
      <c r="AP58" s="3" t="e">
        <f>VLOOKUP(P58,'справочная информация'!$D$342:$E$349,2,0)</f>
        <v>#N/A</v>
      </c>
      <c r="AQ58" s="3" t="e">
        <f>VLOOKUP(Q58,'справочная информация'!$D$316:$E$325,2,0)</f>
        <v>#N/A</v>
      </c>
      <c r="AR58" s="3" t="str">
        <f t="shared" si="25"/>
        <v/>
      </c>
      <c r="AS58" s="170" t="str">
        <f t="shared" si="26"/>
        <v/>
      </c>
      <c r="AT58" s="3" t="str">
        <f t="shared" si="27"/>
        <v/>
      </c>
      <c r="AU58" s="3" t="e">
        <f>ABS(MATCH($AX58,'справочная информация'!$A$354:$A$391,0)-MATCH($AY58,'справочная информация'!$A$354:$A$391,0))</f>
        <v>#N/A</v>
      </c>
      <c r="AV58" s="3" t="str">
        <f>IFERROR(INDEX('справочная информация'!$B$6:$R$29,MATCH('Расчет грейда'!$Y58,'справочная информация'!$A$6:$A$29,0),MATCH('Расчет грейда'!$X58,'справочная информация'!$B$5:$R$5,0)),"")</f>
        <v/>
      </c>
      <c r="AW58" s="171" t="str">
        <f>IFERROR(INDEX('справочная информация'!$B$37:$H$52,MATCH('Расчет грейда'!$AA58,'справочная информация'!$A$37:$A$52,0),MATCH('Расчет грейда'!$N58,'справочная информация'!$B$36:$H$36,0)),"")</f>
        <v/>
      </c>
      <c r="AX58" s="122" t="str">
        <f>IFERROR(INDEX('справочная информация'!$D$108:$AD$123,MATCH('Расчет грейда'!$AW58,'справочная информация'!$C$108:$C$123,0),MATCH('Расчет грейда'!$AV58,'справочная информация'!$D$107:$AD$107,0)),"")</f>
        <v/>
      </c>
      <c r="AY58" s="133" t="str">
        <f>IFERROR(INDEX('справочная информация'!$B$158:$Y$181,MATCH('Расчет грейда'!$AE58,'справочная информация'!$A$158:$A$181,0),MATCH('Расчет грейда'!$AD58,'справочная информация'!$B$157:$Y$157,0)),"")</f>
        <v/>
      </c>
      <c r="AZ58" s="170" t="str">
        <f t="shared" si="28"/>
        <v/>
      </c>
      <c r="BA58" s="172" t="str">
        <f>IFERROR(CONCATENATE(TEXT(AZ58/INDEX('справочная информация'!$D$223:$D$261,MATCH('Расчет грейда'!$AZ58,'справочная информация'!$C$223:$C$261,1)),"0%")," - процент относительно медианы 100%. ","MIN балл на грейде ",INDEX('справочная информация'!$C$223:$C$261,MATCH('Расчет грейда'!$AZ58,'справочная информация'!$C$223:$C$261,1)),", "," MAX балл на грейде ",INDEX('справочная информация'!$E$223:$E$261,MATCH('Расчет грейда'!$AZ58,'справочная информация'!$C$223:$C$261,1))),"")</f>
        <v/>
      </c>
      <c r="BB58" s="120" t="str">
        <f t="shared" si="29"/>
        <v/>
      </c>
      <c r="BC58" s="3" t="str">
        <f t="shared" si="30"/>
        <v/>
      </c>
      <c r="BD58" s="121" t="str">
        <f>IFERROR(VLOOKUP(BC58,'справочная информация'!$B$416:$C$424,2,0),"Проверить данные, нетипичная должность")</f>
        <v>Проверить данные, нетипичная должность</v>
      </c>
      <c r="BE58" s="3" t="str">
        <f t="shared" si="31"/>
        <v/>
      </c>
      <c r="BF58" s="3" t="str">
        <f>IFERROR(INDEX('справочная информация'!$F$223:$F$261,MATCH('Расчет грейда'!$AZ58,'справочная информация'!$C$223:$C$261,1)),"")</f>
        <v/>
      </c>
    </row>
    <row r="59" spans="1:58" s="9" customFormat="1" x14ac:dyDescent="0.35">
      <c r="A59" s="120"/>
      <c r="B59" s="122"/>
      <c r="C59" s="140"/>
      <c r="D59" s="120"/>
      <c r="E59" s="120"/>
      <c r="F59" s="120"/>
      <c r="G59" s="120"/>
      <c r="H59" s="120"/>
      <c r="J59" s="142"/>
      <c r="K59" s="142"/>
      <c r="L59" s="142"/>
      <c r="R59" s="3"/>
      <c r="S59" s="138"/>
      <c r="T59" s="3"/>
      <c r="U59" s="3"/>
      <c r="V59" s="3"/>
      <c r="W59" s="3" t="str">
        <f t="shared" si="16"/>
        <v/>
      </c>
      <c r="X59" s="9" t="str">
        <f t="shared" si="17"/>
        <v/>
      </c>
      <c r="Y59" s="9" t="str">
        <f t="shared" si="18"/>
        <v/>
      </c>
      <c r="Z59" s="3" t="e">
        <f>INDEX('справочная информация'!$U$6:$AK$29,MATCH('Расчет грейда'!$Y59,'справочная информация'!$T$6:$T$29,0),MATCH('Расчет грейда'!$X59,'справочная информация'!$U$5:$AK$5,0))</f>
        <v>#N/A</v>
      </c>
      <c r="AA59" s="9" t="str">
        <f t="shared" si="19"/>
        <v/>
      </c>
      <c r="AB59" s="3" t="e">
        <f>INDEX('справочная информация'!$B$68:$H$83,MATCH('Расчет грейда'!$AA59,'справочная информация'!$A$68:$A$83,0),MATCH('Расчет грейда'!$N59,'справочная информация'!$B$67:$H$67,0))</f>
        <v>#N/A</v>
      </c>
      <c r="AC59" s="3" t="e">
        <f>INDEX('справочная информация'!$D$130:$AD$145,MATCH('Расчет грейда'!$AW59,'справочная информация'!$C$130:$C$145,0),MATCH('Расчет грейда'!$AV59,'справочная информация'!$D$129:$AD$129,0))</f>
        <v>#N/A</v>
      </c>
      <c r="AD59" s="9" t="str">
        <f t="shared" si="20"/>
        <v/>
      </c>
      <c r="AE59" s="9" t="str">
        <f t="shared" si="21"/>
        <v/>
      </c>
      <c r="AF59" s="3" t="str">
        <f>IFERROR(IF(AND(AD59="",AE59=""),"",INDEX('справочная информация'!$B$188:$Y$211,MATCH('Расчет грейда'!$AE59,'справочная информация'!$A$188:$A$211,0),MATCH('Расчет грейда'!$AD59,'справочная информация'!$B$187:$Y$187,0))),"НЕТ")</f>
        <v/>
      </c>
      <c r="AG59" s="3" t="e">
        <f>VLOOKUP(J59,'справочная информация'!$D$267:$E$274,2,0)</f>
        <v>#N/A</v>
      </c>
      <c r="AH59" s="3" t="e">
        <f>VLOOKUP(K59,'справочная информация'!$D$279:$E$283,2,0)</f>
        <v>#N/A</v>
      </c>
      <c r="AI59" s="3" t="e">
        <f>VLOOKUP(L59,'справочная информация'!$D$288:$E$290,2,0)</f>
        <v>#N/A</v>
      </c>
      <c r="AJ59" s="3" t="str">
        <f t="shared" si="22"/>
        <v/>
      </c>
      <c r="AK59" s="169" t="e">
        <f>VLOOKUP(M59,'справочная информация'!$D$294:$E$301,2,0)</f>
        <v>#N/A</v>
      </c>
      <c r="AL59" s="3" t="e">
        <f>VLOOKUP(N59,'справочная информация'!$D$306:$E$310,2,0)</f>
        <v>#N/A</v>
      </c>
      <c r="AM59" s="169" t="str">
        <f t="shared" si="23"/>
        <v>()</v>
      </c>
      <c r="AN59" s="3" t="str">
        <f t="shared" si="24"/>
        <v/>
      </c>
      <c r="AO59" s="3" t="e">
        <f>VLOOKUP(O59,'справочная информация'!$D$329:$E$336,2,0)</f>
        <v>#N/A</v>
      </c>
      <c r="AP59" s="3" t="e">
        <f>VLOOKUP(P59,'справочная информация'!$D$342:$E$349,2,0)</f>
        <v>#N/A</v>
      </c>
      <c r="AQ59" s="3" t="e">
        <f>VLOOKUP(Q59,'справочная информация'!$D$316:$E$325,2,0)</f>
        <v>#N/A</v>
      </c>
      <c r="AR59" s="3" t="str">
        <f t="shared" si="25"/>
        <v/>
      </c>
      <c r="AS59" s="170" t="str">
        <f t="shared" si="26"/>
        <v/>
      </c>
      <c r="AT59" s="3" t="str">
        <f t="shared" si="27"/>
        <v/>
      </c>
      <c r="AU59" s="3" t="e">
        <f>ABS(MATCH($AX59,'справочная информация'!$A$354:$A$391,0)-MATCH($AY59,'справочная информация'!$A$354:$A$391,0))</f>
        <v>#N/A</v>
      </c>
      <c r="AV59" s="3" t="str">
        <f>IFERROR(INDEX('справочная информация'!$B$6:$R$29,MATCH('Расчет грейда'!$Y59,'справочная информация'!$A$6:$A$29,0),MATCH('Расчет грейда'!$X59,'справочная информация'!$B$5:$R$5,0)),"")</f>
        <v/>
      </c>
      <c r="AW59" s="171" t="str">
        <f>IFERROR(INDEX('справочная информация'!$B$37:$H$52,MATCH('Расчет грейда'!$AA59,'справочная информация'!$A$37:$A$52,0),MATCH('Расчет грейда'!$N59,'справочная информация'!$B$36:$H$36,0)),"")</f>
        <v/>
      </c>
      <c r="AX59" s="122" t="str">
        <f>IFERROR(INDEX('справочная информация'!$D$108:$AD$123,MATCH('Расчет грейда'!$AW59,'справочная информация'!$C$108:$C$123,0),MATCH('Расчет грейда'!$AV59,'справочная информация'!$D$107:$AD$107,0)),"")</f>
        <v/>
      </c>
      <c r="AY59" s="133" t="str">
        <f>IFERROR(INDEX('справочная информация'!$B$158:$Y$181,MATCH('Расчет грейда'!$AE59,'справочная информация'!$A$158:$A$181,0),MATCH('Расчет грейда'!$AD59,'справочная информация'!$B$157:$Y$157,0)),"")</f>
        <v/>
      </c>
      <c r="AZ59" s="170" t="str">
        <f t="shared" si="28"/>
        <v/>
      </c>
      <c r="BA59" s="172" t="str">
        <f>IFERROR(CONCATENATE(TEXT(AZ59/INDEX('справочная информация'!$D$223:$D$261,MATCH('Расчет грейда'!$AZ59,'справочная информация'!$C$223:$C$261,1)),"0%")," - процент относительно медианы 100%. ","MIN балл на грейде ",INDEX('справочная информация'!$C$223:$C$261,MATCH('Расчет грейда'!$AZ59,'справочная информация'!$C$223:$C$261,1)),", "," MAX балл на грейде ",INDEX('справочная информация'!$E$223:$E$261,MATCH('Расчет грейда'!$AZ59,'справочная информация'!$C$223:$C$261,1))),"")</f>
        <v/>
      </c>
      <c r="BB59" s="120" t="str">
        <f t="shared" si="29"/>
        <v/>
      </c>
      <c r="BC59" s="3" t="str">
        <f t="shared" si="30"/>
        <v/>
      </c>
      <c r="BD59" s="121" t="str">
        <f>IFERROR(VLOOKUP(BC59,'справочная информация'!$B$416:$C$424,2,0),"Проверить данные, нетипичная должность")</f>
        <v>Проверить данные, нетипичная должность</v>
      </c>
      <c r="BE59" s="3" t="str">
        <f t="shared" si="31"/>
        <v/>
      </c>
      <c r="BF59" s="3" t="str">
        <f>IFERROR(INDEX('справочная информация'!$F$223:$F$261,MATCH('Расчет грейда'!$AZ59,'справочная информация'!$C$223:$C$261,1)),"")</f>
        <v/>
      </c>
    </row>
    <row r="60" spans="1:58" s="9" customFormat="1" x14ac:dyDescent="0.35">
      <c r="A60" s="120"/>
      <c r="B60" s="122"/>
      <c r="C60" s="140"/>
      <c r="D60" s="120"/>
      <c r="E60" s="120"/>
      <c r="F60" s="120"/>
      <c r="G60" s="120"/>
      <c r="H60" s="120"/>
      <c r="J60" s="142"/>
      <c r="K60" s="142"/>
      <c r="L60" s="142"/>
      <c r="R60" s="3"/>
      <c r="S60" s="138"/>
      <c r="T60" s="3"/>
      <c r="U60" s="3"/>
      <c r="V60" s="3"/>
      <c r="W60" s="3" t="str">
        <f t="shared" si="16"/>
        <v/>
      </c>
      <c r="X60" s="9" t="str">
        <f t="shared" si="17"/>
        <v/>
      </c>
      <c r="Y60" s="9" t="str">
        <f t="shared" si="18"/>
        <v/>
      </c>
      <c r="Z60" s="3" t="e">
        <f>INDEX('справочная информация'!$U$6:$AK$29,MATCH('Расчет грейда'!$Y60,'справочная информация'!$T$6:$T$29,0),MATCH('Расчет грейда'!$X60,'справочная информация'!$U$5:$AK$5,0))</f>
        <v>#N/A</v>
      </c>
      <c r="AA60" s="9" t="str">
        <f t="shared" si="19"/>
        <v/>
      </c>
      <c r="AB60" s="3" t="e">
        <f>INDEX('справочная информация'!$B$68:$H$83,MATCH('Расчет грейда'!$AA60,'справочная информация'!$A$68:$A$83,0),MATCH('Расчет грейда'!$N60,'справочная информация'!$B$67:$H$67,0))</f>
        <v>#N/A</v>
      </c>
      <c r="AC60" s="3" t="e">
        <f>INDEX('справочная информация'!$D$130:$AD$145,MATCH('Расчет грейда'!$AW60,'справочная информация'!$C$130:$C$145,0),MATCH('Расчет грейда'!$AV60,'справочная информация'!$D$129:$AD$129,0))</f>
        <v>#N/A</v>
      </c>
      <c r="AD60" s="9" t="str">
        <f t="shared" si="20"/>
        <v/>
      </c>
      <c r="AE60" s="9" t="str">
        <f t="shared" si="21"/>
        <v/>
      </c>
      <c r="AF60" s="3" t="str">
        <f>IFERROR(IF(AND(AD60="",AE60=""),"",INDEX('справочная информация'!$B$188:$Y$211,MATCH('Расчет грейда'!$AE60,'справочная информация'!$A$188:$A$211,0),MATCH('Расчет грейда'!$AD60,'справочная информация'!$B$187:$Y$187,0))),"НЕТ")</f>
        <v/>
      </c>
      <c r="AG60" s="3" t="e">
        <f>VLOOKUP(J60,'справочная информация'!$D$267:$E$274,2,0)</f>
        <v>#N/A</v>
      </c>
      <c r="AH60" s="3" t="e">
        <f>VLOOKUP(K60,'справочная информация'!$D$279:$E$283,2,0)</f>
        <v>#N/A</v>
      </c>
      <c r="AI60" s="3" t="e">
        <f>VLOOKUP(L60,'справочная информация'!$D$288:$E$290,2,0)</f>
        <v>#N/A</v>
      </c>
      <c r="AJ60" s="3" t="str">
        <f t="shared" si="22"/>
        <v/>
      </c>
      <c r="AK60" s="169" t="e">
        <f>VLOOKUP(M60,'справочная информация'!$D$294:$E$301,2,0)</f>
        <v>#N/A</v>
      </c>
      <c r="AL60" s="3" t="e">
        <f>VLOOKUP(N60,'справочная информация'!$D$306:$E$310,2,0)</f>
        <v>#N/A</v>
      </c>
      <c r="AM60" s="169" t="str">
        <f t="shared" si="23"/>
        <v>()</v>
      </c>
      <c r="AN60" s="3" t="str">
        <f t="shared" si="24"/>
        <v/>
      </c>
      <c r="AO60" s="3" t="e">
        <f>VLOOKUP(O60,'справочная информация'!$D$329:$E$336,2,0)</f>
        <v>#N/A</v>
      </c>
      <c r="AP60" s="3" t="e">
        <f>VLOOKUP(P60,'справочная информация'!$D$342:$E$349,2,0)</f>
        <v>#N/A</v>
      </c>
      <c r="AQ60" s="3" t="e">
        <f>VLOOKUP(Q60,'справочная информация'!$D$316:$E$325,2,0)</f>
        <v>#N/A</v>
      </c>
      <c r="AR60" s="3" t="str">
        <f t="shared" si="25"/>
        <v/>
      </c>
      <c r="AS60" s="170" t="str">
        <f t="shared" si="26"/>
        <v/>
      </c>
      <c r="AT60" s="3" t="str">
        <f t="shared" si="27"/>
        <v/>
      </c>
      <c r="AU60" s="3" t="e">
        <f>ABS(MATCH($AX60,'справочная информация'!$A$354:$A$391,0)-MATCH($AY60,'справочная информация'!$A$354:$A$391,0))</f>
        <v>#N/A</v>
      </c>
      <c r="AV60" s="3" t="str">
        <f>IFERROR(INDEX('справочная информация'!$B$6:$R$29,MATCH('Расчет грейда'!$Y60,'справочная информация'!$A$6:$A$29,0),MATCH('Расчет грейда'!$X60,'справочная информация'!$B$5:$R$5,0)),"")</f>
        <v/>
      </c>
      <c r="AW60" s="171" t="str">
        <f>IFERROR(INDEX('справочная информация'!$B$37:$H$52,MATCH('Расчет грейда'!$AA60,'справочная информация'!$A$37:$A$52,0),MATCH('Расчет грейда'!$N60,'справочная информация'!$B$36:$H$36,0)),"")</f>
        <v/>
      </c>
      <c r="AX60" s="122" t="str">
        <f>IFERROR(INDEX('справочная информация'!$D$108:$AD$123,MATCH('Расчет грейда'!$AW60,'справочная информация'!$C$108:$C$123,0),MATCH('Расчет грейда'!$AV60,'справочная информация'!$D$107:$AD$107,0)),"")</f>
        <v/>
      </c>
      <c r="AY60" s="133" t="str">
        <f>IFERROR(INDEX('справочная информация'!$B$158:$Y$181,MATCH('Расчет грейда'!$AE60,'справочная информация'!$A$158:$A$181,0),MATCH('Расчет грейда'!$AD60,'справочная информация'!$B$157:$Y$157,0)),"")</f>
        <v/>
      </c>
      <c r="AZ60" s="170" t="str">
        <f t="shared" si="28"/>
        <v/>
      </c>
      <c r="BA60" s="172" t="str">
        <f>IFERROR(CONCATENATE(TEXT(AZ60/INDEX('справочная информация'!$D$223:$D$261,MATCH('Расчет грейда'!$AZ60,'справочная информация'!$C$223:$C$261,1)),"0%")," - процент относительно медианы 100%. ","MIN балл на грейде ",INDEX('справочная информация'!$C$223:$C$261,MATCH('Расчет грейда'!$AZ60,'справочная информация'!$C$223:$C$261,1)),", "," MAX балл на грейде ",INDEX('справочная информация'!$E$223:$E$261,MATCH('Расчет грейда'!$AZ60,'справочная информация'!$C$223:$C$261,1))),"")</f>
        <v/>
      </c>
      <c r="BB60" s="120" t="str">
        <f t="shared" si="29"/>
        <v/>
      </c>
      <c r="BC60" s="3" t="str">
        <f t="shared" si="30"/>
        <v/>
      </c>
      <c r="BD60" s="121" t="str">
        <f>IFERROR(VLOOKUP(BC60,'справочная информация'!$B$416:$C$424,2,0),"Проверить данные, нетипичная должность")</f>
        <v>Проверить данные, нетипичная должность</v>
      </c>
      <c r="BE60" s="3" t="str">
        <f t="shared" si="31"/>
        <v/>
      </c>
      <c r="BF60" s="3" t="str">
        <f>IFERROR(INDEX('справочная информация'!$F$223:$F$261,MATCH('Расчет грейда'!$AZ60,'справочная информация'!$C$223:$C$261,1)),"")</f>
        <v/>
      </c>
    </row>
    <row r="61" spans="1:58" s="9" customFormat="1" x14ac:dyDescent="0.35">
      <c r="A61" s="120"/>
      <c r="B61" s="122"/>
      <c r="C61" s="140"/>
      <c r="D61" s="120"/>
      <c r="E61" s="120"/>
      <c r="F61" s="120"/>
      <c r="G61" s="120"/>
      <c r="H61" s="120"/>
      <c r="J61" s="142"/>
      <c r="K61" s="142"/>
      <c r="L61" s="142"/>
      <c r="R61" s="3"/>
      <c r="S61" s="138"/>
      <c r="T61" s="3"/>
      <c r="U61" s="3"/>
      <c r="V61" s="3"/>
      <c r="W61" s="3" t="str">
        <f t="shared" si="16"/>
        <v/>
      </c>
      <c r="X61" s="9" t="str">
        <f t="shared" si="17"/>
        <v/>
      </c>
      <c r="Y61" s="9" t="str">
        <f t="shared" si="18"/>
        <v/>
      </c>
      <c r="Z61" s="3" t="e">
        <f>INDEX('справочная информация'!$U$6:$AK$29,MATCH('Расчет грейда'!$Y61,'справочная информация'!$T$6:$T$29,0),MATCH('Расчет грейда'!$X61,'справочная информация'!$U$5:$AK$5,0))</f>
        <v>#N/A</v>
      </c>
      <c r="AA61" s="9" t="str">
        <f t="shared" si="19"/>
        <v/>
      </c>
      <c r="AB61" s="3" t="e">
        <f>INDEX('справочная информация'!$B$68:$H$83,MATCH('Расчет грейда'!$AA61,'справочная информация'!$A$68:$A$83,0),MATCH('Расчет грейда'!$N61,'справочная информация'!$B$67:$H$67,0))</f>
        <v>#N/A</v>
      </c>
      <c r="AC61" s="3" t="e">
        <f>INDEX('справочная информация'!$D$130:$AD$145,MATCH('Расчет грейда'!$AW61,'справочная информация'!$C$130:$C$145,0),MATCH('Расчет грейда'!$AV61,'справочная информация'!$D$129:$AD$129,0))</f>
        <v>#N/A</v>
      </c>
      <c r="AD61" s="9" t="str">
        <f t="shared" si="20"/>
        <v/>
      </c>
      <c r="AE61" s="9" t="str">
        <f t="shared" si="21"/>
        <v/>
      </c>
      <c r="AF61" s="3" t="str">
        <f>IFERROR(IF(AND(AD61="",AE61=""),"",INDEX('справочная информация'!$B$188:$Y$211,MATCH('Расчет грейда'!$AE61,'справочная информация'!$A$188:$A$211,0),MATCH('Расчет грейда'!$AD61,'справочная информация'!$B$187:$Y$187,0))),"НЕТ")</f>
        <v/>
      </c>
      <c r="AG61" s="3" t="e">
        <f>VLOOKUP(J61,'справочная информация'!$D$267:$E$274,2,0)</f>
        <v>#N/A</v>
      </c>
      <c r="AH61" s="3" t="e">
        <f>VLOOKUP(K61,'справочная информация'!$D$279:$E$283,2,0)</f>
        <v>#N/A</v>
      </c>
      <c r="AI61" s="3" t="e">
        <f>VLOOKUP(L61,'справочная информация'!$D$288:$E$290,2,0)</f>
        <v>#N/A</v>
      </c>
      <c r="AJ61" s="3" t="str">
        <f t="shared" si="22"/>
        <v/>
      </c>
      <c r="AK61" s="169" t="e">
        <f>VLOOKUP(M61,'справочная информация'!$D$294:$E$301,2,0)</f>
        <v>#N/A</v>
      </c>
      <c r="AL61" s="3" t="e">
        <f>VLOOKUP(N61,'справочная информация'!$D$306:$E$310,2,0)</f>
        <v>#N/A</v>
      </c>
      <c r="AM61" s="169" t="str">
        <f t="shared" si="23"/>
        <v>()</v>
      </c>
      <c r="AN61" s="3" t="str">
        <f t="shared" si="24"/>
        <v/>
      </c>
      <c r="AO61" s="3" t="e">
        <f>VLOOKUP(O61,'справочная информация'!$D$329:$E$336,2,0)</f>
        <v>#N/A</v>
      </c>
      <c r="AP61" s="3" t="e">
        <f>VLOOKUP(P61,'справочная информация'!$D$342:$E$349,2,0)</f>
        <v>#N/A</v>
      </c>
      <c r="AQ61" s="3" t="e">
        <f>VLOOKUP(Q61,'справочная информация'!$D$316:$E$325,2,0)</f>
        <v>#N/A</v>
      </c>
      <c r="AR61" s="3" t="str">
        <f t="shared" si="25"/>
        <v/>
      </c>
      <c r="AS61" s="170" t="str">
        <f t="shared" si="26"/>
        <v/>
      </c>
      <c r="AT61" s="3" t="str">
        <f t="shared" si="27"/>
        <v/>
      </c>
      <c r="AU61" s="3" t="e">
        <f>ABS(MATCH($AX61,'справочная информация'!$A$354:$A$391,0)-MATCH($AY61,'справочная информация'!$A$354:$A$391,0))</f>
        <v>#N/A</v>
      </c>
      <c r="AV61" s="3" t="str">
        <f>IFERROR(INDEX('справочная информация'!$B$6:$R$29,MATCH('Расчет грейда'!$Y61,'справочная информация'!$A$6:$A$29,0),MATCH('Расчет грейда'!$X61,'справочная информация'!$B$5:$R$5,0)),"")</f>
        <v/>
      </c>
      <c r="AW61" s="171" t="str">
        <f>IFERROR(INDEX('справочная информация'!$B$37:$H$52,MATCH('Расчет грейда'!$AA61,'справочная информация'!$A$37:$A$52,0),MATCH('Расчет грейда'!$N61,'справочная информация'!$B$36:$H$36,0)),"")</f>
        <v/>
      </c>
      <c r="AX61" s="122" t="str">
        <f>IFERROR(INDEX('справочная информация'!$D$108:$AD$123,MATCH('Расчет грейда'!$AW61,'справочная информация'!$C$108:$C$123,0),MATCH('Расчет грейда'!$AV61,'справочная информация'!$D$107:$AD$107,0)),"")</f>
        <v/>
      </c>
      <c r="AY61" s="133" t="str">
        <f>IFERROR(INDEX('справочная информация'!$B$158:$Y$181,MATCH('Расчет грейда'!$AE61,'справочная информация'!$A$158:$A$181,0),MATCH('Расчет грейда'!$AD61,'справочная информация'!$B$157:$Y$157,0)),"")</f>
        <v/>
      </c>
      <c r="AZ61" s="170" t="str">
        <f t="shared" si="28"/>
        <v/>
      </c>
      <c r="BA61" s="172" t="str">
        <f>IFERROR(CONCATENATE(TEXT(AZ61/INDEX('справочная информация'!$D$223:$D$261,MATCH('Расчет грейда'!$AZ61,'справочная информация'!$C$223:$C$261,1)),"0%")," - процент относительно медианы 100%. ","MIN балл на грейде ",INDEX('справочная информация'!$C$223:$C$261,MATCH('Расчет грейда'!$AZ61,'справочная информация'!$C$223:$C$261,1)),", "," MAX балл на грейде ",INDEX('справочная информация'!$E$223:$E$261,MATCH('Расчет грейда'!$AZ61,'справочная информация'!$C$223:$C$261,1))),"")</f>
        <v/>
      </c>
      <c r="BB61" s="120" t="str">
        <f t="shared" si="29"/>
        <v/>
      </c>
      <c r="BC61" s="3" t="str">
        <f t="shared" si="30"/>
        <v/>
      </c>
      <c r="BD61" s="121" t="str">
        <f>IFERROR(VLOOKUP(BC61,'справочная информация'!$B$416:$C$424,2,0),"Проверить данные, нетипичная должность")</f>
        <v>Проверить данные, нетипичная должность</v>
      </c>
      <c r="BE61" s="3" t="str">
        <f t="shared" si="31"/>
        <v/>
      </c>
      <c r="BF61" s="3" t="str">
        <f>IFERROR(INDEX('справочная информация'!$F$223:$F$261,MATCH('Расчет грейда'!$AZ61,'справочная информация'!$C$223:$C$261,1)),"")</f>
        <v/>
      </c>
    </row>
    <row r="62" spans="1:58" s="9" customFormat="1" x14ac:dyDescent="0.35">
      <c r="A62" s="120"/>
      <c r="B62" s="122"/>
      <c r="C62" s="140"/>
      <c r="D62" s="120"/>
      <c r="E62" s="120"/>
      <c r="F62" s="120"/>
      <c r="G62" s="120"/>
      <c r="H62" s="120"/>
      <c r="J62" s="142"/>
      <c r="K62" s="142"/>
      <c r="L62" s="142"/>
      <c r="R62" s="3"/>
      <c r="S62" s="138"/>
      <c r="T62" s="3"/>
      <c r="U62" s="3"/>
      <c r="V62" s="3"/>
      <c r="W62" s="3" t="str">
        <f t="shared" si="16"/>
        <v/>
      </c>
      <c r="X62" s="9" t="str">
        <f t="shared" si="17"/>
        <v/>
      </c>
      <c r="Y62" s="9" t="str">
        <f t="shared" si="18"/>
        <v/>
      </c>
      <c r="Z62" s="3" t="e">
        <f>INDEX('справочная информация'!$U$6:$AK$29,MATCH('Расчет грейда'!$Y62,'справочная информация'!$T$6:$T$29,0),MATCH('Расчет грейда'!$X62,'справочная информация'!$U$5:$AK$5,0))</f>
        <v>#N/A</v>
      </c>
      <c r="AA62" s="9" t="str">
        <f t="shared" si="19"/>
        <v/>
      </c>
      <c r="AB62" s="3" t="e">
        <f>INDEX('справочная информация'!$B$68:$H$83,MATCH('Расчет грейда'!$AA62,'справочная информация'!$A$68:$A$83,0),MATCH('Расчет грейда'!$N62,'справочная информация'!$B$67:$H$67,0))</f>
        <v>#N/A</v>
      </c>
      <c r="AC62" s="3" t="e">
        <f>INDEX('справочная информация'!$D$130:$AD$145,MATCH('Расчет грейда'!$AW62,'справочная информация'!$C$130:$C$145,0),MATCH('Расчет грейда'!$AV62,'справочная информация'!$D$129:$AD$129,0))</f>
        <v>#N/A</v>
      </c>
      <c r="AD62" s="9" t="str">
        <f t="shared" si="20"/>
        <v/>
      </c>
      <c r="AE62" s="9" t="str">
        <f t="shared" si="21"/>
        <v/>
      </c>
      <c r="AF62" s="3" t="str">
        <f>IFERROR(IF(AND(AD62="",AE62=""),"",INDEX('справочная информация'!$B$188:$Y$211,MATCH('Расчет грейда'!$AE62,'справочная информация'!$A$188:$A$211,0),MATCH('Расчет грейда'!$AD62,'справочная информация'!$B$187:$Y$187,0))),"НЕТ")</f>
        <v/>
      </c>
      <c r="AG62" s="3" t="e">
        <f>VLOOKUP(J62,'справочная информация'!$D$267:$E$274,2,0)</f>
        <v>#N/A</v>
      </c>
      <c r="AH62" s="3" t="e">
        <f>VLOOKUP(K62,'справочная информация'!$D$279:$E$283,2,0)</f>
        <v>#N/A</v>
      </c>
      <c r="AI62" s="3" t="e">
        <f>VLOOKUP(L62,'справочная информация'!$D$288:$E$290,2,0)</f>
        <v>#N/A</v>
      </c>
      <c r="AJ62" s="3" t="str">
        <f t="shared" si="22"/>
        <v/>
      </c>
      <c r="AK62" s="169" t="e">
        <f>VLOOKUP(M62,'справочная информация'!$D$294:$E$301,2,0)</f>
        <v>#N/A</v>
      </c>
      <c r="AL62" s="3" t="e">
        <f>VLOOKUP(N62,'справочная информация'!$D$306:$E$310,2,0)</f>
        <v>#N/A</v>
      </c>
      <c r="AM62" s="169" t="str">
        <f t="shared" si="23"/>
        <v>()</v>
      </c>
      <c r="AN62" s="3" t="str">
        <f t="shared" si="24"/>
        <v/>
      </c>
      <c r="AO62" s="3" t="e">
        <f>VLOOKUP(O62,'справочная информация'!$D$329:$E$336,2,0)</f>
        <v>#N/A</v>
      </c>
      <c r="AP62" s="3" t="e">
        <f>VLOOKUP(P62,'справочная информация'!$D$342:$E$349,2,0)</f>
        <v>#N/A</v>
      </c>
      <c r="AQ62" s="3" t="e">
        <f>VLOOKUP(Q62,'справочная информация'!$D$316:$E$325,2,0)</f>
        <v>#N/A</v>
      </c>
      <c r="AR62" s="3" t="str">
        <f t="shared" si="25"/>
        <v/>
      </c>
      <c r="AS62" s="170" t="str">
        <f t="shared" si="26"/>
        <v/>
      </c>
      <c r="AT62" s="3" t="str">
        <f t="shared" si="27"/>
        <v/>
      </c>
      <c r="AU62" s="3" t="e">
        <f>ABS(MATCH($AX62,'справочная информация'!$A$354:$A$391,0)-MATCH($AY62,'справочная информация'!$A$354:$A$391,0))</f>
        <v>#N/A</v>
      </c>
      <c r="AV62" s="3" t="str">
        <f>IFERROR(INDEX('справочная информация'!$B$6:$R$29,MATCH('Расчет грейда'!$Y62,'справочная информация'!$A$6:$A$29,0),MATCH('Расчет грейда'!$X62,'справочная информация'!$B$5:$R$5,0)),"")</f>
        <v/>
      </c>
      <c r="AW62" s="171" t="str">
        <f>IFERROR(INDEX('справочная информация'!$B$37:$H$52,MATCH('Расчет грейда'!$AA62,'справочная информация'!$A$37:$A$52,0),MATCH('Расчет грейда'!$N62,'справочная информация'!$B$36:$H$36,0)),"")</f>
        <v/>
      </c>
      <c r="AX62" s="122" t="str">
        <f>IFERROR(INDEX('справочная информация'!$D$108:$AD$123,MATCH('Расчет грейда'!$AW62,'справочная информация'!$C$108:$C$123,0),MATCH('Расчет грейда'!$AV62,'справочная информация'!$D$107:$AD$107,0)),"")</f>
        <v/>
      </c>
      <c r="AY62" s="133" t="str">
        <f>IFERROR(INDEX('справочная информация'!$B$158:$Y$181,MATCH('Расчет грейда'!$AE62,'справочная информация'!$A$158:$A$181,0),MATCH('Расчет грейда'!$AD62,'справочная информация'!$B$157:$Y$157,0)),"")</f>
        <v/>
      </c>
      <c r="AZ62" s="170" t="str">
        <f t="shared" si="28"/>
        <v/>
      </c>
      <c r="BA62" s="172" t="str">
        <f>IFERROR(CONCATENATE(TEXT(AZ62/INDEX('справочная информация'!$D$223:$D$261,MATCH('Расчет грейда'!$AZ62,'справочная информация'!$C$223:$C$261,1)),"0%")," - процент относительно медианы 100%. ","MIN балл на грейде ",INDEX('справочная информация'!$C$223:$C$261,MATCH('Расчет грейда'!$AZ62,'справочная информация'!$C$223:$C$261,1)),", "," MAX балл на грейде ",INDEX('справочная информация'!$E$223:$E$261,MATCH('Расчет грейда'!$AZ62,'справочная информация'!$C$223:$C$261,1))),"")</f>
        <v/>
      </c>
      <c r="BB62" s="120" t="str">
        <f t="shared" si="29"/>
        <v/>
      </c>
      <c r="BC62" s="3" t="str">
        <f t="shared" si="30"/>
        <v/>
      </c>
      <c r="BD62" s="121" t="str">
        <f>IFERROR(VLOOKUP(BC62,'справочная информация'!$B$416:$C$424,2,0),"Проверить данные, нетипичная должность")</f>
        <v>Проверить данные, нетипичная должность</v>
      </c>
      <c r="BE62" s="3" t="str">
        <f t="shared" si="31"/>
        <v/>
      </c>
      <c r="BF62" s="3" t="str">
        <f>IFERROR(INDEX('справочная информация'!$F$223:$F$261,MATCH('Расчет грейда'!$AZ62,'справочная информация'!$C$223:$C$261,1)),"")</f>
        <v/>
      </c>
    </row>
    <row r="63" spans="1:58" s="9" customFormat="1" x14ac:dyDescent="0.35">
      <c r="A63" s="120"/>
      <c r="B63" s="122"/>
      <c r="C63" s="140"/>
      <c r="D63" s="120"/>
      <c r="E63" s="120"/>
      <c r="F63" s="120"/>
      <c r="G63" s="120"/>
      <c r="H63" s="120"/>
      <c r="J63" s="142"/>
      <c r="K63" s="142"/>
      <c r="L63" s="142"/>
      <c r="R63" s="3"/>
      <c r="S63" s="138"/>
      <c r="T63" s="3"/>
      <c r="U63" s="3"/>
      <c r="V63" s="3"/>
      <c r="W63" s="3" t="str">
        <f t="shared" si="16"/>
        <v/>
      </c>
      <c r="X63" s="9" t="str">
        <f t="shared" si="17"/>
        <v/>
      </c>
      <c r="Y63" s="9" t="str">
        <f t="shared" si="18"/>
        <v/>
      </c>
      <c r="Z63" s="3" t="e">
        <f>INDEX('справочная информация'!$U$6:$AK$29,MATCH('Расчет грейда'!$Y63,'справочная информация'!$T$6:$T$29,0),MATCH('Расчет грейда'!$X63,'справочная информация'!$U$5:$AK$5,0))</f>
        <v>#N/A</v>
      </c>
      <c r="AA63" s="9" t="str">
        <f t="shared" si="19"/>
        <v/>
      </c>
      <c r="AB63" s="3" t="e">
        <f>INDEX('справочная информация'!$B$68:$H$83,MATCH('Расчет грейда'!$AA63,'справочная информация'!$A$68:$A$83,0),MATCH('Расчет грейда'!$N63,'справочная информация'!$B$67:$H$67,0))</f>
        <v>#N/A</v>
      </c>
      <c r="AC63" s="3" t="e">
        <f>INDEX('справочная информация'!$D$130:$AD$145,MATCH('Расчет грейда'!$AW63,'справочная информация'!$C$130:$C$145,0),MATCH('Расчет грейда'!$AV63,'справочная информация'!$D$129:$AD$129,0))</f>
        <v>#N/A</v>
      </c>
      <c r="AD63" s="9" t="str">
        <f t="shared" si="20"/>
        <v/>
      </c>
      <c r="AE63" s="9" t="str">
        <f t="shared" si="21"/>
        <v/>
      </c>
      <c r="AF63" s="3" t="str">
        <f>IFERROR(IF(AND(AD63="",AE63=""),"",INDEX('справочная информация'!$B$188:$Y$211,MATCH('Расчет грейда'!$AE63,'справочная информация'!$A$188:$A$211,0),MATCH('Расчет грейда'!$AD63,'справочная информация'!$B$187:$Y$187,0))),"НЕТ")</f>
        <v/>
      </c>
      <c r="AG63" s="3" t="e">
        <f>VLOOKUP(J63,'справочная информация'!$D$267:$E$274,2,0)</f>
        <v>#N/A</v>
      </c>
      <c r="AH63" s="3" t="e">
        <f>VLOOKUP(K63,'справочная информация'!$D$279:$E$283,2,0)</f>
        <v>#N/A</v>
      </c>
      <c r="AI63" s="3" t="e">
        <f>VLOOKUP(L63,'справочная информация'!$D$288:$E$290,2,0)</f>
        <v>#N/A</v>
      </c>
      <c r="AJ63" s="3" t="str">
        <f t="shared" si="22"/>
        <v/>
      </c>
      <c r="AK63" s="169" t="e">
        <f>VLOOKUP(M63,'справочная информация'!$D$294:$E$301,2,0)</f>
        <v>#N/A</v>
      </c>
      <c r="AL63" s="3" t="e">
        <f>VLOOKUP(N63,'справочная информация'!$D$306:$E$310,2,0)</f>
        <v>#N/A</v>
      </c>
      <c r="AM63" s="169" t="str">
        <f t="shared" si="23"/>
        <v>()</v>
      </c>
      <c r="AN63" s="3" t="str">
        <f t="shared" si="24"/>
        <v/>
      </c>
      <c r="AO63" s="3" t="e">
        <f>VLOOKUP(O63,'справочная информация'!$D$329:$E$336,2,0)</f>
        <v>#N/A</v>
      </c>
      <c r="AP63" s="3" t="e">
        <f>VLOOKUP(P63,'справочная информация'!$D$342:$E$349,2,0)</f>
        <v>#N/A</v>
      </c>
      <c r="AQ63" s="3" t="e">
        <f>VLOOKUP(Q63,'справочная информация'!$D$316:$E$325,2,0)</f>
        <v>#N/A</v>
      </c>
      <c r="AR63" s="3" t="str">
        <f t="shared" si="25"/>
        <v/>
      </c>
      <c r="AS63" s="170" t="str">
        <f t="shared" si="26"/>
        <v/>
      </c>
      <c r="AT63" s="3" t="str">
        <f t="shared" si="27"/>
        <v/>
      </c>
      <c r="AU63" s="3" t="e">
        <f>ABS(MATCH($AX63,'справочная информация'!$A$354:$A$391,0)-MATCH($AY63,'справочная информация'!$A$354:$A$391,0))</f>
        <v>#N/A</v>
      </c>
      <c r="AV63" s="3" t="str">
        <f>IFERROR(INDEX('справочная информация'!$B$6:$R$29,MATCH('Расчет грейда'!$Y63,'справочная информация'!$A$6:$A$29,0),MATCH('Расчет грейда'!$X63,'справочная информация'!$B$5:$R$5,0)),"")</f>
        <v/>
      </c>
      <c r="AW63" s="171" t="str">
        <f>IFERROR(INDEX('справочная информация'!$B$37:$H$52,MATCH('Расчет грейда'!$AA63,'справочная информация'!$A$37:$A$52,0),MATCH('Расчет грейда'!$N63,'справочная информация'!$B$36:$H$36,0)),"")</f>
        <v/>
      </c>
      <c r="AX63" s="122" t="str">
        <f>IFERROR(INDEX('справочная информация'!$D$108:$AD$123,MATCH('Расчет грейда'!$AW63,'справочная информация'!$C$108:$C$123,0),MATCH('Расчет грейда'!$AV63,'справочная информация'!$D$107:$AD$107,0)),"")</f>
        <v/>
      </c>
      <c r="AY63" s="133" t="str">
        <f>IFERROR(INDEX('справочная информация'!$B$158:$Y$181,MATCH('Расчет грейда'!$AE63,'справочная информация'!$A$158:$A$181,0),MATCH('Расчет грейда'!$AD63,'справочная информация'!$B$157:$Y$157,0)),"")</f>
        <v/>
      </c>
      <c r="AZ63" s="170" t="str">
        <f t="shared" si="28"/>
        <v/>
      </c>
      <c r="BA63" s="172" t="str">
        <f>IFERROR(CONCATENATE(TEXT(AZ63/INDEX('справочная информация'!$D$223:$D$261,MATCH('Расчет грейда'!$AZ63,'справочная информация'!$C$223:$C$261,1)),"0%")," - процент относительно медианы 100%. ","MIN балл на грейде ",INDEX('справочная информация'!$C$223:$C$261,MATCH('Расчет грейда'!$AZ63,'справочная информация'!$C$223:$C$261,1)),", "," MAX балл на грейде ",INDEX('справочная информация'!$E$223:$E$261,MATCH('Расчет грейда'!$AZ63,'справочная информация'!$C$223:$C$261,1))),"")</f>
        <v/>
      </c>
      <c r="BB63" s="120" t="str">
        <f t="shared" si="29"/>
        <v/>
      </c>
      <c r="BC63" s="3" t="str">
        <f t="shared" si="30"/>
        <v/>
      </c>
      <c r="BD63" s="121" t="str">
        <f>IFERROR(VLOOKUP(BC63,'справочная информация'!$B$416:$C$424,2,0),"Проверить данные, нетипичная должность")</f>
        <v>Проверить данные, нетипичная должность</v>
      </c>
      <c r="BE63" s="3" t="str">
        <f t="shared" si="31"/>
        <v/>
      </c>
      <c r="BF63" s="3" t="str">
        <f>IFERROR(INDEX('справочная информация'!$F$223:$F$261,MATCH('Расчет грейда'!$AZ63,'справочная информация'!$C$223:$C$261,1)),"")</f>
        <v/>
      </c>
    </row>
    <row r="64" spans="1:58" s="9" customFormat="1" x14ac:dyDescent="0.35">
      <c r="A64" s="120"/>
      <c r="B64" s="122"/>
      <c r="C64" s="140"/>
      <c r="D64" s="120"/>
      <c r="E64" s="120"/>
      <c r="F64" s="120"/>
      <c r="G64" s="120"/>
      <c r="H64" s="120"/>
      <c r="J64" s="142"/>
      <c r="K64" s="142"/>
      <c r="L64" s="142"/>
      <c r="R64" s="3"/>
      <c r="S64" s="138"/>
      <c r="T64" s="3"/>
      <c r="U64" s="3"/>
      <c r="V64" s="3"/>
      <c r="W64" s="3" t="str">
        <f t="shared" si="16"/>
        <v/>
      </c>
      <c r="X64" s="9" t="str">
        <f t="shared" si="17"/>
        <v/>
      </c>
      <c r="Y64" s="9" t="str">
        <f t="shared" si="18"/>
        <v/>
      </c>
      <c r="Z64" s="3" t="e">
        <f>INDEX('справочная информация'!$U$6:$AK$29,MATCH('Расчет грейда'!$Y64,'справочная информация'!$T$6:$T$29,0),MATCH('Расчет грейда'!$X64,'справочная информация'!$U$5:$AK$5,0))</f>
        <v>#N/A</v>
      </c>
      <c r="AA64" s="9" t="str">
        <f t="shared" si="19"/>
        <v/>
      </c>
      <c r="AB64" s="3" t="e">
        <f>INDEX('справочная информация'!$B$68:$H$83,MATCH('Расчет грейда'!$AA64,'справочная информация'!$A$68:$A$83,0),MATCH('Расчет грейда'!$N64,'справочная информация'!$B$67:$H$67,0))</f>
        <v>#N/A</v>
      </c>
      <c r="AC64" s="3" t="e">
        <f>INDEX('справочная информация'!$D$130:$AD$145,MATCH('Расчет грейда'!$AW64,'справочная информация'!$C$130:$C$145,0),MATCH('Расчет грейда'!$AV64,'справочная информация'!$D$129:$AD$129,0))</f>
        <v>#N/A</v>
      </c>
      <c r="AD64" s="9" t="str">
        <f t="shared" si="20"/>
        <v/>
      </c>
      <c r="AE64" s="9" t="str">
        <f t="shared" si="21"/>
        <v/>
      </c>
      <c r="AF64" s="3" t="str">
        <f>IFERROR(IF(AND(AD64="",AE64=""),"",INDEX('справочная информация'!$B$188:$Y$211,MATCH('Расчет грейда'!$AE64,'справочная информация'!$A$188:$A$211,0),MATCH('Расчет грейда'!$AD64,'справочная информация'!$B$187:$Y$187,0))),"НЕТ")</f>
        <v/>
      </c>
      <c r="AG64" s="3" t="e">
        <f>VLOOKUP(J64,'справочная информация'!$D$267:$E$274,2,0)</f>
        <v>#N/A</v>
      </c>
      <c r="AH64" s="3" t="e">
        <f>VLOOKUP(K64,'справочная информация'!$D$279:$E$283,2,0)</f>
        <v>#N/A</v>
      </c>
      <c r="AI64" s="3" t="e">
        <f>VLOOKUP(L64,'справочная информация'!$D$288:$E$290,2,0)</f>
        <v>#N/A</v>
      </c>
      <c r="AJ64" s="3" t="str">
        <f t="shared" si="22"/>
        <v/>
      </c>
      <c r="AK64" s="169" t="e">
        <f>VLOOKUP(M64,'справочная информация'!$D$294:$E$301,2,0)</f>
        <v>#N/A</v>
      </c>
      <c r="AL64" s="3" t="e">
        <f>VLOOKUP(N64,'справочная информация'!$D$306:$E$310,2,0)</f>
        <v>#N/A</v>
      </c>
      <c r="AM64" s="169" t="str">
        <f t="shared" si="23"/>
        <v>()</v>
      </c>
      <c r="AN64" s="3" t="str">
        <f t="shared" si="24"/>
        <v/>
      </c>
      <c r="AO64" s="3" t="e">
        <f>VLOOKUP(O64,'справочная информация'!$D$329:$E$336,2,0)</f>
        <v>#N/A</v>
      </c>
      <c r="AP64" s="3" t="e">
        <f>VLOOKUP(P64,'справочная информация'!$D$342:$E$349,2,0)</f>
        <v>#N/A</v>
      </c>
      <c r="AQ64" s="3" t="e">
        <f>VLOOKUP(Q64,'справочная информация'!$D$316:$E$325,2,0)</f>
        <v>#N/A</v>
      </c>
      <c r="AR64" s="3" t="str">
        <f t="shared" si="25"/>
        <v/>
      </c>
      <c r="AS64" s="170" t="str">
        <f t="shared" si="26"/>
        <v/>
      </c>
      <c r="AT64" s="3" t="str">
        <f t="shared" si="27"/>
        <v/>
      </c>
      <c r="AU64" s="3" t="e">
        <f>ABS(MATCH($AX64,'справочная информация'!$A$354:$A$391,0)-MATCH($AY64,'справочная информация'!$A$354:$A$391,0))</f>
        <v>#N/A</v>
      </c>
      <c r="AV64" s="3" t="str">
        <f>IFERROR(INDEX('справочная информация'!$B$6:$R$29,MATCH('Расчет грейда'!$Y64,'справочная информация'!$A$6:$A$29,0),MATCH('Расчет грейда'!$X64,'справочная информация'!$B$5:$R$5,0)),"")</f>
        <v/>
      </c>
      <c r="AW64" s="171" t="str">
        <f>IFERROR(INDEX('справочная информация'!$B$37:$H$52,MATCH('Расчет грейда'!$AA64,'справочная информация'!$A$37:$A$52,0),MATCH('Расчет грейда'!$N64,'справочная информация'!$B$36:$H$36,0)),"")</f>
        <v/>
      </c>
      <c r="AX64" s="122" t="str">
        <f>IFERROR(INDEX('справочная информация'!$D$108:$AD$123,MATCH('Расчет грейда'!$AW64,'справочная информация'!$C$108:$C$123,0),MATCH('Расчет грейда'!$AV64,'справочная информация'!$D$107:$AD$107,0)),"")</f>
        <v/>
      </c>
      <c r="AY64" s="133" t="str">
        <f>IFERROR(INDEX('справочная информация'!$B$158:$Y$181,MATCH('Расчет грейда'!$AE64,'справочная информация'!$A$158:$A$181,0),MATCH('Расчет грейда'!$AD64,'справочная информация'!$B$157:$Y$157,0)),"")</f>
        <v/>
      </c>
      <c r="AZ64" s="170" t="str">
        <f t="shared" si="28"/>
        <v/>
      </c>
      <c r="BA64" s="172" t="str">
        <f>IFERROR(CONCATENATE(TEXT(AZ64/INDEX('справочная информация'!$D$223:$D$261,MATCH('Расчет грейда'!$AZ64,'справочная информация'!$C$223:$C$261,1)),"0%")," - процент относительно медианы 100%. ","MIN балл на грейде ",INDEX('справочная информация'!$C$223:$C$261,MATCH('Расчет грейда'!$AZ64,'справочная информация'!$C$223:$C$261,1)),", "," MAX балл на грейде ",INDEX('справочная информация'!$E$223:$E$261,MATCH('Расчет грейда'!$AZ64,'справочная информация'!$C$223:$C$261,1))),"")</f>
        <v/>
      </c>
      <c r="BB64" s="120" t="str">
        <f t="shared" si="29"/>
        <v/>
      </c>
      <c r="BC64" s="3" t="str">
        <f t="shared" si="30"/>
        <v/>
      </c>
      <c r="BD64" s="121" t="str">
        <f>IFERROR(VLOOKUP(BC64,'справочная информация'!$B$416:$C$424,2,0),"Проверить данные, нетипичная должность")</f>
        <v>Проверить данные, нетипичная должность</v>
      </c>
      <c r="BE64" s="3" t="str">
        <f t="shared" si="31"/>
        <v/>
      </c>
      <c r="BF64" s="3" t="str">
        <f>IFERROR(INDEX('справочная информация'!$F$223:$F$261,MATCH('Расчет грейда'!$AZ64,'справочная информация'!$C$223:$C$261,1)),"")</f>
        <v/>
      </c>
    </row>
    <row r="65" spans="1:58" s="9" customFormat="1" x14ac:dyDescent="0.35">
      <c r="A65" s="120"/>
      <c r="B65" s="122"/>
      <c r="C65" s="140"/>
      <c r="D65" s="120"/>
      <c r="E65" s="120"/>
      <c r="F65" s="120"/>
      <c r="G65" s="120"/>
      <c r="H65" s="120"/>
      <c r="J65" s="142"/>
      <c r="K65" s="142"/>
      <c r="L65" s="142"/>
      <c r="R65" s="3"/>
      <c r="S65" s="138"/>
      <c r="T65" s="3"/>
      <c r="U65" s="3"/>
      <c r="V65" s="3"/>
      <c r="W65" s="3" t="str">
        <f t="shared" si="16"/>
        <v/>
      </c>
      <c r="X65" s="9" t="str">
        <f t="shared" si="17"/>
        <v/>
      </c>
      <c r="Y65" s="9" t="str">
        <f t="shared" si="18"/>
        <v/>
      </c>
      <c r="Z65" s="3" t="e">
        <f>INDEX('справочная информация'!$U$6:$AK$29,MATCH('Расчет грейда'!$Y65,'справочная информация'!$T$6:$T$29,0),MATCH('Расчет грейда'!$X65,'справочная информация'!$U$5:$AK$5,0))</f>
        <v>#N/A</v>
      </c>
      <c r="AA65" s="9" t="str">
        <f t="shared" si="19"/>
        <v/>
      </c>
      <c r="AB65" s="3" t="e">
        <f>INDEX('справочная информация'!$B$68:$H$83,MATCH('Расчет грейда'!$AA65,'справочная информация'!$A$68:$A$83,0),MATCH('Расчет грейда'!$N65,'справочная информация'!$B$67:$H$67,0))</f>
        <v>#N/A</v>
      </c>
      <c r="AC65" s="3" t="e">
        <f>INDEX('справочная информация'!$D$130:$AD$145,MATCH('Расчет грейда'!$AW65,'справочная информация'!$C$130:$C$145,0),MATCH('Расчет грейда'!$AV65,'справочная информация'!$D$129:$AD$129,0))</f>
        <v>#N/A</v>
      </c>
      <c r="AD65" s="9" t="str">
        <f t="shared" si="20"/>
        <v/>
      </c>
      <c r="AE65" s="9" t="str">
        <f t="shared" si="21"/>
        <v/>
      </c>
      <c r="AF65" s="3" t="str">
        <f>IFERROR(IF(AND(AD65="",AE65=""),"",INDEX('справочная информация'!$B$188:$Y$211,MATCH('Расчет грейда'!$AE65,'справочная информация'!$A$188:$A$211,0),MATCH('Расчет грейда'!$AD65,'справочная информация'!$B$187:$Y$187,0))),"НЕТ")</f>
        <v/>
      </c>
      <c r="AG65" s="3" t="e">
        <f>VLOOKUP(J65,'справочная информация'!$D$267:$E$274,2,0)</f>
        <v>#N/A</v>
      </c>
      <c r="AH65" s="3" t="e">
        <f>VLOOKUP(K65,'справочная информация'!$D$279:$E$283,2,0)</f>
        <v>#N/A</v>
      </c>
      <c r="AI65" s="3" t="e">
        <f>VLOOKUP(L65,'справочная информация'!$D$288:$E$290,2,0)</f>
        <v>#N/A</v>
      </c>
      <c r="AJ65" s="3" t="str">
        <f t="shared" si="22"/>
        <v/>
      </c>
      <c r="AK65" s="169" t="e">
        <f>VLOOKUP(M65,'справочная информация'!$D$294:$E$301,2,0)</f>
        <v>#N/A</v>
      </c>
      <c r="AL65" s="3" t="e">
        <f>VLOOKUP(N65,'справочная информация'!$D$306:$E$310,2,0)</f>
        <v>#N/A</v>
      </c>
      <c r="AM65" s="169" t="str">
        <f t="shared" si="23"/>
        <v>()</v>
      </c>
      <c r="AN65" s="3" t="str">
        <f t="shared" si="24"/>
        <v/>
      </c>
      <c r="AO65" s="3" t="e">
        <f>VLOOKUP(O65,'справочная информация'!$D$329:$E$336,2,0)</f>
        <v>#N/A</v>
      </c>
      <c r="AP65" s="3" t="e">
        <f>VLOOKUP(P65,'справочная информация'!$D$342:$E$349,2,0)</f>
        <v>#N/A</v>
      </c>
      <c r="AQ65" s="3" t="e">
        <f>VLOOKUP(Q65,'справочная информация'!$D$316:$E$325,2,0)</f>
        <v>#N/A</v>
      </c>
      <c r="AR65" s="3" t="str">
        <f t="shared" si="25"/>
        <v/>
      </c>
      <c r="AS65" s="170" t="str">
        <f t="shared" si="26"/>
        <v/>
      </c>
      <c r="AT65" s="3" t="str">
        <f t="shared" si="27"/>
        <v/>
      </c>
      <c r="AU65" s="3" t="e">
        <f>ABS(MATCH($AX65,'справочная информация'!$A$354:$A$391,0)-MATCH($AY65,'справочная информация'!$A$354:$A$391,0))</f>
        <v>#N/A</v>
      </c>
      <c r="AV65" s="3" t="str">
        <f>IFERROR(INDEX('справочная информация'!$B$6:$R$29,MATCH('Расчет грейда'!$Y65,'справочная информация'!$A$6:$A$29,0),MATCH('Расчет грейда'!$X65,'справочная информация'!$B$5:$R$5,0)),"")</f>
        <v/>
      </c>
      <c r="AW65" s="171" t="str">
        <f>IFERROR(INDEX('справочная информация'!$B$37:$H$52,MATCH('Расчет грейда'!$AA65,'справочная информация'!$A$37:$A$52,0),MATCH('Расчет грейда'!$N65,'справочная информация'!$B$36:$H$36,0)),"")</f>
        <v/>
      </c>
      <c r="AX65" s="122" t="str">
        <f>IFERROR(INDEX('справочная информация'!$D$108:$AD$123,MATCH('Расчет грейда'!$AW65,'справочная информация'!$C$108:$C$123,0),MATCH('Расчет грейда'!$AV65,'справочная информация'!$D$107:$AD$107,0)),"")</f>
        <v/>
      </c>
      <c r="AY65" s="133" t="str">
        <f>IFERROR(INDEX('справочная информация'!$B$158:$Y$181,MATCH('Расчет грейда'!$AE65,'справочная информация'!$A$158:$A$181,0),MATCH('Расчет грейда'!$AD65,'справочная информация'!$B$157:$Y$157,0)),"")</f>
        <v/>
      </c>
      <c r="AZ65" s="170" t="str">
        <f t="shared" si="28"/>
        <v/>
      </c>
      <c r="BA65" s="172" t="str">
        <f>IFERROR(CONCATENATE(TEXT(AZ65/INDEX('справочная информация'!$D$223:$D$261,MATCH('Расчет грейда'!$AZ65,'справочная информация'!$C$223:$C$261,1)),"0%")," - процент относительно медианы 100%. ","MIN балл на грейде ",INDEX('справочная информация'!$C$223:$C$261,MATCH('Расчет грейда'!$AZ65,'справочная информация'!$C$223:$C$261,1)),", "," MAX балл на грейде ",INDEX('справочная информация'!$E$223:$E$261,MATCH('Расчет грейда'!$AZ65,'справочная информация'!$C$223:$C$261,1))),"")</f>
        <v/>
      </c>
      <c r="BB65" s="120" t="str">
        <f t="shared" si="29"/>
        <v/>
      </c>
      <c r="BC65" s="3" t="str">
        <f t="shared" si="30"/>
        <v/>
      </c>
      <c r="BD65" s="121" t="str">
        <f>IFERROR(VLOOKUP(BC65,'справочная информация'!$B$416:$C$424,2,0),"Проверить данные, нетипичная должность")</f>
        <v>Проверить данные, нетипичная должность</v>
      </c>
      <c r="BE65" s="3" t="str">
        <f t="shared" si="31"/>
        <v/>
      </c>
      <c r="BF65" s="3" t="str">
        <f>IFERROR(INDEX('справочная информация'!$F$223:$F$261,MATCH('Расчет грейда'!$AZ65,'справочная информация'!$C$223:$C$261,1)),"")</f>
        <v/>
      </c>
    </row>
    <row r="66" spans="1:58" s="9" customFormat="1" x14ac:dyDescent="0.35">
      <c r="A66" s="120"/>
      <c r="B66" s="122"/>
      <c r="C66" s="140"/>
      <c r="D66" s="120"/>
      <c r="E66" s="120"/>
      <c r="F66" s="120"/>
      <c r="G66" s="120"/>
      <c r="H66" s="120"/>
      <c r="J66" s="142"/>
      <c r="K66" s="142"/>
      <c r="L66" s="142"/>
      <c r="R66" s="3"/>
      <c r="S66" s="138"/>
      <c r="T66" s="3"/>
      <c r="U66" s="3"/>
      <c r="V66" s="3"/>
      <c r="W66" s="3" t="str">
        <f t="shared" si="16"/>
        <v/>
      </c>
      <c r="X66" s="9" t="str">
        <f t="shared" si="17"/>
        <v/>
      </c>
      <c r="Y66" s="9" t="str">
        <f t="shared" si="18"/>
        <v/>
      </c>
      <c r="Z66" s="3" t="e">
        <f>INDEX('справочная информация'!$U$6:$AK$29,MATCH('Расчет грейда'!$Y66,'справочная информация'!$T$6:$T$29,0),MATCH('Расчет грейда'!$X66,'справочная информация'!$U$5:$AK$5,0))</f>
        <v>#N/A</v>
      </c>
      <c r="AA66" s="9" t="str">
        <f t="shared" si="19"/>
        <v/>
      </c>
      <c r="AB66" s="3" t="e">
        <f>INDEX('справочная информация'!$B$68:$H$83,MATCH('Расчет грейда'!$AA66,'справочная информация'!$A$68:$A$83,0),MATCH('Расчет грейда'!$N66,'справочная информация'!$B$67:$H$67,0))</f>
        <v>#N/A</v>
      </c>
      <c r="AC66" s="3" t="e">
        <f>INDEX('справочная информация'!$D$130:$AD$145,MATCH('Расчет грейда'!$AW66,'справочная информация'!$C$130:$C$145,0),MATCH('Расчет грейда'!$AV66,'справочная информация'!$D$129:$AD$129,0))</f>
        <v>#N/A</v>
      </c>
      <c r="AD66" s="9" t="str">
        <f t="shared" si="20"/>
        <v/>
      </c>
      <c r="AE66" s="9" t="str">
        <f t="shared" si="21"/>
        <v/>
      </c>
      <c r="AF66" s="3" t="str">
        <f>IFERROR(IF(AND(AD66="",AE66=""),"",INDEX('справочная информация'!$B$188:$Y$211,MATCH('Расчет грейда'!$AE66,'справочная информация'!$A$188:$A$211,0),MATCH('Расчет грейда'!$AD66,'справочная информация'!$B$187:$Y$187,0))),"НЕТ")</f>
        <v/>
      </c>
      <c r="AG66" s="3" t="e">
        <f>VLOOKUP(J66,'справочная информация'!$D$267:$E$274,2,0)</f>
        <v>#N/A</v>
      </c>
      <c r="AH66" s="3" t="e">
        <f>VLOOKUP(K66,'справочная информация'!$D$279:$E$283,2,0)</f>
        <v>#N/A</v>
      </c>
      <c r="AI66" s="3" t="e">
        <f>VLOOKUP(L66,'справочная информация'!$D$288:$E$290,2,0)</f>
        <v>#N/A</v>
      </c>
      <c r="AJ66" s="3" t="str">
        <f t="shared" si="22"/>
        <v/>
      </c>
      <c r="AK66" s="169" t="e">
        <f>VLOOKUP(M66,'справочная информация'!$D$294:$E$301,2,0)</f>
        <v>#N/A</v>
      </c>
      <c r="AL66" s="3" t="e">
        <f>VLOOKUP(N66,'справочная информация'!$D$306:$E$310,2,0)</f>
        <v>#N/A</v>
      </c>
      <c r="AM66" s="169" t="str">
        <f t="shared" si="23"/>
        <v>()</v>
      </c>
      <c r="AN66" s="3" t="str">
        <f t="shared" si="24"/>
        <v/>
      </c>
      <c r="AO66" s="3" t="e">
        <f>VLOOKUP(O66,'справочная информация'!$D$329:$E$336,2,0)</f>
        <v>#N/A</v>
      </c>
      <c r="AP66" s="3" t="e">
        <f>VLOOKUP(P66,'справочная информация'!$D$342:$E$349,2,0)</f>
        <v>#N/A</v>
      </c>
      <c r="AQ66" s="3" t="e">
        <f>VLOOKUP(Q66,'справочная информация'!$D$316:$E$325,2,0)</f>
        <v>#N/A</v>
      </c>
      <c r="AR66" s="3" t="str">
        <f t="shared" si="25"/>
        <v/>
      </c>
      <c r="AS66" s="170" t="str">
        <f t="shared" si="26"/>
        <v/>
      </c>
      <c r="AT66" s="3" t="str">
        <f t="shared" si="27"/>
        <v/>
      </c>
      <c r="AU66" s="3" t="e">
        <f>ABS(MATCH($AX66,'справочная информация'!$A$354:$A$391,0)-MATCH($AY66,'справочная информация'!$A$354:$A$391,0))</f>
        <v>#N/A</v>
      </c>
      <c r="AV66" s="3" t="str">
        <f>IFERROR(INDEX('справочная информация'!$B$6:$R$29,MATCH('Расчет грейда'!$Y66,'справочная информация'!$A$6:$A$29,0),MATCH('Расчет грейда'!$X66,'справочная информация'!$B$5:$R$5,0)),"")</f>
        <v/>
      </c>
      <c r="AW66" s="171" t="str">
        <f>IFERROR(INDEX('справочная информация'!$B$37:$H$52,MATCH('Расчет грейда'!$AA66,'справочная информация'!$A$37:$A$52,0),MATCH('Расчет грейда'!$N66,'справочная информация'!$B$36:$H$36,0)),"")</f>
        <v/>
      </c>
      <c r="AX66" s="122" t="str">
        <f>IFERROR(INDEX('справочная информация'!$D$108:$AD$123,MATCH('Расчет грейда'!$AW66,'справочная информация'!$C$108:$C$123,0),MATCH('Расчет грейда'!$AV66,'справочная информация'!$D$107:$AD$107,0)),"")</f>
        <v/>
      </c>
      <c r="AY66" s="133" t="str">
        <f>IFERROR(INDEX('справочная информация'!$B$158:$Y$181,MATCH('Расчет грейда'!$AE66,'справочная информация'!$A$158:$A$181,0),MATCH('Расчет грейда'!$AD66,'справочная информация'!$B$157:$Y$157,0)),"")</f>
        <v/>
      </c>
      <c r="AZ66" s="170" t="str">
        <f t="shared" si="28"/>
        <v/>
      </c>
      <c r="BA66" s="172" t="str">
        <f>IFERROR(CONCATENATE(TEXT(AZ66/INDEX('справочная информация'!$D$223:$D$261,MATCH('Расчет грейда'!$AZ66,'справочная информация'!$C$223:$C$261,1)),"0%")," - процент относительно медианы 100%. ","MIN балл на грейде ",INDEX('справочная информация'!$C$223:$C$261,MATCH('Расчет грейда'!$AZ66,'справочная информация'!$C$223:$C$261,1)),", "," MAX балл на грейде ",INDEX('справочная информация'!$E$223:$E$261,MATCH('Расчет грейда'!$AZ66,'справочная информация'!$C$223:$C$261,1))),"")</f>
        <v/>
      </c>
      <c r="BB66" s="120" t="str">
        <f t="shared" si="29"/>
        <v/>
      </c>
      <c r="BC66" s="3" t="str">
        <f t="shared" si="30"/>
        <v/>
      </c>
      <c r="BD66" s="121" t="str">
        <f>IFERROR(VLOOKUP(BC66,'справочная информация'!$B$416:$C$424,2,0),"Проверить данные, нетипичная должность")</f>
        <v>Проверить данные, нетипичная должность</v>
      </c>
      <c r="BE66" s="3" t="str">
        <f t="shared" si="31"/>
        <v/>
      </c>
      <c r="BF66" s="3" t="str">
        <f>IFERROR(INDEX('справочная информация'!$F$223:$F$261,MATCH('Расчет грейда'!$AZ66,'справочная информация'!$C$223:$C$261,1)),"")</f>
        <v/>
      </c>
    </row>
    <row r="67" spans="1:58" s="9" customFormat="1" x14ac:dyDescent="0.35">
      <c r="A67" s="120"/>
      <c r="B67" s="122"/>
      <c r="C67" s="140"/>
      <c r="D67" s="120"/>
      <c r="E67" s="120"/>
      <c r="F67" s="120"/>
      <c r="G67" s="120"/>
      <c r="H67" s="120"/>
      <c r="J67" s="142"/>
      <c r="K67" s="142"/>
      <c r="L67" s="142"/>
      <c r="R67" s="3"/>
      <c r="S67" s="138"/>
      <c r="T67" s="3"/>
      <c r="U67" s="3"/>
      <c r="V67" s="3"/>
      <c r="W67" s="3" t="str">
        <f t="shared" si="16"/>
        <v/>
      </c>
      <c r="X67" s="9" t="str">
        <f t="shared" si="17"/>
        <v/>
      </c>
      <c r="Y67" s="9" t="str">
        <f t="shared" si="18"/>
        <v/>
      </c>
      <c r="Z67" s="3" t="e">
        <f>INDEX('справочная информация'!$U$6:$AK$29,MATCH('Расчет грейда'!$Y67,'справочная информация'!$T$6:$T$29,0),MATCH('Расчет грейда'!$X67,'справочная информация'!$U$5:$AK$5,0))</f>
        <v>#N/A</v>
      </c>
      <c r="AA67" s="9" t="str">
        <f t="shared" si="19"/>
        <v/>
      </c>
      <c r="AB67" s="3" t="e">
        <f>INDEX('справочная информация'!$B$68:$H$83,MATCH('Расчет грейда'!$AA67,'справочная информация'!$A$68:$A$83,0),MATCH('Расчет грейда'!$N67,'справочная информация'!$B$67:$H$67,0))</f>
        <v>#N/A</v>
      </c>
      <c r="AC67" s="3" t="e">
        <f>INDEX('справочная информация'!$D$130:$AD$145,MATCH('Расчет грейда'!$AW67,'справочная информация'!$C$130:$C$145,0),MATCH('Расчет грейда'!$AV67,'справочная информация'!$D$129:$AD$129,0))</f>
        <v>#N/A</v>
      </c>
      <c r="AD67" s="9" t="str">
        <f t="shared" si="20"/>
        <v/>
      </c>
      <c r="AE67" s="9" t="str">
        <f t="shared" si="21"/>
        <v/>
      </c>
      <c r="AF67" s="3" t="str">
        <f>IFERROR(IF(AND(AD67="",AE67=""),"",INDEX('справочная информация'!$B$188:$Y$211,MATCH('Расчет грейда'!$AE67,'справочная информация'!$A$188:$A$211,0),MATCH('Расчет грейда'!$AD67,'справочная информация'!$B$187:$Y$187,0))),"НЕТ")</f>
        <v/>
      </c>
      <c r="AG67" s="3" t="e">
        <f>VLOOKUP(J67,'справочная информация'!$D$267:$E$274,2,0)</f>
        <v>#N/A</v>
      </c>
      <c r="AH67" s="3" t="e">
        <f>VLOOKUP(K67,'справочная информация'!$D$279:$E$283,2,0)</f>
        <v>#N/A</v>
      </c>
      <c r="AI67" s="3" t="e">
        <f>VLOOKUP(L67,'справочная информация'!$D$288:$E$290,2,0)</f>
        <v>#N/A</v>
      </c>
      <c r="AJ67" s="3" t="str">
        <f t="shared" si="22"/>
        <v/>
      </c>
      <c r="AK67" s="169" t="e">
        <f>VLOOKUP(M67,'справочная информация'!$D$294:$E$301,2,0)</f>
        <v>#N/A</v>
      </c>
      <c r="AL67" s="3" t="e">
        <f>VLOOKUP(N67,'справочная информация'!$D$306:$E$310,2,0)</f>
        <v>#N/A</v>
      </c>
      <c r="AM67" s="169" t="str">
        <f t="shared" si="23"/>
        <v>()</v>
      </c>
      <c r="AN67" s="3" t="str">
        <f t="shared" si="24"/>
        <v/>
      </c>
      <c r="AO67" s="3" t="e">
        <f>VLOOKUP(O67,'справочная информация'!$D$329:$E$336,2,0)</f>
        <v>#N/A</v>
      </c>
      <c r="AP67" s="3" t="e">
        <f>VLOOKUP(P67,'справочная информация'!$D$342:$E$349,2,0)</f>
        <v>#N/A</v>
      </c>
      <c r="AQ67" s="3" t="e">
        <f>VLOOKUP(Q67,'справочная информация'!$D$316:$E$325,2,0)</f>
        <v>#N/A</v>
      </c>
      <c r="AR67" s="3" t="str">
        <f t="shared" si="25"/>
        <v/>
      </c>
      <c r="AS67" s="170" t="str">
        <f t="shared" si="26"/>
        <v/>
      </c>
      <c r="AT67" s="3" t="str">
        <f t="shared" si="27"/>
        <v/>
      </c>
      <c r="AU67" s="3" t="e">
        <f>ABS(MATCH($AX67,'справочная информация'!$A$354:$A$391,0)-MATCH($AY67,'справочная информация'!$A$354:$A$391,0))</f>
        <v>#N/A</v>
      </c>
      <c r="AV67" s="3" t="str">
        <f>IFERROR(INDEX('справочная информация'!$B$6:$R$29,MATCH('Расчет грейда'!$Y67,'справочная информация'!$A$6:$A$29,0),MATCH('Расчет грейда'!$X67,'справочная информация'!$B$5:$R$5,0)),"")</f>
        <v/>
      </c>
      <c r="AW67" s="171" t="str">
        <f>IFERROR(INDEX('справочная информация'!$B$37:$H$52,MATCH('Расчет грейда'!$AA67,'справочная информация'!$A$37:$A$52,0),MATCH('Расчет грейда'!$N67,'справочная информация'!$B$36:$H$36,0)),"")</f>
        <v/>
      </c>
      <c r="AX67" s="122" t="str">
        <f>IFERROR(INDEX('справочная информация'!$D$108:$AD$123,MATCH('Расчет грейда'!$AW67,'справочная информация'!$C$108:$C$123,0),MATCH('Расчет грейда'!$AV67,'справочная информация'!$D$107:$AD$107,0)),"")</f>
        <v/>
      </c>
      <c r="AY67" s="133" t="str">
        <f>IFERROR(INDEX('справочная информация'!$B$158:$Y$181,MATCH('Расчет грейда'!$AE67,'справочная информация'!$A$158:$A$181,0),MATCH('Расчет грейда'!$AD67,'справочная информация'!$B$157:$Y$157,0)),"")</f>
        <v/>
      </c>
      <c r="AZ67" s="170" t="str">
        <f t="shared" si="28"/>
        <v/>
      </c>
      <c r="BA67" s="172" t="str">
        <f>IFERROR(CONCATENATE(TEXT(AZ67/INDEX('справочная информация'!$D$223:$D$261,MATCH('Расчет грейда'!$AZ67,'справочная информация'!$C$223:$C$261,1)),"0%")," - процент относительно медианы 100%. ","MIN балл на грейде ",INDEX('справочная информация'!$C$223:$C$261,MATCH('Расчет грейда'!$AZ67,'справочная информация'!$C$223:$C$261,1)),", "," MAX балл на грейде ",INDEX('справочная информация'!$E$223:$E$261,MATCH('Расчет грейда'!$AZ67,'справочная информация'!$C$223:$C$261,1))),"")</f>
        <v/>
      </c>
      <c r="BB67" s="120" t="str">
        <f t="shared" si="29"/>
        <v/>
      </c>
      <c r="BC67" s="3" t="str">
        <f t="shared" si="30"/>
        <v/>
      </c>
      <c r="BD67" s="121" t="str">
        <f>IFERROR(VLOOKUP(BC67,'справочная информация'!$B$416:$C$424,2,0),"Проверить данные, нетипичная должность")</f>
        <v>Проверить данные, нетипичная должность</v>
      </c>
      <c r="BE67" s="3" t="str">
        <f t="shared" si="31"/>
        <v/>
      </c>
      <c r="BF67" s="3" t="str">
        <f>IFERROR(INDEX('справочная информация'!$F$223:$F$261,MATCH('Расчет грейда'!$AZ67,'справочная информация'!$C$223:$C$261,1)),"")</f>
        <v/>
      </c>
    </row>
    <row r="68" spans="1:58" s="9" customFormat="1" x14ac:dyDescent="0.35">
      <c r="A68" s="120"/>
      <c r="B68" s="122"/>
      <c r="C68" s="140"/>
      <c r="D68" s="120"/>
      <c r="E68" s="120"/>
      <c r="F68" s="120"/>
      <c r="G68" s="120"/>
      <c r="H68" s="120"/>
      <c r="J68" s="142"/>
      <c r="K68" s="142"/>
      <c r="L68" s="142"/>
      <c r="R68" s="3"/>
      <c r="S68" s="138"/>
      <c r="T68" s="3"/>
      <c r="U68" s="3"/>
      <c r="V68" s="3"/>
      <c r="W68" s="3" t="str">
        <f t="shared" si="16"/>
        <v/>
      </c>
      <c r="X68" s="9" t="str">
        <f t="shared" si="17"/>
        <v/>
      </c>
      <c r="Y68" s="9" t="str">
        <f t="shared" si="18"/>
        <v/>
      </c>
      <c r="Z68" s="3" t="e">
        <f>INDEX('справочная информация'!$U$6:$AK$29,MATCH('Расчет грейда'!$Y68,'справочная информация'!$T$6:$T$29,0),MATCH('Расчет грейда'!$X68,'справочная информация'!$U$5:$AK$5,0))</f>
        <v>#N/A</v>
      </c>
      <c r="AA68" s="9" t="str">
        <f t="shared" si="19"/>
        <v/>
      </c>
      <c r="AB68" s="3" t="e">
        <f>INDEX('справочная информация'!$B$68:$H$83,MATCH('Расчет грейда'!$AA68,'справочная информация'!$A$68:$A$83,0),MATCH('Расчет грейда'!$N68,'справочная информация'!$B$67:$H$67,0))</f>
        <v>#N/A</v>
      </c>
      <c r="AC68" s="3" t="e">
        <f>INDEX('справочная информация'!$D$130:$AD$145,MATCH('Расчет грейда'!$AW68,'справочная информация'!$C$130:$C$145,0),MATCH('Расчет грейда'!$AV68,'справочная информация'!$D$129:$AD$129,0))</f>
        <v>#N/A</v>
      </c>
      <c r="AD68" s="9" t="str">
        <f t="shared" si="20"/>
        <v/>
      </c>
      <c r="AE68" s="9" t="str">
        <f t="shared" si="21"/>
        <v/>
      </c>
      <c r="AF68" s="3" t="str">
        <f>IFERROR(IF(AND(AD68="",AE68=""),"",INDEX('справочная информация'!$B$188:$Y$211,MATCH('Расчет грейда'!$AE68,'справочная информация'!$A$188:$A$211,0),MATCH('Расчет грейда'!$AD68,'справочная информация'!$B$187:$Y$187,0))),"НЕТ")</f>
        <v/>
      </c>
      <c r="AG68" s="3" t="e">
        <f>VLOOKUP(J68,'справочная информация'!$D$267:$E$274,2,0)</f>
        <v>#N/A</v>
      </c>
      <c r="AH68" s="3" t="e">
        <f>VLOOKUP(K68,'справочная информация'!$D$279:$E$283,2,0)</f>
        <v>#N/A</v>
      </c>
      <c r="AI68" s="3" t="e">
        <f>VLOOKUP(L68,'справочная информация'!$D$288:$E$290,2,0)</f>
        <v>#N/A</v>
      </c>
      <c r="AJ68" s="3" t="str">
        <f t="shared" si="22"/>
        <v/>
      </c>
      <c r="AK68" s="169" t="e">
        <f>VLOOKUP(M68,'справочная информация'!$D$294:$E$301,2,0)</f>
        <v>#N/A</v>
      </c>
      <c r="AL68" s="3" t="e">
        <f>VLOOKUP(N68,'справочная информация'!$D$306:$E$310,2,0)</f>
        <v>#N/A</v>
      </c>
      <c r="AM68" s="169" t="str">
        <f t="shared" si="23"/>
        <v>()</v>
      </c>
      <c r="AN68" s="3" t="str">
        <f t="shared" si="24"/>
        <v/>
      </c>
      <c r="AO68" s="3" t="e">
        <f>VLOOKUP(O68,'справочная информация'!$D$329:$E$336,2,0)</f>
        <v>#N/A</v>
      </c>
      <c r="AP68" s="3" t="e">
        <f>VLOOKUP(P68,'справочная информация'!$D$342:$E$349,2,0)</f>
        <v>#N/A</v>
      </c>
      <c r="AQ68" s="3" t="e">
        <f>VLOOKUP(Q68,'справочная информация'!$D$316:$E$325,2,0)</f>
        <v>#N/A</v>
      </c>
      <c r="AR68" s="3" t="str">
        <f t="shared" si="25"/>
        <v/>
      </c>
      <c r="AS68" s="170" t="str">
        <f t="shared" si="26"/>
        <v/>
      </c>
      <c r="AT68" s="3" t="str">
        <f t="shared" si="27"/>
        <v/>
      </c>
      <c r="AU68" s="3" t="e">
        <f>ABS(MATCH($AX68,'справочная информация'!$A$354:$A$391,0)-MATCH($AY68,'справочная информация'!$A$354:$A$391,0))</f>
        <v>#N/A</v>
      </c>
      <c r="AV68" s="3" t="str">
        <f>IFERROR(INDEX('справочная информация'!$B$6:$R$29,MATCH('Расчет грейда'!$Y68,'справочная информация'!$A$6:$A$29,0),MATCH('Расчет грейда'!$X68,'справочная информация'!$B$5:$R$5,0)),"")</f>
        <v/>
      </c>
      <c r="AW68" s="171" t="str">
        <f>IFERROR(INDEX('справочная информация'!$B$37:$H$52,MATCH('Расчет грейда'!$AA68,'справочная информация'!$A$37:$A$52,0),MATCH('Расчет грейда'!$N68,'справочная информация'!$B$36:$H$36,0)),"")</f>
        <v/>
      </c>
      <c r="AX68" s="122" t="str">
        <f>IFERROR(INDEX('справочная информация'!$D$108:$AD$123,MATCH('Расчет грейда'!$AW68,'справочная информация'!$C$108:$C$123,0),MATCH('Расчет грейда'!$AV68,'справочная информация'!$D$107:$AD$107,0)),"")</f>
        <v/>
      </c>
      <c r="AY68" s="133" t="str">
        <f>IFERROR(INDEX('справочная информация'!$B$158:$Y$181,MATCH('Расчет грейда'!$AE68,'справочная информация'!$A$158:$A$181,0),MATCH('Расчет грейда'!$AD68,'справочная информация'!$B$157:$Y$157,0)),"")</f>
        <v/>
      </c>
      <c r="AZ68" s="170" t="str">
        <f t="shared" si="28"/>
        <v/>
      </c>
      <c r="BA68" s="172" t="str">
        <f>IFERROR(CONCATENATE(TEXT(AZ68/INDEX('справочная информация'!$D$223:$D$261,MATCH('Расчет грейда'!$AZ68,'справочная информация'!$C$223:$C$261,1)),"0%")," - процент относительно медианы 100%. ","MIN балл на грейде ",INDEX('справочная информация'!$C$223:$C$261,MATCH('Расчет грейда'!$AZ68,'справочная информация'!$C$223:$C$261,1)),", "," MAX балл на грейде ",INDEX('справочная информация'!$E$223:$E$261,MATCH('Расчет грейда'!$AZ68,'справочная информация'!$C$223:$C$261,1))),"")</f>
        <v/>
      </c>
      <c r="BB68" s="120" t="str">
        <f t="shared" si="29"/>
        <v/>
      </c>
      <c r="BC68" s="3" t="str">
        <f t="shared" si="30"/>
        <v/>
      </c>
      <c r="BD68" s="121" t="str">
        <f>IFERROR(VLOOKUP(BC68,'справочная информация'!$B$416:$C$424,2,0),"Проверить данные, нетипичная должность")</f>
        <v>Проверить данные, нетипичная должность</v>
      </c>
      <c r="BE68" s="3" t="str">
        <f t="shared" si="31"/>
        <v/>
      </c>
      <c r="BF68" s="3" t="str">
        <f>IFERROR(INDEX('справочная информация'!$F$223:$F$261,MATCH('Расчет грейда'!$AZ68,'справочная информация'!$C$223:$C$261,1)),"")</f>
        <v/>
      </c>
    </row>
    <row r="69" spans="1:58" s="9" customFormat="1" x14ac:dyDescent="0.35">
      <c r="A69" s="120"/>
      <c r="B69" s="122"/>
      <c r="C69" s="140"/>
      <c r="D69" s="120"/>
      <c r="E69" s="120"/>
      <c r="F69" s="120"/>
      <c r="G69" s="120"/>
      <c r="H69" s="120"/>
      <c r="J69" s="142"/>
      <c r="K69" s="142"/>
      <c r="L69" s="142"/>
      <c r="R69" s="3"/>
      <c r="S69" s="138"/>
      <c r="T69" s="3"/>
      <c r="U69" s="3"/>
      <c r="V69" s="3"/>
      <c r="W69" s="3" t="str">
        <f t="shared" si="16"/>
        <v/>
      </c>
      <c r="X69" s="9" t="str">
        <f t="shared" si="17"/>
        <v/>
      </c>
      <c r="Y69" s="9" t="str">
        <f t="shared" si="18"/>
        <v/>
      </c>
      <c r="Z69" s="3" t="e">
        <f>INDEX('справочная информация'!$U$6:$AK$29,MATCH('Расчет грейда'!$Y69,'справочная информация'!$T$6:$T$29,0),MATCH('Расчет грейда'!$X69,'справочная информация'!$U$5:$AK$5,0))</f>
        <v>#N/A</v>
      </c>
      <c r="AA69" s="9" t="str">
        <f t="shared" si="19"/>
        <v/>
      </c>
      <c r="AB69" s="3" t="e">
        <f>INDEX('справочная информация'!$B$68:$H$83,MATCH('Расчет грейда'!$AA69,'справочная информация'!$A$68:$A$83,0),MATCH('Расчет грейда'!$N69,'справочная информация'!$B$67:$H$67,0))</f>
        <v>#N/A</v>
      </c>
      <c r="AC69" s="3" t="e">
        <f>INDEX('справочная информация'!$D$130:$AD$145,MATCH('Расчет грейда'!$AW69,'справочная информация'!$C$130:$C$145,0),MATCH('Расчет грейда'!$AV69,'справочная информация'!$D$129:$AD$129,0))</f>
        <v>#N/A</v>
      </c>
      <c r="AD69" s="9" t="str">
        <f t="shared" si="20"/>
        <v/>
      </c>
      <c r="AE69" s="9" t="str">
        <f t="shared" si="21"/>
        <v/>
      </c>
      <c r="AF69" s="3" t="str">
        <f>IFERROR(IF(AND(AD69="",AE69=""),"",INDEX('справочная информация'!$B$188:$Y$211,MATCH('Расчет грейда'!$AE69,'справочная информация'!$A$188:$A$211,0),MATCH('Расчет грейда'!$AD69,'справочная информация'!$B$187:$Y$187,0))),"НЕТ")</f>
        <v/>
      </c>
      <c r="AG69" s="3" t="e">
        <f>VLOOKUP(J69,'справочная информация'!$D$267:$E$274,2,0)</f>
        <v>#N/A</v>
      </c>
      <c r="AH69" s="3" t="e">
        <f>VLOOKUP(K69,'справочная информация'!$D$279:$E$283,2,0)</f>
        <v>#N/A</v>
      </c>
      <c r="AI69" s="3" t="e">
        <f>VLOOKUP(L69,'справочная информация'!$D$288:$E$290,2,0)</f>
        <v>#N/A</v>
      </c>
      <c r="AJ69" s="3" t="str">
        <f t="shared" si="22"/>
        <v/>
      </c>
      <c r="AK69" s="169" t="e">
        <f>VLOOKUP(M69,'справочная информация'!$D$294:$E$301,2,0)</f>
        <v>#N/A</v>
      </c>
      <c r="AL69" s="3" t="e">
        <f>VLOOKUP(N69,'справочная информация'!$D$306:$E$310,2,0)</f>
        <v>#N/A</v>
      </c>
      <c r="AM69" s="169" t="str">
        <f t="shared" si="23"/>
        <v>()</v>
      </c>
      <c r="AN69" s="3" t="str">
        <f t="shared" si="24"/>
        <v/>
      </c>
      <c r="AO69" s="3" t="e">
        <f>VLOOKUP(O69,'справочная информация'!$D$329:$E$336,2,0)</f>
        <v>#N/A</v>
      </c>
      <c r="AP69" s="3" t="e">
        <f>VLOOKUP(P69,'справочная информация'!$D$342:$E$349,2,0)</f>
        <v>#N/A</v>
      </c>
      <c r="AQ69" s="3" t="e">
        <f>VLOOKUP(Q69,'справочная информация'!$D$316:$E$325,2,0)</f>
        <v>#N/A</v>
      </c>
      <c r="AR69" s="3" t="str">
        <f t="shared" si="25"/>
        <v/>
      </c>
      <c r="AS69" s="170" t="str">
        <f t="shared" si="26"/>
        <v/>
      </c>
      <c r="AT69" s="3" t="str">
        <f t="shared" si="27"/>
        <v/>
      </c>
      <c r="AU69" s="3" t="e">
        <f>ABS(MATCH($AX69,'справочная информация'!$A$354:$A$391,0)-MATCH($AY69,'справочная информация'!$A$354:$A$391,0))</f>
        <v>#N/A</v>
      </c>
      <c r="AV69" s="3" t="str">
        <f>IFERROR(INDEX('справочная информация'!$B$6:$R$29,MATCH('Расчет грейда'!$Y69,'справочная информация'!$A$6:$A$29,0),MATCH('Расчет грейда'!$X69,'справочная информация'!$B$5:$R$5,0)),"")</f>
        <v/>
      </c>
      <c r="AW69" s="171" t="str">
        <f>IFERROR(INDEX('справочная информация'!$B$37:$H$52,MATCH('Расчет грейда'!$AA69,'справочная информация'!$A$37:$A$52,0),MATCH('Расчет грейда'!$N69,'справочная информация'!$B$36:$H$36,0)),"")</f>
        <v/>
      </c>
      <c r="AX69" s="122" t="str">
        <f>IFERROR(INDEX('справочная информация'!$D$108:$AD$123,MATCH('Расчет грейда'!$AW69,'справочная информация'!$C$108:$C$123,0),MATCH('Расчет грейда'!$AV69,'справочная информация'!$D$107:$AD$107,0)),"")</f>
        <v/>
      </c>
      <c r="AY69" s="133" t="str">
        <f>IFERROR(INDEX('справочная информация'!$B$158:$Y$181,MATCH('Расчет грейда'!$AE69,'справочная информация'!$A$158:$A$181,0),MATCH('Расчет грейда'!$AD69,'справочная информация'!$B$157:$Y$157,0)),"")</f>
        <v/>
      </c>
      <c r="AZ69" s="170" t="str">
        <f t="shared" si="28"/>
        <v/>
      </c>
      <c r="BA69" s="172" t="str">
        <f>IFERROR(CONCATENATE(TEXT(AZ69/INDEX('справочная информация'!$D$223:$D$261,MATCH('Расчет грейда'!$AZ69,'справочная информация'!$C$223:$C$261,1)),"0%")," - процент относительно медианы 100%. ","MIN балл на грейде ",INDEX('справочная информация'!$C$223:$C$261,MATCH('Расчет грейда'!$AZ69,'справочная информация'!$C$223:$C$261,1)),", "," MAX балл на грейде ",INDEX('справочная информация'!$E$223:$E$261,MATCH('Расчет грейда'!$AZ69,'справочная информация'!$C$223:$C$261,1))),"")</f>
        <v/>
      </c>
      <c r="BB69" s="120" t="str">
        <f t="shared" si="29"/>
        <v/>
      </c>
      <c r="BC69" s="3" t="str">
        <f t="shared" si="30"/>
        <v/>
      </c>
      <c r="BD69" s="121" t="str">
        <f>IFERROR(VLOOKUP(BC69,'справочная информация'!$B$416:$C$424,2,0),"Проверить данные, нетипичная должность")</f>
        <v>Проверить данные, нетипичная должность</v>
      </c>
      <c r="BE69" s="3" t="str">
        <f t="shared" si="31"/>
        <v/>
      </c>
      <c r="BF69" s="3" t="str">
        <f>IFERROR(INDEX('справочная информация'!$F$223:$F$261,MATCH('Расчет грейда'!$AZ69,'справочная информация'!$C$223:$C$261,1)),"")</f>
        <v/>
      </c>
    </row>
    <row r="70" spans="1:58" s="9" customFormat="1" x14ac:dyDescent="0.35">
      <c r="A70" s="120"/>
      <c r="B70" s="122"/>
      <c r="C70" s="140"/>
      <c r="D70" s="120"/>
      <c r="E70" s="120"/>
      <c r="F70" s="120"/>
      <c r="G70" s="120"/>
      <c r="H70" s="120"/>
      <c r="J70" s="142"/>
      <c r="K70" s="142"/>
      <c r="L70" s="142"/>
      <c r="R70" s="3"/>
      <c r="S70" s="138"/>
      <c r="T70" s="3"/>
      <c r="U70" s="3"/>
      <c r="V70" s="3"/>
      <c r="W70" s="3" t="str">
        <f t="shared" si="16"/>
        <v/>
      </c>
      <c r="X70" s="9" t="str">
        <f t="shared" si="17"/>
        <v/>
      </c>
      <c r="Y70" s="9" t="str">
        <f t="shared" si="18"/>
        <v/>
      </c>
      <c r="Z70" s="3" t="e">
        <f>INDEX('справочная информация'!$U$6:$AK$29,MATCH('Расчет грейда'!$Y70,'справочная информация'!$T$6:$T$29,0),MATCH('Расчет грейда'!$X70,'справочная информация'!$U$5:$AK$5,0))</f>
        <v>#N/A</v>
      </c>
      <c r="AA70" s="9" t="str">
        <f t="shared" si="19"/>
        <v/>
      </c>
      <c r="AB70" s="3" t="e">
        <f>INDEX('справочная информация'!$B$68:$H$83,MATCH('Расчет грейда'!$AA70,'справочная информация'!$A$68:$A$83,0),MATCH('Расчет грейда'!$N70,'справочная информация'!$B$67:$H$67,0))</f>
        <v>#N/A</v>
      </c>
      <c r="AC70" s="3" t="e">
        <f>INDEX('справочная информация'!$D$130:$AD$145,MATCH('Расчет грейда'!$AW70,'справочная информация'!$C$130:$C$145,0),MATCH('Расчет грейда'!$AV70,'справочная информация'!$D$129:$AD$129,0))</f>
        <v>#N/A</v>
      </c>
      <c r="AD70" s="9" t="str">
        <f t="shared" si="20"/>
        <v/>
      </c>
      <c r="AE70" s="9" t="str">
        <f t="shared" si="21"/>
        <v/>
      </c>
      <c r="AF70" s="3" t="str">
        <f>IFERROR(IF(AND(AD70="",AE70=""),"",INDEX('справочная информация'!$B$188:$Y$211,MATCH('Расчет грейда'!$AE70,'справочная информация'!$A$188:$A$211,0),MATCH('Расчет грейда'!$AD70,'справочная информация'!$B$187:$Y$187,0))),"НЕТ")</f>
        <v/>
      </c>
      <c r="AG70" s="3" t="e">
        <f>VLOOKUP(J70,'справочная информация'!$D$267:$E$274,2,0)</f>
        <v>#N/A</v>
      </c>
      <c r="AH70" s="3" t="e">
        <f>VLOOKUP(K70,'справочная информация'!$D$279:$E$283,2,0)</f>
        <v>#N/A</v>
      </c>
      <c r="AI70" s="3" t="e">
        <f>VLOOKUP(L70,'справочная информация'!$D$288:$E$290,2,0)</f>
        <v>#N/A</v>
      </c>
      <c r="AJ70" s="3" t="str">
        <f t="shared" si="22"/>
        <v/>
      </c>
      <c r="AK70" s="169" t="e">
        <f>VLOOKUP(M70,'справочная информация'!$D$294:$E$301,2,0)</f>
        <v>#N/A</v>
      </c>
      <c r="AL70" s="3" t="e">
        <f>VLOOKUP(N70,'справочная информация'!$D$306:$E$310,2,0)</f>
        <v>#N/A</v>
      </c>
      <c r="AM70" s="169" t="str">
        <f t="shared" si="23"/>
        <v>()</v>
      </c>
      <c r="AN70" s="3" t="str">
        <f t="shared" si="24"/>
        <v/>
      </c>
      <c r="AO70" s="3" t="e">
        <f>VLOOKUP(O70,'справочная информация'!$D$329:$E$336,2,0)</f>
        <v>#N/A</v>
      </c>
      <c r="AP70" s="3" t="e">
        <f>VLOOKUP(P70,'справочная информация'!$D$342:$E$349,2,0)</f>
        <v>#N/A</v>
      </c>
      <c r="AQ70" s="3" t="e">
        <f>VLOOKUP(Q70,'справочная информация'!$D$316:$E$325,2,0)</f>
        <v>#N/A</v>
      </c>
      <c r="AR70" s="3" t="str">
        <f t="shared" si="25"/>
        <v/>
      </c>
      <c r="AS70" s="170" t="str">
        <f t="shared" si="26"/>
        <v/>
      </c>
      <c r="AT70" s="3" t="str">
        <f t="shared" si="27"/>
        <v/>
      </c>
      <c r="AU70" s="3" t="e">
        <f>ABS(MATCH($AX70,'справочная информация'!$A$354:$A$391,0)-MATCH($AY70,'справочная информация'!$A$354:$A$391,0))</f>
        <v>#N/A</v>
      </c>
      <c r="AV70" s="3" t="str">
        <f>IFERROR(INDEX('справочная информация'!$B$6:$R$29,MATCH('Расчет грейда'!$Y70,'справочная информация'!$A$6:$A$29,0),MATCH('Расчет грейда'!$X70,'справочная информация'!$B$5:$R$5,0)),"")</f>
        <v/>
      </c>
      <c r="AW70" s="171" t="str">
        <f>IFERROR(INDEX('справочная информация'!$B$37:$H$52,MATCH('Расчет грейда'!$AA70,'справочная информация'!$A$37:$A$52,0),MATCH('Расчет грейда'!$N70,'справочная информация'!$B$36:$H$36,0)),"")</f>
        <v/>
      </c>
      <c r="AX70" s="122" t="str">
        <f>IFERROR(INDEX('справочная информация'!$D$108:$AD$123,MATCH('Расчет грейда'!$AW70,'справочная информация'!$C$108:$C$123,0),MATCH('Расчет грейда'!$AV70,'справочная информация'!$D$107:$AD$107,0)),"")</f>
        <v/>
      </c>
      <c r="AY70" s="133" t="str">
        <f>IFERROR(INDEX('справочная информация'!$B$158:$Y$181,MATCH('Расчет грейда'!$AE70,'справочная информация'!$A$158:$A$181,0),MATCH('Расчет грейда'!$AD70,'справочная информация'!$B$157:$Y$157,0)),"")</f>
        <v/>
      </c>
      <c r="AZ70" s="170" t="str">
        <f t="shared" si="28"/>
        <v/>
      </c>
      <c r="BA70" s="172" t="str">
        <f>IFERROR(CONCATENATE(TEXT(AZ70/INDEX('справочная информация'!$D$223:$D$261,MATCH('Расчет грейда'!$AZ70,'справочная информация'!$C$223:$C$261,1)),"0%")," - процент относительно медианы 100%. ","MIN балл на грейде ",INDEX('справочная информация'!$C$223:$C$261,MATCH('Расчет грейда'!$AZ70,'справочная информация'!$C$223:$C$261,1)),", "," MAX балл на грейде ",INDEX('справочная информация'!$E$223:$E$261,MATCH('Расчет грейда'!$AZ70,'справочная информация'!$C$223:$C$261,1))),"")</f>
        <v/>
      </c>
      <c r="BB70" s="120" t="str">
        <f t="shared" si="29"/>
        <v/>
      </c>
      <c r="BC70" s="3" t="str">
        <f t="shared" si="30"/>
        <v/>
      </c>
      <c r="BD70" s="121" t="str">
        <f>IFERROR(VLOOKUP(BC70,'справочная информация'!$B$416:$C$424,2,0),"Проверить данные, нетипичная должность")</f>
        <v>Проверить данные, нетипичная должность</v>
      </c>
      <c r="BE70" s="3" t="str">
        <f t="shared" si="31"/>
        <v/>
      </c>
      <c r="BF70" s="3" t="str">
        <f>IFERROR(INDEX('справочная информация'!$F$223:$F$261,MATCH('Расчет грейда'!$AZ70,'справочная информация'!$C$223:$C$261,1)),"")</f>
        <v/>
      </c>
    </row>
    <row r="71" spans="1:58" s="9" customFormat="1" x14ac:dyDescent="0.35">
      <c r="A71" s="120"/>
      <c r="B71" s="122"/>
      <c r="C71" s="140"/>
      <c r="D71" s="120"/>
      <c r="E71" s="120"/>
      <c r="F71" s="120"/>
      <c r="G71" s="120"/>
      <c r="H71" s="120"/>
      <c r="J71" s="142"/>
      <c r="K71" s="142"/>
      <c r="L71" s="142"/>
      <c r="R71" s="3"/>
      <c r="S71" s="138"/>
      <c r="T71" s="3"/>
      <c r="U71" s="3"/>
      <c r="V71" s="3"/>
      <c r="W71" s="3" t="str">
        <f t="shared" si="16"/>
        <v/>
      </c>
      <c r="X71" s="9" t="str">
        <f t="shared" si="17"/>
        <v/>
      </c>
      <c r="Y71" s="9" t="str">
        <f t="shared" si="18"/>
        <v/>
      </c>
      <c r="Z71" s="3" t="e">
        <f>INDEX('справочная информация'!$U$6:$AK$29,MATCH('Расчет грейда'!$Y71,'справочная информация'!$T$6:$T$29,0),MATCH('Расчет грейда'!$X71,'справочная информация'!$U$5:$AK$5,0))</f>
        <v>#N/A</v>
      </c>
      <c r="AA71" s="9" t="str">
        <f t="shared" si="19"/>
        <v/>
      </c>
      <c r="AB71" s="3" t="e">
        <f>INDEX('справочная информация'!$B$68:$H$83,MATCH('Расчет грейда'!$AA71,'справочная информация'!$A$68:$A$83,0),MATCH('Расчет грейда'!$N71,'справочная информация'!$B$67:$H$67,0))</f>
        <v>#N/A</v>
      </c>
      <c r="AC71" s="3" t="e">
        <f>INDEX('справочная информация'!$D$130:$AD$145,MATCH('Расчет грейда'!$AW71,'справочная информация'!$C$130:$C$145,0),MATCH('Расчет грейда'!$AV71,'справочная информация'!$D$129:$AD$129,0))</f>
        <v>#N/A</v>
      </c>
      <c r="AD71" s="9" t="str">
        <f t="shared" si="20"/>
        <v/>
      </c>
      <c r="AE71" s="9" t="str">
        <f t="shared" si="21"/>
        <v/>
      </c>
      <c r="AF71" s="3" t="str">
        <f>IFERROR(IF(AND(AD71="",AE71=""),"",INDEX('справочная информация'!$B$188:$Y$211,MATCH('Расчет грейда'!$AE71,'справочная информация'!$A$188:$A$211,0),MATCH('Расчет грейда'!$AD71,'справочная информация'!$B$187:$Y$187,0))),"НЕТ")</f>
        <v/>
      </c>
      <c r="AG71" s="3" t="e">
        <f>VLOOKUP(J71,'справочная информация'!$D$267:$E$274,2,0)</f>
        <v>#N/A</v>
      </c>
      <c r="AH71" s="3" t="e">
        <f>VLOOKUP(K71,'справочная информация'!$D$279:$E$283,2,0)</f>
        <v>#N/A</v>
      </c>
      <c r="AI71" s="3" t="e">
        <f>VLOOKUP(L71,'справочная информация'!$D$288:$E$290,2,0)</f>
        <v>#N/A</v>
      </c>
      <c r="AJ71" s="3" t="str">
        <f t="shared" si="22"/>
        <v/>
      </c>
      <c r="AK71" s="169" t="e">
        <f>VLOOKUP(M71,'справочная информация'!$D$294:$E$301,2,0)</f>
        <v>#N/A</v>
      </c>
      <c r="AL71" s="3" t="e">
        <f>VLOOKUP(N71,'справочная информация'!$D$306:$E$310,2,0)</f>
        <v>#N/A</v>
      </c>
      <c r="AM71" s="169" t="str">
        <f t="shared" si="23"/>
        <v>()</v>
      </c>
      <c r="AN71" s="3" t="str">
        <f t="shared" si="24"/>
        <v/>
      </c>
      <c r="AO71" s="3" t="e">
        <f>VLOOKUP(O71,'справочная информация'!$D$329:$E$336,2,0)</f>
        <v>#N/A</v>
      </c>
      <c r="AP71" s="3" t="e">
        <f>VLOOKUP(P71,'справочная информация'!$D$342:$E$349,2,0)</f>
        <v>#N/A</v>
      </c>
      <c r="AQ71" s="3" t="e">
        <f>VLOOKUP(Q71,'справочная информация'!$D$316:$E$325,2,0)</f>
        <v>#N/A</v>
      </c>
      <c r="AR71" s="3" t="str">
        <f t="shared" si="25"/>
        <v/>
      </c>
      <c r="AS71" s="170" t="str">
        <f t="shared" si="26"/>
        <v/>
      </c>
      <c r="AT71" s="3" t="str">
        <f t="shared" si="27"/>
        <v/>
      </c>
      <c r="AU71" s="3" t="e">
        <f>ABS(MATCH($AX71,'справочная информация'!$A$354:$A$391,0)-MATCH($AY71,'справочная информация'!$A$354:$A$391,0))</f>
        <v>#N/A</v>
      </c>
      <c r="AV71" s="3" t="str">
        <f>IFERROR(INDEX('справочная информация'!$B$6:$R$29,MATCH('Расчет грейда'!$Y71,'справочная информация'!$A$6:$A$29,0),MATCH('Расчет грейда'!$X71,'справочная информация'!$B$5:$R$5,0)),"")</f>
        <v/>
      </c>
      <c r="AW71" s="171" t="str">
        <f>IFERROR(INDEX('справочная информация'!$B$37:$H$52,MATCH('Расчет грейда'!$AA71,'справочная информация'!$A$37:$A$52,0),MATCH('Расчет грейда'!$N71,'справочная информация'!$B$36:$H$36,0)),"")</f>
        <v/>
      </c>
      <c r="AX71" s="122" t="str">
        <f>IFERROR(INDEX('справочная информация'!$D$108:$AD$123,MATCH('Расчет грейда'!$AW71,'справочная информация'!$C$108:$C$123,0),MATCH('Расчет грейда'!$AV71,'справочная информация'!$D$107:$AD$107,0)),"")</f>
        <v/>
      </c>
      <c r="AY71" s="133" t="str">
        <f>IFERROR(INDEX('справочная информация'!$B$158:$Y$181,MATCH('Расчет грейда'!$AE71,'справочная информация'!$A$158:$A$181,0),MATCH('Расчет грейда'!$AD71,'справочная информация'!$B$157:$Y$157,0)),"")</f>
        <v/>
      </c>
      <c r="AZ71" s="170" t="str">
        <f t="shared" si="28"/>
        <v/>
      </c>
      <c r="BA71" s="172" t="str">
        <f>IFERROR(CONCATENATE(TEXT(AZ71/INDEX('справочная информация'!$D$223:$D$261,MATCH('Расчет грейда'!$AZ71,'справочная информация'!$C$223:$C$261,1)),"0%")," - процент относительно медианы 100%. ","MIN балл на грейде ",INDEX('справочная информация'!$C$223:$C$261,MATCH('Расчет грейда'!$AZ71,'справочная информация'!$C$223:$C$261,1)),", "," MAX балл на грейде ",INDEX('справочная информация'!$E$223:$E$261,MATCH('Расчет грейда'!$AZ71,'справочная информация'!$C$223:$C$261,1))),"")</f>
        <v/>
      </c>
      <c r="BB71" s="120" t="str">
        <f t="shared" si="29"/>
        <v/>
      </c>
      <c r="BC71" s="3" t="str">
        <f t="shared" si="30"/>
        <v/>
      </c>
      <c r="BD71" s="121" t="str">
        <f>IFERROR(VLOOKUP(BC71,'справочная информация'!$B$416:$C$424,2,0),"Проверить данные, нетипичная должность")</f>
        <v>Проверить данные, нетипичная должность</v>
      </c>
      <c r="BE71" s="3" t="str">
        <f t="shared" si="31"/>
        <v/>
      </c>
      <c r="BF71" s="3" t="str">
        <f>IFERROR(INDEX('справочная информация'!$F$223:$F$261,MATCH('Расчет грейда'!$AZ71,'справочная информация'!$C$223:$C$261,1)),"")</f>
        <v/>
      </c>
    </row>
    <row r="72" spans="1:58" s="9" customFormat="1" x14ac:dyDescent="0.35">
      <c r="A72" s="120"/>
      <c r="B72" s="122"/>
      <c r="C72" s="140"/>
      <c r="D72" s="120"/>
      <c r="E72" s="120"/>
      <c r="F72" s="120"/>
      <c r="G72" s="120"/>
      <c r="H72" s="120"/>
      <c r="J72" s="142"/>
      <c r="K72" s="142"/>
      <c r="L72" s="142"/>
      <c r="R72" s="3"/>
      <c r="S72" s="138"/>
      <c r="T72" s="3"/>
      <c r="U72" s="3"/>
      <c r="V72" s="3"/>
      <c r="W72" s="3" t="str">
        <f t="shared" si="16"/>
        <v/>
      </c>
      <c r="X72" s="9" t="str">
        <f t="shared" si="17"/>
        <v/>
      </c>
      <c r="Y72" s="9" t="str">
        <f t="shared" si="18"/>
        <v/>
      </c>
      <c r="Z72" s="3" t="e">
        <f>INDEX('справочная информация'!$U$6:$AK$29,MATCH('Расчет грейда'!$Y72,'справочная информация'!$T$6:$T$29,0),MATCH('Расчет грейда'!$X72,'справочная информация'!$U$5:$AK$5,0))</f>
        <v>#N/A</v>
      </c>
      <c r="AA72" s="9" t="str">
        <f t="shared" si="19"/>
        <v/>
      </c>
      <c r="AB72" s="3" t="e">
        <f>INDEX('справочная информация'!$B$68:$H$83,MATCH('Расчет грейда'!$AA72,'справочная информация'!$A$68:$A$83,0),MATCH('Расчет грейда'!$N72,'справочная информация'!$B$67:$H$67,0))</f>
        <v>#N/A</v>
      </c>
      <c r="AC72" s="3" t="e">
        <f>INDEX('справочная информация'!$D$130:$AD$145,MATCH('Расчет грейда'!$AW72,'справочная информация'!$C$130:$C$145,0),MATCH('Расчет грейда'!$AV72,'справочная информация'!$D$129:$AD$129,0))</f>
        <v>#N/A</v>
      </c>
      <c r="AD72" s="9" t="str">
        <f t="shared" si="20"/>
        <v/>
      </c>
      <c r="AE72" s="9" t="str">
        <f t="shared" si="21"/>
        <v/>
      </c>
      <c r="AF72" s="3" t="str">
        <f>IFERROR(IF(AND(AD72="",AE72=""),"",INDEX('справочная информация'!$B$188:$Y$211,MATCH('Расчет грейда'!$AE72,'справочная информация'!$A$188:$A$211,0),MATCH('Расчет грейда'!$AD72,'справочная информация'!$B$187:$Y$187,0))),"НЕТ")</f>
        <v/>
      </c>
      <c r="AG72" s="3" t="e">
        <f>VLOOKUP(J72,'справочная информация'!$D$267:$E$274,2,0)</f>
        <v>#N/A</v>
      </c>
      <c r="AH72" s="3" t="e">
        <f>VLOOKUP(K72,'справочная информация'!$D$279:$E$283,2,0)</f>
        <v>#N/A</v>
      </c>
      <c r="AI72" s="3" t="e">
        <f>VLOOKUP(L72,'справочная информация'!$D$288:$E$290,2,0)</f>
        <v>#N/A</v>
      </c>
      <c r="AJ72" s="3" t="str">
        <f t="shared" si="22"/>
        <v/>
      </c>
      <c r="AK72" s="169" t="e">
        <f>VLOOKUP(M72,'справочная информация'!$D$294:$E$301,2,0)</f>
        <v>#N/A</v>
      </c>
      <c r="AL72" s="3" t="e">
        <f>VLOOKUP(N72,'справочная информация'!$D$306:$E$310,2,0)</f>
        <v>#N/A</v>
      </c>
      <c r="AM72" s="169" t="str">
        <f t="shared" si="23"/>
        <v>()</v>
      </c>
      <c r="AN72" s="3" t="str">
        <f t="shared" si="24"/>
        <v/>
      </c>
      <c r="AO72" s="3" t="e">
        <f>VLOOKUP(O72,'справочная информация'!$D$329:$E$336,2,0)</f>
        <v>#N/A</v>
      </c>
      <c r="AP72" s="3" t="e">
        <f>VLOOKUP(P72,'справочная информация'!$D$342:$E$349,2,0)</f>
        <v>#N/A</v>
      </c>
      <c r="AQ72" s="3" t="e">
        <f>VLOOKUP(Q72,'справочная информация'!$D$316:$E$325,2,0)</f>
        <v>#N/A</v>
      </c>
      <c r="AR72" s="3" t="str">
        <f t="shared" si="25"/>
        <v/>
      </c>
      <c r="AS72" s="170" t="str">
        <f t="shared" si="26"/>
        <v/>
      </c>
      <c r="AT72" s="3" t="str">
        <f t="shared" si="27"/>
        <v/>
      </c>
      <c r="AU72" s="3" t="e">
        <f>ABS(MATCH($AX72,'справочная информация'!$A$354:$A$391,0)-MATCH($AY72,'справочная информация'!$A$354:$A$391,0))</f>
        <v>#N/A</v>
      </c>
      <c r="AV72" s="3" t="str">
        <f>IFERROR(INDEX('справочная информация'!$B$6:$R$29,MATCH('Расчет грейда'!$Y72,'справочная информация'!$A$6:$A$29,0),MATCH('Расчет грейда'!$X72,'справочная информация'!$B$5:$R$5,0)),"")</f>
        <v/>
      </c>
      <c r="AW72" s="171" t="str">
        <f>IFERROR(INDEX('справочная информация'!$B$37:$H$52,MATCH('Расчет грейда'!$AA72,'справочная информация'!$A$37:$A$52,0),MATCH('Расчет грейда'!$N72,'справочная информация'!$B$36:$H$36,0)),"")</f>
        <v/>
      </c>
      <c r="AX72" s="122" t="str">
        <f>IFERROR(INDEX('справочная информация'!$D$108:$AD$123,MATCH('Расчет грейда'!$AW72,'справочная информация'!$C$108:$C$123,0),MATCH('Расчет грейда'!$AV72,'справочная информация'!$D$107:$AD$107,0)),"")</f>
        <v/>
      </c>
      <c r="AY72" s="133" t="str">
        <f>IFERROR(INDEX('справочная информация'!$B$158:$Y$181,MATCH('Расчет грейда'!$AE72,'справочная информация'!$A$158:$A$181,0),MATCH('Расчет грейда'!$AD72,'справочная информация'!$B$157:$Y$157,0)),"")</f>
        <v/>
      </c>
      <c r="AZ72" s="170" t="str">
        <f t="shared" si="28"/>
        <v/>
      </c>
      <c r="BA72" s="172" t="str">
        <f>IFERROR(CONCATENATE(TEXT(AZ72/INDEX('справочная информация'!$D$223:$D$261,MATCH('Расчет грейда'!$AZ72,'справочная информация'!$C$223:$C$261,1)),"0%")," - процент относительно медианы 100%. ","MIN балл на грейде ",INDEX('справочная информация'!$C$223:$C$261,MATCH('Расчет грейда'!$AZ72,'справочная информация'!$C$223:$C$261,1)),", "," MAX балл на грейде ",INDEX('справочная информация'!$E$223:$E$261,MATCH('Расчет грейда'!$AZ72,'справочная информация'!$C$223:$C$261,1))),"")</f>
        <v/>
      </c>
      <c r="BB72" s="120" t="str">
        <f t="shared" si="29"/>
        <v/>
      </c>
      <c r="BC72" s="3" t="str">
        <f t="shared" si="30"/>
        <v/>
      </c>
      <c r="BD72" s="121" t="str">
        <f>IFERROR(VLOOKUP(BC72,'справочная информация'!$B$416:$C$424,2,0),"Проверить данные, нетипичная должность")</f>
        <v>Проверить данные, нетипичная должность</v>
      </c>
      <c r="BE72" s="3" t="str">
        <f t="shared" si="31"/>
        <v/>
      </c>
      <c r="BF72" s="3" t="str">
        <f>IFERROR(INDEX('справочная информация'!$F$223:$F$261,MATCH('Расчет грейда'!$AZ72,'справочная информация'!$C$223:$C$261,1)),"")</f>
        <v/>
      </c>
    </row>
    <row r="73" spans="1:58" s="9" customFormat="1" x14ac:dyDescent="0.35">
      <c r="A73" s="120"/>
      <c r="B73" s="122"/>
      <c r="C73" s="140"/>
      <c r="D73" s="120"/>
      <c r="E73" s="120"/>
      <c r="F73" s="120"/>
      <c r="G73" s="120"/>
      <c r="H73" s="120"/>
      <c r="J73" s="142"/>
      <c r="K73" s="142"/>
      <c r="L73" s="142"/>
      <c r="R73" s="3"/>
      <c r="S73" s="138"/>
      <c r="T73" s="3"/>
      <c r="U73" s="3"/>
      <c r="V73" s="3"/>
      <c r="W73" s="3" t="str">
        <f t="shared" si="16"/>
        <v/>
      </c>
      <c r="X73" s="9" t="str">
        <f t="shared" si="17"/>
        <v/>
      </c>
      <c r="Y73" s="9" t="str">
        <f t="shared" si="18"/>
        <v/>
      </c>
      <c r="Z73" s="3" t="e">
        <f>INDEX('справочная информация'!$U$6:$AK$29,MATCH('Расчет грейда'!$Y73,'справочная информация'!$T$6:$T$29,0),MATCH('Расчет грейда'!$X73,'справочная информация'!$U$5:$AK$5,0))</f>
        <v>#N/A</v>
      </c>
      <c r="AA73" s="9" t="str">
        <f t="shared" si="19"/>
        <v/>
      </c>
      <c r="AB73" s="3" t="e">
        <f>INDEX('справочная информация'!$B$68:$H$83,MATCH('Расчет грейда'!$AA73,'справочная информация'!$A$68:$A$83,0),MATCH('Расчет грейда'!$N73,'справочная информация'!$B$67:$H$67,0))</f>
        <v>#N/A</v>
      </c>
      <c r="AC73" s="3" t="e">
        <f>INDEX('справочная информация'!$D$130:$AD$145,MATCH('Расчет грейда'!$AW73,'справочная информация'!$C$130:$C$145,0),MATCH('Расчет грейда'!$AV73,'справочная информация'!$D$129:$AD$129,0))</f>
        <v>#N/A</v>
      </c>
      <c r="AD73" s="9" t="str">
        <f t="shared" si="20"/>
        <v/>
      </c>
      <c r="AE73" s="9" t="str">
        <f t="shared" si="21"/>
        <v/>
      </c>
      <c r="AF73" s="3" t="str">
        <f>IFERROR(IF(AND(AD73="",AE73=""),"",INDEX('справочная информация'!$B$188:$Y$211,MATCH('Расчет грейда'!$AE73,'справочная информация'!$A$188:$A$211,0),MATCH('Расчет грейда'!$AD73,'справочная информация'!$B$187:$Y$187,0))),"НЕТ")</f>
        <v/>
      </c>
      <c r="AG73" s="3" t="e">
        <f>VLOOKUP(J73,'справочная информация'!$D$267:$E$274,2,0)</f>
        <v>#N/A</v>
      </c>
      <c r="AH73" s="3" t="e">
        <f>VLOOKUP(K73,'справочная информация'!$D$279:$E$283,2,0)</f>
        <v>#N/A</v>
      </c>
      <c r="AI73" s="3" t="e">
        <f>VLOOKUP(L73,'справочная информация'!$D$288:$E$290,2,0)</f>
        <v>#N/A</v>
      </c>
      <c r="AJ73" s="3" t="str">
        <f t="shared" si="22"/>
        <v/>
      </c>
      <c r="AK73" s="169" t="e">
        <f>VLOOKUP(M73,'справочная информация'!$D$294:$E$301,2,0)</f>
        <v>#N/A</v>
      </c>
      <c r="AL73" s="3" t="e">
        <f>VLOOKUP(N73,'справочная информация'!$D$306:$E$310,2,0)</f>
        <v>#N/A</v>
      </c>
      <c r="AM73" s="169" t="str">
        <f t="shared" si="23"/>
        <v>()</v>
      </c>
      <c r="AN73" s="3" t="str">
        <f t="shared" si="24"/>
        <v/>
      </c>
      <c r="AO73" s="3" t="e">
        <f>VLOOKUP(O73,'справочная информация'!$D$329:$E$336,2,0)</f>
        <v>#N/A</v>
      </c>
      <c r="AP73" s="3" t="e">
        <f>VLOOKUP(P73,'справочная информация'!$D$342:$E$349,2,0)</f>
        <v>#N/A</v>
      </c>
      <c r="AQ73" s="3" t="e">
        <f>VLOOKUP(Q73,'справочная информация'!$D$316:$E$325,2,0)</f>
        <v>#N/A</v>
      </c>
      <c r="AR73" s="3" t="str">
        <f t="shared" si="25"/>
        <v/>
      </c>
      <c r="AS73" s="170" t="str">
        <f t="shared" si="26"/>
        <v/>
      </c>
      <c r="AT73" s="3" t="str">
        <f t="shared" si="27"/>
        <v/>
      </c>
      <c r="AU73" s="3" t="e">
        <f>ABS(MATCH($AX73,'справочная информация'!$A$354:$A$391,0)-MATCH($AY73,'справочная информация'!$A$354:$A$391,0))</f>
        <v>#N/A</v>
      </c>
      <c r="AV73" s="3" t="str">
        <f>IFERROR(INDEX('справочная информация'!$B$6:$R$29,MATCH('Расчет грейда'!$Y73,'справочная информация'!$A$6:$A$29,0),MATCH('Расчет грейда'!$X73,'справочная информация'!$B$5:$R$5,0)),"")</f>
        <v/>
      </c>
      <c r="AW73" s="171" t="str">
        <f>IFERROR(INDEX('справочная информация'!$B$37:$H$52,MATCH('Расчет грейда'!$AA73,'справочная информация'!$A$37:$A$52,0),MATCH('Расчет грейда'!$N73,'справочная информация'!$B$36:$H$36,0)),"")</f>
        <v/>
      </c>
      <c r="AX73" s="122" t="str">
        <f>IFERROR(INDEX('справочная информация'!$D$108:$AD$123,MATCH('Расчет грейда'!$AW73,'справочная информация'!$C$108:$C$123,0),MATCH('Расчет грейда'!$AV73,'справочная информация'!$D$107:$AD$107,0)),"")</f>
        <v/>
      </c>
      <c r="AY73" s="133" t="str">
        <f>IFERROR(INDEX('справочная информация'!$B$158:$Y$181,MATCH('Расчет грейда'!$AE73,'справочная информация'!$A$158:$A$181,0),MATCH('Расчет грейда'!$AD73,'справочная информация'!$B$157:$Y$157,0)),"")</f>
        <v/>
      </c>
      <c r="AZ73" s="170" t="str">
        <f t="shared" si="28"/>
        <v/>
      </c>
      <c r="BA73" s="172" t="str">
        <f>IFERROR(CONCATENATE(TEXT(AZ73/INDEX('справочная информация'!$D$223:$D$261,MATCH('Расчет грейда'!$AZ73,'справочная информация'!$C$223:$C$261,1)),"0%")," - процент относительно медианы 100%. ","MIN балл на грейде ",INDEX('справочная информация'!$C$223:$C$261,MATCH('Расчет грейда'!$AZ73,'справочная информация'!$C$223:$C$261,1)),", "," MAX балл на грейде ",INDEX('справочная информация'!$E$223:$E$261,MATCH('Расчет грейда'!$AZ73,'справочная информация'!$C$223:$C$261,1))),"")</f>
        <v/>
      </c>
      <c r="BB73" s="120" t="str">
        <f t="shared" si="29"/>
        <v/>
      </c>
      <c r="BC73" s="3" t="str">
        <f t="shared" si="30"/>
        <v/>
      </c>
      <c r="BD73" s="121" t="str">
        <f>IFERROR(VLOOKUP(BC73,'справочная информация'!$B$416:$C$424,2,0),"Проверить данные, нетипичная должность")</f>
        <v>Проверить данные, нетипичная должность</v>
      </c>
      <c r="BE73" s="3" t="str">
        <f t="shared" si="31"/>
        <v/>
      </c>
      <c r="BF73" s="3" t="str">
        <f>IFERROR(INDEX('справочная информация'!$F$223:$F$261,MATCH('Расчет грейда'!$AZ73,'справочная информация'!$C$223:$C$261,1)),"")</f>
        <v/>
      </c>
    </row>
    <row r="74" spans="1:58" s="9" customFormat="1" x14ac:dyDescent="0.35">
      <c r="A74" s="120"/>
      <c r="B74" s="122"/>
      <c r="C74" s="140"/>
      <c r="D74" s="120"/>
      <c r="E74" s="120"/>
      <c r="F74" s="120"/>
      <c r="G74" s="120"/>
      <c r="H74" s="120"/>
      <c r="J74" s="142"/>
      <c r="K74" s="142"/>
      <c r="L74" s="142"/>
      <c r="R74" s="3"/>
      <c r="S74" s="138"/>
      <c r="T74" s="3"/>
      <c r="U74" s="3"/>
      <c r="V74" s="3"/>
      <c r="W74" s="3" t="str">
        <f t="shared" si="16"/>
        <v/>
      </c>
      <c r="X74" s="9" t="str">
        <f t="shared" si="17"/>
        <v/>
      </c>
      <c r="Y74" s="9" t="str">
        <f t="shared" si="18"/>
        <v/>
      </c>
      <c r="Z74" s="3" t="e">
        <f>INDEX('справочная информация'!$U$6:$AK$29,MATCH('Расчет грейда'!$Y74,'справочная информация'!$T$6:$T$29,0),MATCH('Расчет грейда'!$X74,'справочная информация'!$U$5:$AK$5,0))</f>
        <v>#N/A</v>
      </c>
      <c r="AA74" s="9" t="str">
        <f t="shared" si="19"/>
        <v/>
      </c>
      <c r="AB74" s="3" t="e">
        <f>INDEX('справочная информация'!$B$68:$H$83,MATCH('Расчет грейда'!$AA74,'справочная информация'!$A$68:$A$83,0),MATCH('Расчет грейда'!$N74,'справочная информация'!$B$67:$H$67,0))</f>
        <v>#N/A</v>
      </c>
      <c r="AC74" s="3" t="e">
        <f>INDEX('справочная информация'!$D$130:$AD$145,MATCH('Расчет грейда'!$AW74,'справочная информация'!$C$130:$C$145,0),MATCH('Расчет грейда'!$AV74,'справочная информация'!$D$129:$AD$129,0))</f>
        <v>#N/A</v>
      </c>
      <c r="AD74" s="9" t="str">
        <f t="shared" si="20"/>
        <v/>
      </c>
      <c r="AE74" s="9" t="str">
        <f t="shared" si="21"/>
        <v/>
      </c>
      <c r="AF74" s="3" t="str">
        <f>IFERROR(IF(AND(AD74="",AE74=""),"",INDEX('справочная информация'!$B$188:$Y$211,MATCH('Расчет грейда'!$AE74,'справочная информация'!$A$188:$A$211,0),MATCH('Расчет грейда'!$AD74,'справочная информация'!$B$187:$Y$187,0))),"НЕТ")</f>
        <v/>
      </c>
      <c r="AG74" s="3" t="e">
        <f>VLOOKUP(J74,'справочная информация'!$D$267:$E$274,2,0)</f>
        <v>#N/A</v>
      </c>
      <c r="AH74" s="3" t="e">
        <f>VLOOKUP(K74,'справочная информация'!$D$279:$E$283,2,0)</f>
        <v>#N/A</v>
      </c>
      <c r="AI74" s="3" t="e">
        <f>VLOOKUP(L74,'справочная информация'!$D$288:$E$290,2,0)</f>
        <v>#N/A</v>
      </c>
      <c r="AJ74" s="3" t="str">
        <f t="shared" si="22"/>
        <v/>
      </c>
      <c r="AK74" s="169" t="e">
        <f>VLOOKUP(M74,'справочная информация'!$D$294:$E$301,2,0)</f>
        <v>#N/A</v>
      </c>
      <c r="AL74" s="3" t="e">
        <f>VLOOKUP(N74,'справочная информация'!$D$306:$E$310,2,0)</f>
        <v>#N/A</v>
      </c>
      <c r="AM74" s="169" t="str">
        <f t="shared" si="23"/>
        <v>()</v>
      </c>
      <c r="AN74" s="3" t="str">
        <f t="shared" si="24"/>
        <v/>
      </c>
      <c r="AO74" s="3" t="e">
        <f>VLOOKUP(O74,'справочная информация'!$D$329:$E$336,2,0)</f>
        <v>#N/A</v>
      </c>
      <c r="AP74" s="3" t="e">
        <f>VLOOKUP(P74,'справочная информация'!$D$342:$E$349,2,0)</f>
        <v>#N/A</v>
      </c>
      <c r="AQ74" s="3" t="e">
        <f>VLOOKUP(Q74,'справочная информация'!$D$316:$E$325,2,0)</f>
        <v>#N/A</v>
      </c>
      <c r="AR74" s="3" t="str">
        <f t="shared" si="25"/>
        <v/>
      </c>
      <c r="AS74" s="170" t="str">
        <f t="shared" si="26"/>
        <v/>
      </c>
      <c r="AT74" s="3" t="str">
        <f t="shared" si="27"/>
        <v/>
      </c>
      <c r="AU74" s="3" t="e">
        <f>ABS(MATCH($AX74,'справочная информация'!$A$354:$A$391,0)-MATCH($AY74,'справочная информация'!$A$354:$A$391,0))</f>
        <v>#N/A</v>
      </c>
      <c r="AV74" s="3" t="str">
        <f>IFERROR(INDEX('справочная информация'!$B$6:$R$29,MATCH('Расчет грейда'!$Y74,'справочная информация'!$A$6:$A$29,0),MATCH('Расчет грейда'!$X74,'справочная информация'!$B$5:$R$5,0)),"")</f>
        <v/>
      </c>
      <c r="AW74" s="171" t="str">
        <f>IFERROR(INDEX('справочная информация'!$B$37:$H$52,MATCH('Расчет грейда'!$AA74,'справочная информация'!$A$37:$A$52,0),MATCH('Расчет грейда'!$N74,'справочная информация'!$B$36:$H$36,0)),"")</f>
        <v/>
      </c>
      <c r="AX74" s="122" t="str">
        <f>IFERROR(INDEX('справочная информация'!$D$108:$AD$123,MATCH('Расчет грейда'!$AW74,'справочная информация'!$C$108:$C$123,0),MATCH('Расчет грейда'!$AV74,'справочная информация'!$D$107:$AD$107,0)),"")</f>
        <v/>
      </c>
      <c r="AY74" s="133" t="str">
        <f>IFERROR(INDEX('справочная информация'!$B$158:$Y$181,MATCH('Расчет грейда'!$AE74,'справочная информация'!$A$158:$A$181,0),MATCH('Расчет грейда'!$AD74,'справочная информация'!$B$157:$Y$157,0)),"")</f>
        <v/>
      </c>
      <c r="AZ74" s="170" t="str">
        <f t="shared" si="28"/>
        <v/>
      </c>
      <c r="BA74" s="172" t="str">
        <f>IFERROR(CONCATENATE(TEXT(AZ74/INDEX('справочная информация'!$D$223:$D$261,MATCH('Расчет грейда'!$AZ74,'справочная информация'!$C$223:$C$261,1)),"0%")," - процент относительно медианы 100%. ","MIN балл на грейде ",INDEX('справочная информация'!$C$223:$C$261,MATCH('Расчет грейда'!$AZ74,'справочная информация'!$C$223:$C$261,1)),", "," MAX балл на грейде ",INDEX('справочная информация'!$E$223:$E$261,MATCH('Расчет грейда'!$AZ74,'справочная информация'!$C$223:$C$261,1))),"")</f>
        <v/>
      </c>
      <c r="BB74" s="120" t="str">
        <f t="shared" si="29"/>
        <v/>
      </c>
      <c r="BC74" s="3" t="str">
        <f t="shared" si="30"/>
        <v/>
      </c>
      <c r="BD74" s="121" t="str">
        <f>IFERROR(VLOOKUP(BC74,'справочная информация'!$B$416:$C$424,2,0),"Проверить данные, нетипичная должность")</f>
        <v>Проверить данные, нетипичная должность</v>
      </c>
      <c r="BE74" s="3" t="str">
        <f t="shared" si="31"/>
        <v/>
      </c>
      <c r="BF74" s="3" t="str">
        <f>IFERROR(INDEX('справочная информация'!$F$223:$F$261,MATCH('Расчет грейда'!$AZ74,'справочная информация'!$C$223:$C$261,1)),"")</f>
        <v/>
      </c>
    </row>
    <row r="75" spans="1:58" s="9" customFormat="1" x14ac:dyDescent="0.35">
      <c r="A75" s="120"/>
      <c r="B75" s="122"/>
      <c r="C75" s="140"/>
      <c r="D75" s="120"/>
      <c r="E75" s="120"/>
      <c r="F75" s="120"/>
      <c r="G75" s="120"/>
      <c r="H75" s="120"/>
      <c r="J75" s="142"/>
      <c r="K75" s="142"/>
      <c r="L75" s="142"/>
      <c r="R75" s="3"/>
      <c r="S75" s="138"/>
      <c r="T75" s="3"/>
      <c r="U75" s="3"/>
      <c r="V75" s="3"/>
      <c r="W75" s="3" t="str">
        <f t="shared" si="16"/>
        <v/>
      </c>
      <c r="X75" s="9" t="str">
        <f t="shared" si="17"/>
        <v/>
      </c>
      <c r="Y75" s="9" t="str">
        <f t="shared" si="18"/>
        <v/>
      </c>
      <c r="Z75" s="3" t="e">
        <f>INDEX('справочная информация'!$U$6:$AK$29,MATCH('Расчет грейда'!$Y75,'справочная информация'!$T$6:$T$29,0),MATCH('Расчет грейда'!$X75,'справочная информация'!$U$5:$AK$5,0))</f>
        <v>#N/A</v>
      </c>
      <c r="AA75" s="9" t="str">
        <f t="shared" si="19"/>
        <v/>
      </c>
      <c r="AB75" s="3" t="e">
        <f>INDEX('справочная информация'!$B$68:$H$83,MATCH('Расчет грейда'!$AA75,'справочная информация'!$A$68:$A$83,0),MATCH('Расчет грейда'!$N75,'справочная информация'!$B$67:$H$67,0))</f>
        <v>#N/A</v>
      </c>
      <c r="AC75" s="3" t="e">
        <f>INDEX('справочная информация'!$D$130:$AD$145,MATCH('Расчет грейда'!$AW75,'справочная информация'!$C$130:$C$145,0),MATCH('Расчет грейда'!$AV75,'справочная информация'!$D$129:$AD$129,0))</f>
        <v>#N/A</v>
      </c>
      <c r="AD75" s="9" t="str">
        <f t="shared" si="20"/>
        <v/>
      </c>
      <c r="AE75" s="9" t="str">
        <f t="shared" si="21"/>
        <v/>
      </c>
      <c r="AF75" s="3" t="str">
        <f>IFERROR(IF(AND(AD75="",AE75=""),"",INDEX('справочная информация'!$B$188:$Y$211,MATCH('Расчет грейда'!$AE75,'справочная информация'!$A$188:$A$211,0),MATCH('Расчет грейда'!$AD75,'справочная информация'!$B$187:$Y$187,0))),"НЕТ")</f>
        <v/>
      </c>
      <c r="AG75" s="3" t="e">
        <f>VLOOKUP(J75,'справочная информация'!$D$267:$E$274,2,0)</f>
        <v>#N/A</v>
      </c>
      <c r="AH75" s="3" t="e">
        <f>VLOOKUP(K75,'справочная информация'!$D$279:$E$283,2,0)</f>
        <v>#N/A</v>
      </c>
      <c r="AI75" s="3" t="e">
        <f>VLOOKUP(L75,'справочная информация'!$D$288:$E$290,2,0)</f>
        <v>#N/A</v>
      </c>
      <c r="AJ75" s="3" t="str">
        <f t="shared" si="22"/>
        <v/>
      </c>
      <c r="AK75" s="169" t="e">
        <f>VLOOKUP(M75,'справочная информация'!$D$294:$E$301,2,0)</f>
        <v>#N/A</v>
      </c>
      <c r="AL75" s="3" t="e">
        <f>VLOOKUP(N75,'справочная информация'!$D$306:$E$310,2,0)</f>
        <v>#N/A</v>
      </c>
      <c r="AM75" s="169" t="str">
        <f t="shared" si="23"/>
        <v>()</v>
      </c>
      <c r="AN75" s="3" t="str">
        <f t="shared" si="24"/>
        <v/>
      </c>
      <c r="AO75" s="3" t="e">
        <f>VLOOKUP(O75,'справочная информация'!$D$329:$E$336,2,0)</f>
        <v>#N/A</v>
      </c>
      <c r="AP75" s="3" t="e">
        <f>VLOOKUP(P75,'справочная информация'!$D$342:$E$349,2,0)</f>
        <v>#N/A</v>
      </c>
      <c r="AQ75" s="3" t="e">
        <f>VLOOKUP(Q75,'справочная информация'!$D$316:$E$325,2,0)</f>
        <v>#N/A</v>
      </c>
      <c r="AR75" s="3" t="str">
        <f t="shared" si="25"/>
        <v/>
      </c>
      <c r="AS75" s="170" t="str">
        <f t="shared" si="26"/>
        <v/>
      </c>
      <c r="AT75" s="3" t="str">
        <f t="shared" si="27"/>
        <v/>
      </c>
      <c r="AU75" s="3" t="e">
        <f>ABS(MATCH($AX75,'справочная информация'!$A$354:$A$391,0)-MATCH($AY75,'справочная информация'!$A$354:$A$391,0))</f>
        <v>#N/A</v>
      </c>
      <c r="AV75" s="3" t="str">
        <f>IFERROR(INDEX('справочная информация'!$B$6:$R$29,MATCH('Расчет грейда'!$Y75,'справочная информация'!$A$6:$A$29,0),MATCH('Расчет грейда'!$X75,'справочная информация'!$B$5:$R$5,0)),"")</f>
        <v/>
      </c>
      <c r="AW75" s="171" t="str">
        <f>IFERROR(INDEX('справочная информация'!$B$37:$H$52,MATCH('Расчет грейда'!$AA75,'справочная информация'!$A$37:$A$52,0),MATCH('Расчет грейда'!$N75,'справочная информация'!$B$36:$H$36,0)),"")</f>
        <v/>
      </c>
      <c r="AX75" s="122" t="str">
        <f>IFERROR(INDEX('справочная информация'!$D$108:$AD$123,MATCH('Расчет грейда'!$AW75,'справочная информация'!$C$108:$C$123,0),MATCH('Расчет грейда'!$AV75,'справочная информация'!$D$107:$AD$107,0)),"")</f>
        <v/>
      </c>
      <c r="AY75" s="133" t="str">
        <f>IFERROR(INDEX('справочная информация'!$B$158:$Y$181,MATCH('Расчет грейда'!$AE75,'справочная информация'!$A$158:$A$181,0),MATCH('Расчет грейда'!$AD75,'справочная информация'!$B$157:$Y$157,0)),"")</f>
        <v/>
      </c>
      <c r="AZ75" s="170" t="str">
        <f t="shared" si="28"/>
        <v/>
      </c>
      <c r="BA75" s="172" t="str">
        <f>IFERROR(CONCATENATE(TEXT(AZ75/INDEX('справочная информация'!$D$223:$D$261,MATCH('Расчет грейда'!$AZ75,'справочная информация'!$C$223:$C$261,1)),"0%")," - процент относительно медианы 100%. ","MIN балл на грейде ",INDEX('справочная информация'!$C$223:$C$261,MATCH('Расчет грейда'!$AZ75,'справочная информация'!$C$223:$C$261,1)),", "," MAX балл на грейде ",INDEX('справочная информация'!$E$223:$E$261,MATCH('Расчет грейда'!$AZ75,'справочная информация'!$C$223:$C$261,1))),"")</f>
        <v/>
      </c>
      <c r="BB75" s="120" t="str">
        <f t="shared" si="29"/>
        <v/>
      </c>
      <c r="BC75" s="3" t="str">
        <f t="shared" si="30"/>
        <v/>
      </c>
      <c r="BD75" s="121" t="str">
        <f>IFERROR(VLOOKUP(BC75,'справочная информация'!$B$416:$C$424,2,0),"Проверить данные, нетипичная должность")</f>
        <v>Проверить данные, нетипичная должность</v>
      </c>
      <c r="BE75" s="3" t="str">
        <f t="shared" si="31"/>
        <v/>
      </c>
      <c r="BF75" s="3" t="str">
        <f>IFERROR(INDEX('справочная информация'!$F$223:$F$261,MATCH('Расчет грейда'!$AZ75,'справочная информация'!$C$223:$C$261,1)),"")</f>
        <v/>
      </c>
    </row>
    <row r="76" spans="1:58" s="9" customFormat="1" x14ac:dyDescent="0.35">
      <c r="A76" s="120"/>
      <c r="B76" s="122"/>
      <c r="C76" s="140"/>
      <c r="D76" s="120"/>
      <c r="E76" s="120"/>
      <c r="F76" s="120"/>
      <c r="G76" s="120"/>
      <c r="H76" s="120"/>
      <c r="J76" s="142"/>
      <c r="K76" s="142"/>
      <c r="L76" s="142"/>
      <c r="R76" s="3"/>
      <c r="S76" s="138"/>
      <c r="T76" s="3"/>
      <c r="U76" s="3"/>
      <c r="V76" s="3"/>
      <c r="W76" s="3" t="str">
        <f t="shared" si="16"/>
        <v/>
      </c>
      <c r="X76" s="9" t="str">
        <f t="shared" si="17"/>
        <v/>
      </c>
      <c r="Y76" s="9" t="str">
        <f t="shared" si="18"/>
        <v/>
      </c>
      <c r="Z76" s="3" t="e">
        <f>INDEX('справочная информация'!$U$6:$AK$29,MATCH('Расчет грейда'!$Y76,'справочная информация'!$T$6:$T$29,0),MATCH('Расчет грейда'!$X76,'справочная информация'!$U$5:$AK$5,0))</f>
        <v>#N/A</v>
      </c>
      <c r="AA76" s="9" t="str">
        <f t="shared" si="19"/>
        <v/>
      </c>
      <c r="AB76" s="3" t="e">
        <f>INDEX('справочная информация'!$B$68:$H$83,MATCH('Расчет грейда'!$AA76,'справочная информация'!$A$68:$A$83,0),MATCH('Расчет грейда'!$N76,'справочная информация'!$B$67:$H$67,0))</f>
        <v>#N/A</v>
      </c>
      <c r="AC76" s="3" t="e">
        <f>INDEX('справочная информация'!$D$130:$AD$145,MATCH('Расчет грейда'!$AW76,'справочная информация'!$C$130:$C$145,0),MATCH('Расчет грейда'!$AV76,'справочная информация'!$D$129:$AD$129,0))</f>
        <v>#N/A</v>
      </c>
      <c r="AD76" s="9" t="str">
        <f t="shared" si="20"/>
        <v/>
      </c>
      <c r="AE76" s="9" t="str">
        <f t="shared" si="21"/>
        <v/>
      </c>
      <c r="AF76" s="3" t="str">
        <f>IFERROR(IF(AND(AD76="",AE76=""),"",INDEX('справочная информация'!$B$188:$Y$211,MATCH('Расчет грейда'!$AE76,'справочная информация'!$A$188:$A$211,0),MATCH('Расчет грейда'!$AD76,'справочная информация'!$B$187:$Y$187,0))),"НЕТ")</f>
        <v/>
      </c>
      <c r="AG76" s="3" t="e">
        <f>VLOOKUP(J76,'справочная информация'!$D$267:$E$274,2,0)</f>
        <v>#N/A</v>
      </c>
      <c r="AH76" s="3" t="e">
        <f>VLOOKUP(K76,'справочная информация'!$D$279:$E$283,2,0)</f>
        <v>#N/A</v>
      </c>
      <c r="AI76" s="3" t="e">
        <f>VLOOKUP(L76,'справочная информация'!$D$288:$E$290,2,0)</f>
        <v>#N/A</v>
      </c>
      <c r="AJ76" s="3" t="str">
        <f t="shared" si="22"/>
        <v/>
      </c>
      <c r="AK76" s="169" t="e">
        <f>VLOOKUP(M76,'справочная информация'!$D$294:$E$301,2,0)</f>
        <v>#N/A</v>
      </c>
      <c r="AL76" s="3" t="e">
        <f>VLOOKUP(N76,'справочная информация'!$D$306:$E$310,2,0)</f>
        <v>#N/A</v>
      </c>
      <c r="AM76" s="169" t="str">
        <f t="shared" si="23"/>
        <v>()</v>
      </c>
      <c r="AN76" s="3" t="str">
        <f t="shared" si="24"/>
        <v/>
      </c>
      <c r="AO76" s="3" t="e">
        <f>VLOOKUP(O76,'справочная информация'!$D$329:$E$336,2,0)</f>
        <v>#N/A</v>
      </c>
      <c r="AP76" s="3" t="e">
        <f>VLOOKUP(P76,'справочная информация'!$D$342:$E$349,2,0)</f>
        <v>#N/A</v>
      </c>
      <c r="AQ76" s="3" t="e">
        <f>VLOOKUP(Q76,'справочная информация'!$D$316:$E$325,2,0)</f>
        <v>#N/A</v>
      </c>
      <c r="AR76" s="3" t="str">
        <f t="shared" si="25"/>
        <v/>
      </c>
      <c r="AS76" s="170" t="str">
        <f t="shared" si="26"/>
        <v/>
      </c>
      <c r="AT76" s="3" t="str">
        <f t="shared" si="27"/>
        <v/>
      </c>
      <c r="AU76" s="3" t="e">
        <f>ABS(MATCH($AX76,'справочная информация'!$A$354:$A$391,0)-MATCH($AY76,'справочная информация'!$A$354:$A$391,0))</f>
        <v>#N/A</v>
      </c>
      <c r="AV76" s="3" t="str">
        <f>IFERROR(INDEX('справочная информация'!$B$6:$R$29,MATCH('Расчет грейда'!$Y76,'справочная информация'!$A$6:$A$29,0),MATCH('Расчет грейда'!$X76,'справочная информация'!$B$5:$R$5,0)),"")</f>
        <v/>
      </c>
      <c r="AW76" s="171" t="str">
        <f>IFERROR(INDEX('справочная информация'!$B$37:$H$52,MATCH('Расчет грейда'!$AA76,'справочная информация'!$A$37:$A$52,0),MATCH('Расчет грейда'!$N76,'справочная информация'!$B$36:$H$36,0)),"")</f>
        <v/>
      </c>
      <c r="AX76" s="122" t="str">
        <f>IFERROR(INDEX('справочная информация'!$D$108:$AD$123,MATCH('Расчет грейда'!$AW76,'справочная информация'!$C$108:$C$123,0),MATCH('Расчет грейда'!$AV76,'справочная информация'!$D$107:$AD$107,0)),"")</f>
        <v/>
      </c>
      <c r="AY76" s="133" t="str">
        <f>IFERROR(INDEX('справочная информация'!$B$158:$Y$181,MATCH('Расчет грейда'!$AE76,'справочная информация'!$A$158:$A$181,0),MATCH('Расчет грейда'!$AD76,'справочная информация'!$B$157:$Y$157,0)),"")</f>
        <v/>
      </c>
      <c r="AZ76" s="170" t="str">
        <f t="shared" si="28"/>
        <v/>
      </c>
      <c r="BA76" s="172" t="str">
        <f>IFERROR(CONCATENATE(TEXT(AZ76/INDEX('справочная информация'!$D$223:$D$261,MATCH('Расчет грейда'!$AZ76,'справочная информация'!$C$223:$C$261,1)),"0%")," - процент относительно медианы 100%. ","MIN балл на грейде ",INDEX('справочная информация'!$C$223:$C$261,MATCH('Расчет грейда'!$AZ76,'справочная информация'!$C$223:$C$261,1)),", "," MAX балл на грейде ",INDEX('справочная информация'!$E$223:$E$261,MATCH('Расчет грейда'!$AZ76,'справочная информация'!$C$223:$C$261,1))),"")</f>
        <v/>
      </c>
      <c r="BB76" s="120" t="str">
        <f t="shared" si="29"/>
        <v/>
      </c>
      <c r="BC76" s="3" t="str">
        <f t="shared" si="30"/>
        <v/>
      </c>
      <c r="BD76" s="121" t="str">
        <f>IFERROR(VLOOKUP(BC76,'справочная информация'!$B$416:$C$424,2,0),"Проверить данные, нетипичная должность")</f>
        <v>Проверить данные, нетипичная должность</v>
      </c>
      <c r="BE76" s="3" t="str">
        <f t="shared" si="31"/>
        <v/>
      </c>
      <c r="BF76" s="3" t="str">
        <f>IFERROR(INDEX('справочная информация'!$F$223:$F$261,MATCH('Расчет грейда'!$AZ76,'справочная информация'!$C$223:$C$261,1)),"")</f>
        <v/>
      </c>
    </row>
    <row r="77" spans="1:58" s="9" customFormat="1" x14ac:dyDescent="0.35">
      <c r="A77" s="120"/>
      <c r="B77" s="122"/>
      <c r="C77" s="140"/>
      <c r="D77" s="120"/>
      <c r="E77" s="120"/>
      <c r="F77" s="120"/>
      <c r="G77" s="120"/>
      <c r="H77" s="120"/>
      <c r="J77" s="142"/>
      <c r="K77" s="142"/>
      <c r="L77" s="142"/>
      <c r="R77" s="3"/>
      <c r="S77" s="138"/>
      <c r="T77" s="3"/>
      <c r="U77" s="3"/>
      <c r="V77" s="3"/>
      <c r="W77" s="3" t="str">
        <f t="shared" si="16"/>
        <v/>
      </c>
      <c r="X77" s="9" t="str">
        <f t="shared" si="17"/>
        <v/>
      </c>
      <c r="Y77" s="9" t="str">
        <f t="shared" si="18"/>
        <v/>
      </c>
      <c r="Z77" s="3" t="e">
        <f>INDEX('справочная информация'!$U$6:$AK$29,MATCH('Расчет грейда'!$Y77,'справочная информация'!$T$6:$T$29,0),MATCH('Расчет грейда'!$X77,'справочная информация'!$U$5:$AK$5,0))</f>
        <v>#N/A</v>
      </c>
      <c r="AA77" s="9" t="str">
        <f t="shared" si="19"/>
        <v/>
      </c>
      <c r="AB77" s="3" t="e">
        <f>INDEX('справочная информация'!$B$68:$H$83,MATCH('Расчет грейда'!$AA77,'справочная информация'!$A$68:$A$83,0),MATCH('Расчет грейда'!$N77,'справочная информация'!$B$67:$H$67,0))</f>
        <v>#N/A</v>
      </c>
      <c r="AC77" s="3" t="e">
        <f>INDEX('справочная информация'!$D$130:$AD$145,MATCH('Расчет грейда'!$AW77,'справочная информация'!$C$130:$C$145,0),MATCH('Расчет грейда'!$AV77,'справочная информация'!$D$129:$AD$129,0))</f>
        <v>#N/A</v>
      </c>
      <c r="AD77" s="9" t="str">
        <f t="shared" si="20"/>
        <v/>
      </c>
      <c r="AE77" s="9" t="str">
        <f t="shared" si="21"/>
        <v/>
      </c>
      <c r="AF77" s="3" t="str">
        <f>IFERROR(IF(AND(AD77="",AE77=""),"",INDEX('справочная информация'!$B$188:$Y$211,MATCH('Расчет грейда'!$AE77,'справочная информация'!$A$188:$A$211,0),MATCH('Расчет грейда'!$AD77,'справочная информация'!$B$187:$Y$187,0))),"НЕТ")</f>
        <v/>
      </c>
      <c r="AG77" s="3" t="e">
        <f>VLOOKUP(J77,'справочная информация'!$D$267:$E$274,2,0)</f>
        <v>#N/A</v>
      </c>
      <c r="AH77" s="3" t="e">
        <f>VLOOKUP(K77,'справочная информация'!$D$279:$E$283,2,0)</f>
        <v>#N/A</v>
      </c>
      <c r="AI77" s="3" t="e">
        <f>VLOOKUP(L77,'справочная информация'!$D$288:$E$290,2,0)</f>
        <v>#N/A</v>
      </c>
      <c r="AJ77" s="3" t="str">
        <f t="shared" si="22"/>
        <v/>
      </c>
      <c r="AK77" s="169" t="e">
        <f>VLOOKUP(M77,'справочная информация'!$D$294:$E$301,2,0)</f>
        <v>#N/A</v>
      </c>
      <c r="AL77" s="3" t="e">
        <f>VLOOKUP(N77,'справочная информация'!$D$306:$E$310,2,0)</f>
        <v>#N/A</v>
      </c>
      <c r="AM77" s="169" t="str">
        <f t="shared" si="23"/>
        <v>()</v>
      </c>
      <c r="AN77" s="3" t="str">
        <f t="shared" si="24"/>
        <v/>
      </c>
      <c r="AO77" s="3" t="e">
        <f>VLOOKUP(O77,'справочная информация'!$D$329:$E$336,2,0)</f>
        <v>#N/A</v>
      </c>
      <c r="AP77" s="3" t="e">
        <f>VLOOKUP(P77,'справочная информация'!$D$342:$E$349,2,0)</f>
        <v>#N/A</v>
      </c>
      <c r="AQ77" s="3" t="e">
        <f>VLOOKUP(Q77,'справочная информация'!$D$316:$E$325,2,0)</f>
        <v>#N/A</v>
      </c>
      <c r="AR77" s="3" t="str">
        <f t="shared" si="25"/>
        <v/>
      </c>
      <c r="AS77" s="170" t="str">
        <f t="shared" si="26"/>
        <v/>
      </c>
      <c r="AT77" s="3" t="str">
        <f t="shared" si="27"/>
        <v/>
      </c>
      <c r="AU77" s="3" t="e">
        <f>ABS(MATCH($AX77,'справочная информация'!$A$354:$A$391,0)-MATCH($AY77,'справочная информация'!$A$354:$A$391,0))</f>
        <v>#N/A</v>
      </c>
      <c r="AV77" s="3" t="str">
        <f>IFERROR(INDEX('справочная информация'!$B$6:$R$29,MATCH('Расчет грейда'!$Y77,'справочная информация'!$A$6:$A$29,0),MATCH('Расчет грейда'!$X77,'справочная информация'!$B$5:$R$5,0)),"")</f>
        <v/>
      </c>
      <c r="AW77" s="171" t="str">
        <f>IFERROR(INDEX('справочная информация'!$B$37:$H$52,MATCH('Расчет грейда'!$AA77,'справочная информация'!$A$37:$A$52,0),MATCH('Расчет грейда'!$N77,'справочная информация'!$B$36:$H$36,0)),"")</f>
        <v/>
      </c>
      <c r="AX77" s="122" t="str">
        <f>IFERROR(INDEX('справочная информация'!$D$108:$AD$123,MATCH('Расчет грейда'!$AW77,'справочная информация'!$C$108:$C$123,0),MATCH('Расчет грейда'!$AV77,'справочная информация'!$D$107:$AD$107,0)),"")</f>
        <v/>
      </c>
      <c r="AY77" s="133" t="str">
        <f>IFERROR(INDEX('справочная информация'!$B$158:$Y$181,MATCH('Расчет грейда'!$AE77,'справочная информация'!$A$158:$A$181,0),MATCH('Расчет грейда'!$AD77,'справочная информация'!$B$157:$Y$157,0)),"")</f>
        <v/>
      </c>
      <c r="AZ77" s="170" t="str">
        <f t="shared" si="28"/>
        <v/>
      </c>
      <c r="BA77" s="172" t="str">
        <f>IFERROR(CONCATENATE(TEXT(AZ77/INDEX('справочная информация'!$D$223:$D$261,MATCH('Расчет грейда'!$AZ77,'справочная информация'!$C$223:$C$261,1)),"0%")," - процент относительно медианы 100%. ","MIN балл на грейде ",INDEX('справочная информация'!$C$223:$C$261,MATCH('Расчет грейда'!$AZ77,'справочная информация'!$C$223:$C$261,1)),", "," MAX балл на грейде ",INDEX('справочная информация'!$E$223:$E$261,MATCH('Расчет грейда'!$AZ77,'справочная информация'!$C$223:$C$261,1))),"")</f>
        <v/>
      </c>
      <c r="BB77" s="120" t="str">
        <f t="shared" si="29"/>
        <v/>
      </c>
      <c r="BC77" s="3" t="str">
        <f t="shared" si="30"/>
        <v/>
      </c>
      <c r="BD77" s="121" t="str">
        <f>IFERROR(VLOOKUP(BC77,'справочная информация'!$B$416:$C$424,2,0),"Проверить данные, нетипичная должность")</f>
        <v>Проверить данные, нетипичная должность</v>
      </c>
      <c r="BE77" s="3" t="str">
        <f t="shared" si="31"/>
        <v/>
      </c>
      <c r="BF77" s="3" t="str">
        <f>IFERROR(INDEX('справочная информация'!$F$223:$F$261,MATCH('Расчет грейда'!$AZ77,'справочная информация'!$C$223:$C$261,1)),"")</f>
        <v/>
      </c>
    </row>
    <row r="78" spans="1:58" s="9" customFormat="1" x14ac:dyDescent="0.35">
      <c r="A78" s="120"/>
      <c r="B78" s="122"/>
      <c r="C78" s="140"/>
      <c r="D78" s="120"/>
      <c r="E78" s="120"/>
      <c r="F78" s="120"/>
      <c r="G78" s="120"/>
      <c r="H78" s="120"/>
      <c r="J78" s="142"/>
      <c r="K78" s="142"/>
      <c r="L78" s="142"/>
      <c r="R78" s="3"/>
      <c r="S78" s="138"/>
      <c r="T78" s="3"/>
      <c r="U78" s="3"/>
      <c r="V78" s="3"/>
      <c r="W78" s="3" t="str">
        <f t="shared" si="16"/>
        <v/>
      </c>
      <c r="X78" s="9" t="str">
        <f t="shared" si="17"/>
        <v/>
      </c>
      <c r="Y78" s="9" t="str">
        <f t="shared" si="18"/>
        <v/>
      </c>
      <c r="Z78" s="3" t="e">
        <f>INDEX('справочная информация'!$U$6:$AK$29,MATCH('Расчет грейда'!$Y78,'справочная информация'!$T$6:$T$29,0),MATCH('Расчет грейда'!$X78,'справочная информация'!$U$5:$AK$5,0))</f>
        <v>#N/A</v>
      </c>
      <c r="AA78" s="9" t="str">
        <f t="shared" si="19"/>
        <v/>
      </c>
      <c r="AB78" s="3" t="e">
        <f>INDEX('справочная информация'!$B$68:$H$83,MATCH('Расчет грейда'!$AA78,'справочная информация'!$A$68:$A$83,0),MATCH('Расчет грейда'!$N78,'справочная информация'!$B$67:$H$67,0))</f>
        <v>#N/A</v>
      </c>
      <c r="AC78" s="3" t="e">
        <f>INDEX('справочная информация'!$D$130:$AD$145,MATCH('Расчет грейда'!$AW78,'справочная информация'!$C$130:$C$145,0),MATCH('Расчет грейда'!$AV78,'справочная информация'!$D$129:$AD$129,0))</f>
        <v>#N/A</v>
      </c>
      <c r="AD78" s="9" t="str">
        <f t="shared" si="20"/>
        <v/>
      </c>
      <c r="AE78" s="9" t="str">
        <f t="shared" si="21"/>
        <v/>
      </c>
      <c r="AF78" s="3" t="str">
        <f>IFERROR(IF(AND(AD78="",AE78=""),"",INDEX('справочная информация'!$B$188:$Y$211,MATCH('Расчет грейда'!$AE78,'справочная информация'!$A$188:$A$211,0),MATCH('Расчет грейда'!$AD78,'справочная информация'!$B$187:$Y$187,0))),"НЕТ")</f>
        <v/>
      </c>
      <c r="AG78" s="3" t="e">
        <f>VLOOKUP(J78,'справочная информация'!$D$267:$E$274,2,0)</f>
        <v>#N/A</v>
      </c>
      <c r="AH78" s="3" t="e">
        <f>VLOOKUP(K78,'справочная информация'!$D$279:$E$283,2,0)</f>
        <v>#N/A</v>
      </c>
      <c r="AI78" s="3" t="e">
        <f>VLOOKUP(L78,'справочная информация'!$D$288:$E$290,2,0)</f>
        <v>#N/A</v>
      </c>
      <c r="AJ78" s="3" t="str">
        <f t="shared" si="22"/>
        <v/>
      </c>
      <c r="AK78" s="169" t="e">
        <f>VLOOKUP(M78,'справочная информация'!$D$294:$E$301,2,0)</f>
        <v>#N/A</v>
      </c>
      <c r="AL78" s="3" t="e">
        <f>VLOOKUP(N78,'справочная информация'!$D$306:$E$310,2,0)</f>
        <v>#N/A</v>
      </c>
      <c r="AM78" s="169" t="str">
        <f t="shared" si="23"/>
        <v>()</v>
      </c>
      <c r="AN78" s="3" t="str">
        <f t="shared" si="24"/>
        <v/>
      </c>
      <c r="AO78" s="3" t="e">
        <f>VLOOKUP(O78,'справочная информация'!$D$329:$E$336,2,0)</f>
        <v>#N/A</v>
      </c>
      <c r="AP78" s="3" t="e">
        <f>VLOOKUP(P78,'справочная информация'!$D$342:$E$349,2,0)</f>
        <v>#N/A</v>
      </c>
      <c r="AQ78" s="3" t="e">
        <f>VLOOKUP(Q78,'справочная информация'!$D$316:$E$325,2,0)</f>
        <v>#N/A</v>
      </c>
      <c r="AR78" s="3" t="str">
        <f t="shared" si="25"/>
        <v/>
      </c>
      <c r="AS78" s="170" t="str">
        <f t="shared" si="26"/>
        <v/>
      </c>
      <c r="AT78" s="3" t="str">
        <f t="shared" si="27"/>
        <v/>
      </c>
      <c r="AU78" s="3" t="e">
        <f>ABS(MATCH($AX78,'справочная информация'!$A$354:$A$391,0)-MATCH($AY78,'справочная информация'!$A$354:$A$391,0))</f>
        <v>#N/A</v>
      </c>
      <c r="AV78" s="3" t="str">
        <f>IFERROR(INDEX('справочная информация'!$B$6:$R$29,MATCH('Расчет грейда'!$Y78,'справочная информация'!$A$6:$A$29,0),MATCH('Расчет грейда'!$X78,'справочная информация'!$B$5:$R$5,0)),"")</f>
        <v/>
      </c>
      <c r="AW78" s="171" t="str">
        <f>IFERROR(INDEX('справочная информация'!$B$37:$H$52,MATCH('Расчет грейда'!$AA78,'справочная информация'!$A$37:$A$52,0),MATCH('Расчет грейда'!$N78,'справочная информация'!$B$36:$H$36,0)),"")</f>
        <v/>
      </c>
      <c r="AX78" s="122" t="str">
        <f>IFERROR(INDEX('справочная информация'!$D$108:$AD$123,MATCH('Расчет грейда'!$AW78,'справочная информация'!$C$108:$C$123,0),MATCH('Расчет грейда'!$AV78,'справочная информация'!$D$107:$AD$107,0)),"")</f>
        <v/>
      </c>
      <c r="AY78" s="133" t="str">
        <f>IFERROR(INDEX('справочная информация'!$B$158:$Y$181,MATCH('Расчет грейда'!$AE78,'справочная информация'!$A$158:$A$181,0),MATCH('Расчет грейда'!$AD78,'справочная информация'!$B$157:$Y$157,0)),"")</f>
        <v/>
      </c>
      <c r="AZ78" s="170" t="str">
        <f t="shared" si="28"/>
        <v/>
      </c>
      <c r="BA78" s="172" t="str">
        <f>IFERROR(CONCATENATE(TEXT(AZ78/INDEX('справочная информация'!$D$223:$D$261,MATCH('Расчет грейда'!$AZ78,'справочная информация'!$C$223:$C$261,1)),"0%")," - процент относительно медианы 100%. ","MIN балл на грейде ",INDEX('справочная информация'!$C$223:$C$261,MATCH('Расчет грейда'!$AZ78,'справочная информация'!$C$223:$C$261,1)),", "," MAX балл на грейде ",INDEX('справочная информация'!$E$223:$E$261,MATCH('Расчет грейда'!$AZ78,'справочная информация'!$C$223:$C$261,1))),"")</f>
        <v/>
      </c>
      <c r="BB78" s="120" t="str">
        <f t="shared" si="29"/>
        <v/>
      </c>
      <c r="BC78" s="3" t="str">
        <f t="shared" si="30"/>
        <v/>
      </c>
      <c r="BD78" s="121" t="str">
        <f>IFERROR(VLOOKUP(BC78,'справочная информация'!$B$416:$C$424,2,0),"Проверить данные, нетипичная должность")</f>
        <v>Проверить данные, нетипичная должность</v>
      </c>
      <c r="BE78" s="3" t="str">
        <f t="shared" si="31"/>
        <v/>
      </c>
      <c r="BF78" s="3" t="str">
        <f>IFERROR(INDEX('справочная информация'!$F$223:$F$261,MATCH('Расчет грейда'!$AZ78,'справочная информация'!$C$223:$C$261,1)),"")</f>
        <v/>
      </c>
    </row>
    <row r="79" spans="1:58" s="9" customFormat="1" x14ac:dyDescent="0.35">
      <c r="A79" s="120"/>
      <c r="B79" s="122"/>
      <c r="C79" s="140"/>
      <c r="D79" s="120"/>
      <c r="E79" s="120"/>
      <c r="F79" s="120"/>
      <c r="G79" s="120"/>
      <c r="H79" s="120"/>
      <c r="J79" s="142"/>
      <c r="K79" s="142"/>
      <c r="L79" s="142"/>
      <c r="R79" s="3"/>
      <c r="S79" s="138"/>
      <c r="T79" s="3"/>
      <c r="U79" s="3"/>
      <c r="V79" s="3"/>
      <c r="W79" s="3" t="str">
        <f t="shared" si="16"/>
        <v/>
      </c>
      <c r="X79" s="9" t="str">
        <f t="shared" si="17"/>
        <v/>
      </c>
      <c r="Y79" s="9" t="str">
        <f t="shared" si="18"/>
        <v/>
      </c>
      <c r="Z79" s="3" t="e">
        <f>INDEX('справочная информация'!$U$6:$AK$29,MATCH('Расчет грейда'!$Y79,'справочная информация'!$T$6:$T$29,0),MATCH('Расчет грейда'!$X79,'справочная информация'!$U$5:$AK$5,0))</f>
        <v>#N/A</v>
      </c>
      <c r="AA79" s="9" t="str">
        <f t="shared" si="19"/>
        <v/>
      </c>
      <c r="AB79" s="3" t="e">
        <f>INDEX('справочная информация'!$B$68:$H$83,MATCH('Расчет грейда'!$AA79,'справочная информация'!$A$68:$A$83,0),MATCH('Расчет грейда'!$N79,'справочная информация'!$B$67:$H$67,0))</f>
        <v>#N/A</v>
      </c>
      <c r="AC79" s="3" t="e">
        <f>INDEX('справочная информация'!$D$130:$AD$145,MATCH('Расчет грейда'!$AW79,'справочная информация'!$C$130:$C$145,0),MATCH('Расчет грейда'!$AV79,'справочная информация'!$D$129:$AD$129,0))</f>
        <v>#N/A</v>
      </c>
      <c r="AD79" s="9" t="str">
        <f t="shared" si="20"/>
        <v/>
      </c>
      <c r="AE79" s="9" t="str">
        <f t="shared" si="21"/>
        <v/>
      </c>
      <c r="AF79" s="3" t="str">
        <f>IFERROR(IF(AND(AD79="",AE79=""),"",INDEX('справочная информация'!$B$188:$Y$211,MATCH('Расчет грейда'!$AE79,'справочная информация'!$A$188:$A$211,0),MATCH('Расчет грейда'!$AD79,'справочная информация'!$B$187:$Y$187,0))),"НЕТ")</f>
        <v/>
      </c>
      <c r="AG79" s="3" t="e">
        <f>VLOOKUP(J79,'справочная информация'!$D$267:$E$274,2,0)</f>
        <v>#N/A</v>
      </c>
      <c r="AH79" s="3" t="e">
        <f>VLOOKUP(K79,'справочная информация'!$D$279:$E$283,2,0)</f>
        <v>#N/A</v>
      </c>
      <c r="AI79" s="3" t="e">
        <f>VLOOKUP(L79,'справочная информация'!$D$288:$E$290,2,0)</f>
        <v>#N/A</v>
      </c>
      <c r="AJ79" s="3" t="str">
        <f t="shared" si="22"/>
        <v/>
      </c>
      <c r="AK79" s="169" t="e">
        <f>VLOOKUP(M79,'справочная информация'!$D$294:$E$301,2,0)</f>
        <v>#N/A</v>
      </c>
      <c r="AL79" s="3" t="e">
        <f>VLOOKUP(N79,'справочная информация'!$D$306:$E$310,2,0)</f>
        <v>#N/A</v>
      </c>
      <c r="AM79" s="169" t="str">
        <f t="shared" si="23"/>
        <v>()</v>
      </c>
      <c r="AN79" s="3" t="str">
        <f t="shared" si="24"/>
        <v/>
      </c>
      <c r="AO79" s="3" t="e">
        <f>VLOOKUP(O79,'справочная информация'!$D$329:$E$336,2,0)</f>
        <v>#N/A</v>
      </c>
      <c r="AP79" s="3" t="e">
        <f>VLOOKUP(P79,'справочная информация'!$D$342:$E$349,2,0)</f>
        <v>#N/A</v>
      </c>
      <c r="AQ79" s="3" t="e">
        <f>VLOOKUP(Q79,'справочная информация'!$D$316:$E$325,2,0)</f>
        <v>#N/A</v>
      </c>
      <c r="AR79" s="3" t="str">
        <f t="shared" si="25"/>
        <v/>
      </c>
      <c r="AS79" s="170" t="str">
        <f t="shared" si="26"/>
        <v/>
      </c>
      <c r="AT79" s="3" t="str">
        <f t="shared" si="27"/>
        <v/>
      </c>
      <c r="AU79" s="3" t="e">
        <f>ABS(MATCH($AX79,'справочная информация'!$A$354:$A$391,0)-MATCH($AY79,'справочная информация'!$A$354:$A$391,0))</f>
        <v>#N/A</v>
      </c>
      <c r="AV79" s="3" t="str">
        <f>IFERROR(INDEX('справочная информация'!$B$6:$R$29,MATCH('Расчет грейда'!$Y79,'справочная информация'!$A$6:$A$29,0),MATCH('Расчет грейда'!$X79,'справочная информация'!$B$5:$R$5,0)),"")</f>
        <v/>
      </c>
      <c r="AW79" s="171" t="str">
        <f>IFERROR(INDEX('справочная информация'!$B$37:$H$52,MATCH('Расчет грейда'!$AA79,'справочная информация'!$A$37:$A$52,0),MATCH('Расчет грейда'!$N79,'справочная информация'!$B$36:$H$36,0)),"")</f>
        <v/>
      </c>
      <c r="AX79" s="122" t="str">
        <f>IFERROR(INDEX('справочная информация'!$D$108:$AD$123,MATCH('Расчет грейда'!$AW79,'справочная информация'!$C$108:$C$123,0),MATCH('Расчет грейда'!$AV79,'справочная информация'!$D$107:$AD$107,0)),"")</f>
        <v/>
      </c>
      <c r="AY79" s="133" t="str">
        <f>IFERROR(INDEX('справочная информация'!$B$158:$Y$181,MATCH('Расчет грейда'!$AE79,'справочная информация'!$A$158:$A$181,0),MATCH('Расчет грейда'!$AD79,'справочная информация'!$B$157:$Y$157,0)),"")</f>
        <v/>
      </c>
      <c r="AZ79" s="170" t="str">
        <f t="shared" si="28"/>
        <v/>
      </c>
      <c r="BA79" s="172" t="str">
        <f>IFERROR(CONCATENATE(TEXT(AZ79/INDEX('справочная информация'!$D$223:$D$261,MATCH('Расчет грейда'!$AZ79,'справочная информация'!$C$223:$C$261,1)),"0%")," - процент относительно медианы 100%. ","MIN балл на грейде ",INDEX('справочная информация'!$C$223:$C$261,MATCH('Расчет грейда'!$AZ79,'справочная информация'!$C$223:$C$261,1)),", "," MAX балл на грейде ",INDEX('справочная информация'!$E$223:$E$261,MATCH('Расчет грейда'!$AZ79,'справочная информация'!$C$223:$C$261,1))),"")</f>
        <v/>
      </c>
      <c r="BB79" s="120" t="str">
        <f t="shared" si="29"/>
        <v/>
      </c>
      <c r="BC79" s="3" t="str">
        <f t="shared" si="30"/>
        <v/>
      </c>
      <c r="BD79" s="121" t="str">
        <f>IFERROR(VLOOKUP(BC79,'справочная информация'!$B$416:$C$424,2,0),"Проверить данные, нетипичная должность")</f>
        <v>Проверить данные, нетипичная должность</v>
      </c>
      <c r="BE79" s="3" t="str">
        <f t="shared" si="31"/>
        <v/>
      </c>
      <c r="BF79" s="3" t="str">
        <f>IFERROR(INDEX('справочная информация'!$F$223:$F$261,MATCH('Расчет грейда'!$AZ79,'справочная информация'!$C$223:$C$261,1)),"")</f>
        <v/>
      </c>
    </row>
    <row r="80" spans="1:58" s="9" customFormat="1" x14ac:dyDescent="0.35">
      <c r="A80" s="120"/>
      <c r="B80" s="122"/>
      <c r="C80" s="140"/>
      <c r="D80" s="120"/>
      <c r="E80" s="120"/>
      <c r="F80" s="120"/>
      <c r="G80" s="120"/>
      <c r="H80" s="120"/>
      <c r="J80" s="142"/>
      <c r="K80" s="142"/>
      <c r="L80" s="142"/>
      <c r="R80" s="3"/>
      <c r="S80" s="138"/>
      <c r="T80" s="3"/>
      <c r="U80" s="3"/>
      <c r="V80" s="3"/>
      <c r="W80" s="3" t="str">
        <f t="shared" si="16"/>
        <v/>
      </c>
      <c r="X80" s="9" t="str">
        <f t="shared" si="17"/>
        <v/>
      </c>
      <c r="Y80" s="9" t="str">
        <f t="shared" si="18"/>
        <v/>
      </c>
      <c r="Z80" s="3" t="e">
        <f>INDEX('справочная информация'!$U$6:$AK$29,MATCH('Расчет грейда'!$Y80,'справочная информация'!$T$6:$T$29,0),MATCH('Расчет грейда'!$X80,'справочная информация'!$U$5:$AK$5,0))</f>
        <v>#N/A</v>
      </c>
      <c r="AA80" s="9" t="str">
        <f t="shared" si="19"/>
        <v/>
      </c>
      <c r="AB80" s="3" t="e">
        <f>INDEX('справочная информация'!$B$68:$H$83,MATCH('Расчет грейда'!$AA80,'справочная информация'!$A$68:$A$83,0),MATCH('Расчет грейда'!$N80,'справочная информация'!$B$67:$H$67,0))</f>
        <v>#N/A</v>
      </c>
      <c r="AC80" s="3" t="e">
        <f>INDEX('справочная информация'!$D$130:$AD$145,MATCH('Расчет грейда'!$AW80,'справочная информация'!$C$130:$C$145,0),MATCH('Расчет грейда'!$AV80,'справочная информация'!$D$129:$AD$129,0))</f>
        <v>#N/A</v>
      </c>
      <c r="AD80" s="9" t="str">
        <f t="shared" si="20"/>
        <v/>
      </c>
      <c r="AE80" s="9" t="str">
        <f t="shared" si="21"/>
        <v/>
      </c>
      <c r="AF80" s="3" t="str">
        <f>IFERROR(IF(AND(AD80="",AE80=""),"",INDEX('справочная информация'!$B$188:$Y$211,MATCH('Расчет грейда'!$AE80,'справочная информация'!$A$188:$A$211,0),MATCH('Расчет грейда'!$AD80,'справочная информация'!$B$187:$Y$187,0))),"НЕТ")</f>
        <v/>
      </c>
      <c r="AG80" s="3" t="e">
        <f>VLOOKUP(J80,'справочная информация'!$D$267:$E$274,2,0)</f>
        <v>#N/A</v>
      </c>
      <c r="AH80" s="3" t="e">
        <f>VLOOKUP(K80,'справочная информация'!$D$279:$E$283,2,0)</f>
        <v>#N/A</v>
      </c>
      <c r="AI80" s="3" t="e">
        <f>VLOOKUP(L80,'справочная информация'!$D$288:$E$290,2,0)</f>
        <v>#N/A</v>
      </c>
      <c r="AJ80" s="3" t="str">
        <f t="shared" si="22"/>
        <v/>
      </c>
      <c r="AK80" s="169" t="e">
        <f>VLOOKUP(M80,'справочная информация'!$D$294:$E$301,2,0)</f>
        <v>#N/A</v>
      </c>
      <c r="AL80" s="3" t="e">
        <f>VLOOKUP(N80,'справочная информация'!$D$306:$E$310,2,0)</f>
        <v>#N/A</v>
      </c>
      <c r="AM80" s="169" t="str">
        <f t="shared" si="23"/>
        <v>()</v>
      </c>
      <c r="AN80" s="3" t="str">
        <f t="shared" si="24"/>
        <v/>
      </c>
      <c r="AO80" s="3" t="e">
        <f>VLOOKUP(O80,'справочная информация'!$D$329:$E$336,2,0)</f>
        <v>#N/A</v>
      </c>
      <c r="AP80" s="3" t="e">
        <f>VLOOKUP(P80,'справочная информация'!$D$342:$E$349,2,0)</f>
        <v>#N/A</v>
      </c>
      <c r="AQ80" s="3" t="e">
        <f>VLOOKUP(Q80,'справочная информация'!$D$316:$E$325,2,0)</f>
        <v>#N/A</v>
      </c>
      <c r="AR80" s="3" t="str">
        <f t="shared" si="25"/>
        <v/>
      </c>
      <c r="AS80" s="170" t="str">
        <f t="shared" si="26"/>
        <v/>
      </c>
      <c r="AT80" s="3" t="str">
        <f t="shared" si="27"/>
        <v/>
      </c>
      <c r="AU80" s="3" t="e">
        <f>ABS(MATCH($AX80,'справочная информация'!$A$354:$A$391,0)-MATCH($AY80,'справочная информация'!$A$354:$A$391,0))</f>
        <v>#N/A</v>
      </c>
      <c r="AV80" s="3" t="str">
        <f>IFERROR(INDEX('справочная информация'!$B$6:$R$29,MATCH('Расчет грейда'!$Y80,'справочная информация'!$A$6:$A$29,0),MATCH('Расчет грейда'!$X80,'справочная информация'!$B$5:$R$5,0)),"")</f>
        <v/>
      </c>
      <c r="AW80" s="171" t="str">
        <f>IFERROR(INDEX('справочная информация'!$B$37:$H$52,MATCH('Расчет грейда'!$AA80,'справочная информация'!$A$37:$A$52,0),MATCH('Расчет грейда'!$N80,'справочная информация'!$B$36:$H$36,0)),"")</f>
        <v/>
      </c>
      <c r="AX80" s="122" t="str">
        <f>IFERROR(INDEX('справочная информация'!$D$108:$AD$123,MATCH('Расчет грейда'!$AW80,'справочная информация'!$C$108:$C$123,0),MATCH('Расчет грейда'!$AV80,'справочная информация'!$D$107:$AD$107,0)),"")</f>
        <v/>
      </c>
      <c r="AY80" s="133" t="str">
        <f>IFERROR(INDEX('справочная информация'!$B$158:$Y$181,MATCH('Расчет грейда'!$AE80,'справочная информация'!$A$158:$A$181,0),MATCH('Расчет грейда'!$AD80,'справочная информация'!$B$157:$Y$157,0)),"")</f>
        <v/>
      </c>
      <c r="AZ80" s="170" t="str">
        <f t="shared" si="28"/>
        <v/>
      </c>
      <c r="BA80" s="172" t="str">
        <f>IFERROR(CONCATENATE(TEXT(AZ80/INDEX('справочная информация'!$D$223:$D$261,MATCH('Расчет грейда'!$AZ80,'справочная информация'!$C$223:$C$261,1)),"0%")," - процент относительно медианы 100%. ","MIN балл на грейде ",INDEX('справочная информация'!$C$223:$C$261,MATCH('Расчет грейда'!$AZ80,'справочная информация'!$C$223:$C$261,1)),", "," MAX балл на грейде ",INDEX('справочная информация'!$E$223:$E$261,MATCH('Расчет грейда'!$AZ80,'справочная информация'!$C$223:$C$261,1))),"")</f>
        <v/>
      </c>
      <c r="BB80" s="120" t="str">
        <f t="shared" si="29"/>
        <v/>
      </c>
      <c r="BC80" s="3" t="str">
        <f t="shared" si="30"/>
        <v/>
      </c>
      <c r="BD80" s="121" t="str">
        <f>IFERROR(VLOOKUP(BC80,'справочная информация'!$B$416:$C$424,2,0),"Проверить данные, нетипичная должность")</f>
        <v>Проверить данные, нетипичная должность</v>
      </c>
      <c r="BE80" s="3" t="str">
        <f t="shared" si="31"/>
        <v/>
      </c>
      <c r="BF80" s="3" t="str">
        <f>IFERROR(INDEX('справочная информация'!$F$223:$F$261,MATCH('Расчет грейда'!$AZ80,'справочная информация'!$C$223:$C$261,1)),"")</f>
        <v/>
      </c>
    </row>
    <row r="81" spans="1:58" s="9" customFormat="1" x14ac:dyDescent="0.35">
      <c r="A81" s="120"/>
      <c r="B81" s="122"/>
      <c r="C81" s="140"/>
      <c r="D81" s="120"/>
      <c r="E81" s="120"/>
      <c r="F81" s="120"/>
      <c r="G81" s="120"/>
      <c r="H81" s="120"/>
      <c r="J81" s="142"/>
      <c r="K81" s="142"/>
      <c r="L81" s="142"/>
      <c r="R81" s="3"/>
      <c r="S81" s="138"/>
      <c r="T81" s="3"/>
      <c r="U81" s="3"/>
      <c r="V81" s="3"/>
      <c r="W81" s="3" t="str">
        <f t="shared" si="16"/>
        <v/>
      </c>
      <c r="X81" s="9" t="str">
        <f t="shared" si="17"/>
        <v/>
      </c>
      <c r="Y81" s="9" t="str">
        <f t="shared" si="18"/>
        <v/>
      </c>
      <c r="Z81" s="3" t="e">
        <f>INDEX('справочная информация'!$U$6:$AK$29,MATCH('Расчет грейда'!$Y81,'справочная информация'!$T$6:$T$29,0),MATCH('Расчет грейда'!$X81,'справочная информация'!$U$5:$AK$5,0))</f>
        <v>#N/A</v>
      </c>
      <c r="AA81" s="9" t="str">
        <f t="shared" si="19"/>
        <v/>
      </c>
      <c r="AB81" s="3" t="e">
        <f>INDEX('справочная информация'!$B$68:$H$83,MATCH('Расчет грейда'!$AA81,'справочная информация'!$A$68:$A$83,0),MATCH('Расчет грейда'!$N81,'справочная информация'!$B$67:$H$67,0))</f>
        <v>#N/A</v>
      </c>
      <c r="AC81" s="3" t="e">
        <f>INDEX('справочная информация'!$D$130:$AD$145,MATCH('Расчет грейда'!$AW81,'справочная информация'!$C$130:$C$145,0),MATCH('Расчет грейда'!$AV81,'справочная информация'!$D$129:$AD$129,0))</f>
        <v>#N/A</v>
      </c>
      <c r="AD81" s="9" t="str">
        <f t="shared" si="20"/>
        <v/>
      </c>
      <c r="AE81" s="9" t="str">
        <f t="shared" si="21"/>
        <v/>
      </c>
      <c r="AF81" s="3" t="str">
        <f>IFERROR(IF(AND(AD81="",AE81=""),"",INDEX('справочная информация'!$B$188:$Y$211,MATCH('Расчет грейда'!$AE81,'справочная информация'!$A$188:$A$211,0),MATCH('Расчет грейда'!$AD81,'справочная информация'!$B$187:$Y$187,0))),"НЕТ")</f>
        <v/>
      </c>
      <c r="AG81" s="3" t="e">
        <f>VLOOKUP(J81,'справочная информация'!$D$267:$E$274,2,0)</f>
        <v>#N/A</v>
      </c>
      <c r="AH81" s="3" t="e">
        <f>VLOOKUP(K81,'справочная информация'!$D$279:$E$283,2,0)</f>
        <v>#N/A</v>
      </c>
      <c r="AI81" s="3" t="e">
        <f>VLOOKUP(L81,'справочная информация'!$D$288:$E$290,2,0)</f>
        <v>#N/A</v>
      </c>
      <c r="AJ81" s="3" t="str">
        <f t="shared" si="22"/>
        <v/>
      </c>
      <c r="AK81" s="169" t="e">
        <f>VLOOKUP(M81,'справочная информация'!$D$294:$E$301,2,0)</f>
        <v>#N/A</v>
      </c>
      <c r="AL81" s="3" t="e">
        <f>VLOOKUP(N81,'справочная информация'!$D$306:$E$310,2,0)</f>
        <v>#N/A</v>
      </c>
      <c r="AM81" s="169" t="str">
        <f t="shared" si="23"/>
        <v>()</v>
      </c>
      <c r="AN81" s="3" t="str">
        <f t="shared" si="24"/>
        <v/>
      </c>
      <c r="AO81" s="3" t="e">
        <f>VLOOKUP(O81,'справочная информация'!$D$329:$E$336,2,0)</f>
        <v>#N/A</v>
      </c>
      <c r="AP81" s="3" t="e">
        <f>VLOOKUP(P81,'справочная информация'!$D$342:$E$349,2,0)</f>
        <v>#N/A</v>
      </c>
      <c r="AQ81" s="3" t="e">
        <f>VLOOKUP(Q81,'справочная информация'!$D$316:$E$325,2,0)</f>
        <v>#N/A</v>
      </c>
      <c r="AR81" s="3" t="str">
        <f t="shared" si="25"/>
        <v/>
      </c>
      <c r="AS81" s="170" t="str">
        <f t="shared" si="26"/>
        <v/>
      </c>
      <c r="AT81" s="3" t="str">
        <f t="shared" si="27"/>
        <v/>
      </c>
      <c r="AU81" s="3" t="e">
        <f>ABS(MATCH($AX81,'справочная информация'!$A$354:$A$391,0)-MATCH($AY81,'справочная информация'!$A$354:$A$391,0))</f>
        <v>#N/A</v>
      </c>
      <c r="AV81" s="3" t="str">
        <f>IFERROR(INDEX('справочная информация'!$B$6:$R$29,MATCH('Расчет грейда'!$Y81,'справочная информация'!$A$6:$A$29,0),MATCH('Расчет грейда'!$X81,'справочная информация'!$B$5:$R$5,0)),"")</f>
        <v/>
      </c>
      <c r="AW81" s="171" t="str">
        <f>IFERROR(INDEX('справочная информация'!$B$37:$H$52,MATCH('Расчет грейда'!$AA81,'справочная информация'!$A$37:$A$52,0),MATCH('Расчет грейда'!$N81,'справочная информация'!$B$36:$H$36,0)),"")</f>
        <v/>
      </c>
      <c r="AX81" s="122" t="str">
        <f>IFERROR(INDEX('справочная информация'!$D$108:$AD$123,MATCH('Расчет грейда'!$AW81,'справочная информация'!$C$108:$C$123,0),MATCH('Расчет грейда'!$AV81,'справочная информация'!$D$107:$AD$107,0)),"")</f>
        <v/>
      </c>
      <c r="AY81" s="133" t="str">
        <f>IFERROR(INDEX('справочная информация'!$B$158:$Y$181,MATCH('Расчет грейда'!$AE81,'справочная информация'!$A$158:$A$181,0),MATCH('Расчет грейда'!$AD81,'справочная информация'!$B$157:$Y$157,0)),"")</f>
        <v/>
      </c>
      <c r="AZ81" s="170" t="str">
        <f t="shared" si="28"/>
        <v/>
      </c>
      <c r="BA81" s="172" t="str">
        <f>IFERROR(CONCATENATE(TEXT(AZ81/INDEX('справочная информация'!$D$223:$D$261,MATCH('Расчет грейда'!$AZ81,'справочная информация'!$C$223:$C$261,1)),"0%")," - процент относительно медианы 100%. ","MIN балл на грейде ",INDEX('справочная информация'!$C$223:$C$261,MATCH('Расчет грейда'!$AZ81,'справочная информация'!$C$223:$C$261,1)),", "," MAX балл на грейде ",INDEX('справочная информация'!$E$223:$E$261,MATCH('Расчет грейда'!$AZ81,'справочная информация'!$C$223:$C$261,1))),"")</f>
        <v/>
      </c>
      <c r="BB81" s="120" t="str">
        <f t="shared" si="29"/>
        <v/>
      </c>
      <c r="BC81" s="3" t="str">
        <f t="shared" si="30"/>
        <v/>
      </c>
      <c r="BD81" s="121" t="str">
        <f>IFERROR(VLOOKUP(BC81,'справочная информация'!$B$416:$C$424,2,0),"Проверить данные, нетипичная должность")</f>
        <v>Проверить данные, нетипичная должность</v>
      </c>
      <c r="BE81" s="3" t="str">
        <f t="shared" si="31"/>
        <v/>
      </c>
      <c r="BF81" s="3" t="str">
        <f>IFERROR(INDEX('справочная информация'!$F$223:$F$261,MATCH('Расчет грейда'!$AZ81,'справочная информация'!$C$223:$C$261,1)),"")</f>
        <v/>
      </c>
    </row>
    <row r="82" spans="1:58" s="9" customFormat="1" x14ac:dyDescent="0.35">
      <c r="A82" s="120"/>
      <c r="B82" s="122"/>
      <c r="C82" s="140"/>
      <c r="D82" s="120"/>
      <c r="E82" s="120"/>
      <c r="F82" s="120"/>
      <c r="G82" s="120"/>
      <c r="H82" s="120"/>
      <c r="J82" s="142"/>
      <c r="K82" s="142"/>
      <c r="L82" s="142"/>
      <c r="R82" s="3"/>
      <c r="S82" s="138"/>
      <c r="T82" s="3"/>
      <c r="U82" s="3"/>
      <c r="V82" s="3"/>
      <c r="W82" s="3" t="str">
        <f t="shared" si="16"/>
        <v/>
      </c>
      <c r="X82" s="9" t="str">
        <f t="shared" si="17"/>
        <v/>
      </c>
      <c r="Y82" s="9" t="str">
        <f t="shared" si="18"/>
        <v/>
      </c>
      <c r="Z82" s="3" t="e">
        <f>INDEX('справочная информация'!$U$6:$AK$29,MATCH('Расчет грейда'!$Y82,'справочная информация'!$T$6:$T$29,0),MATCH('Расчет грейда'!$X82,'справочная информация'!$U$5:$AK$5,0))</f>
        <v>#N/A</v>
      </c>
      <c r="AA82" s="9" t="str">
        <f t="shared" si="19"/>
        <v/>
      </c>
      <c r="AB82" s="3" t="e">
        <f>INDEX('справочная информация'!$B$68:$H$83,MATCH('Расчет грейда'!$AA82,'справочная информация'!$A$68:$A$83,0),MATCH('Расчет грейда'!$N82,'справочная информация'!$B$67:$H$67,0))</f>
        <v>#N/A</v>
      </c>
      <c r="AC82" s="3" t="e">
        <f>INDEX('справочная информация'!$D$130:$AD$145,MATCH('Расчет грейда'!$AW82,'справочная информация'!$C$130:$C$145,0),MATCH('Расчет грейда'!$AV82,'справочная информация'!$D$129:$AD$129,0))</f>
        <v>#N/A</v>
      </c>
      <c r="AD82" s="9" t="str">
        <f t="shared" si="20"/>
        <v/>
      </c>
      <c r="AE82" s="9" t="str">
        <f t="shared" si="21"/>
        <v/>
      </c>
      <c r="AF82" s="3" t="str">
        <f>IFERROR(IF(AND(AD82="",AE82=""),"",INDEX('справочная информация'!$B$188:$Y$211,MATCH('Расчет грейда'!$AE82,'справочная информация'!$A$188:$A$211,0),MATCH('Расчет грейда'!$AD82,'справочная информация'!$B$187:$Y$187,0))),"НЕТ")</f>
        <v/>
      </c>
      <c r="AG82" s="3" t="e">
        <f>VLOOKUP(J82,'справочная информация'!$D$267:$E$274,2,0)</f>
        <v>#N/A</v>
      </c>
      <c r="AH82" s="3" t="e">
        <f>VLOOKUP(K82,'справочная информация'!$D$279:$E$283,2,0)</f>
        <v>#N/A</v>
      </c>
      <c r="AI82" s="3" t="e">
        <f>VLOOKUP(L82,'справочная информация'!$D$288:$E$290,2,0)</f>
        <v>#N/A</v>
      </c>
      <c r="AJ82" s="3" t="str">
        <f t="shared" si="22"/>
        <v/>
      </c>
      <c r="AK82" s="169" t="e">
        <f>VLOOKUP(M82,'справочная информация'!$D$294:$E$301,2,0)</f>
        <v>#N/A</v>
      </c>
      <c r="AL82" s="3" t="e">
        <f>VLOOKUP(N82,'справочная информация'!$D$306:$E$310,2,0)</f>
        <v>#N/A</v>
      </c>
      <c r="AM82" s="169" t="str">
        <f t="shared" si="23"/>
        <v>()</v>
      </c>
      <c r="AN82" s="3" t="str">
        <f t="shared" si="24"/>
        <v/>
      </c>
      <c r="AO82" s="3" t="e">
        <f>VLOOKUP(O82,'справочная информация'!$D$329:$E$336,2,0)</f>
        <v>#N/A</v>
      </c>
      <c r="AP82" s="3" t="e">
        <f>VLOOKUP(P82,'справочная информация'!$D$342:$E$349,2,0)</f>
        <v>#N/A</v>
      </c>
      <c r="AQ82" s="3" t="e">
        <f>VLOOKUP(Q82,'справочная информация'!$D$316:$E$325,2,0)</f>
        <v>#N/A</v>
      </c>
      <c r="AR82" s="3" t="str">
        <f t="shared" si="25"/>
        <v/>
      </c>
      <c r="AS82" s="170" t="str">
        <f t="shared" si="26"/>
        <v/>
      </c>
      <c r="AT82" s="3" t="str">
        <f t="shared" si="27"/>
        <v/>
      </c>
      <c r="AU82" s="3" t="e">
        <f>ABS(MATCH($AX82,'справочная информация'!$A$354:$A$391,0)-MATCH($AY82,'справочная информация'!$A$354:$A$391,0))</f>
        <v>#N/A</v>
      </c>
      <c r="AV82" s="3" t="str">
        <f>IFERROR(INDEX('справочная информация'!$B$6:$R$29,MATCH('Расчет грейда'!$Y82,'справочная информация'!$A$6:$A$29,0),MATCH('Расчет грейда'!$X82,'справочная информация'!$B$5:$R$5,0)),"")</f>
        <v/>
      </c>
      <c r="AW82" s="171" t="str">
        <f>IFERROR(INDEX('справочная информация'!$B$37:$H$52,MATCH('Расчет грейда'!$AA82,'справочная информация'!$A$37:$A$52,0),MATCH('Расчет грейда'!$N82,'справочная информация'!$B$36:$H$36,0)),"")</f>
        <v/>
      </c>
      <c r="AX82" s="122" t="str">
        <f>IFERROR(INDEX('справочная информация'!$D$108:$AD$123,MATCH('Расчет грейда'!$AW82,'справочная информация'!$C$108:$C$123,0),MATCH('Расчет грейда'!$AV82,'справочная информация'!$D$107:$AD$107,0)),"")</f>
        <v/>
      </c>
      <c r="AY82" s="133" t="str">
        <f>IFERROR(INDEX('справочная информация'!$B$158:$Y$181,MATCH('Расчет грейда'!$AE82,'справочная информация'!$A$158:$A$181,0),MATCH('Расчет грейда'!$AD82,'справочная информация'!$B$157:$Y$157,0)),"")</f>
        <v/>
      </c>
      <c r="AZ82" s="170" t="str">
        <f t="shared" si="28"/>
        <v/>
      </c>
      <c r="BA82" s="172" t="str">
        <f>IFERROR(CONCATENATE(TEXT(AZ82/INDEX('справочная информация'!$D$223:$D$261,MATCH('Расчет грейда'!$AZ82,'справочная информация'!$C$223:$C$261,1)),"0%")," - процент относительно медианы 100%. ","MIN балл на грейде ",INDEX('справочная информация'!$C$223:$C$261,MATCH('Расчет грейда'!$AZ82,'справочная информация'!$C$223:$C$261,1)),", "," MAX балл на грейде ",INDEX('справочная информация'!$E$223:$E$261,MATCH('Расчет грейда'!$AZ82,'справочная информация'!$C$223:$C$261,1))),"")</f>
        <v/>
      </c>
      <c r="BB82" s="120" t="str">
        <f t="shared" si="29"/>
        <v/>
      </c>
      <c r="BC82" s="3" t="str">
        <f t="shared" si="30"/>
        <v/>
      </c>
      <c r="BD82" s="121" t="str">
        <f>IFERROR(VLOOKUP(BC82,'справочная информация'!$B$416:$C$424,2,0),"Проверить данные, нетипичная должность")</f>
        <v>Проверить данные, нетипичная должность</v>
      </c>
      <c r="BE82" s="3" t="str">
        <f t="shared" si="31"/>
        <v/>
      </c>
      <c r="BF82" s="3" t="str">
        <f>IFERROR(INDEX('справочная информация'!$F$223:$F$261,MATCH('Расчет грейда'!$AZ82,'справочная информация'!$C$223:$C$261,1)),"")</f>
        <v/>
      </c>
    </row>
    <row r="83" spans="1:58" s="9" customFormat="1" x14ac:dyDescent="0.35">
      <c r="A83" s="120"/>
      <c r="B83" s="122"/>
      <c r="C83" s="140"/>
      <c r="D83" s="120"/>
      <c r="E83" s="120"/>
      <c r="F83" s="120"/>
      <c r="G83" s="120"/>
      <c r="H83" s="120"/>
      <c r="J83" s="142"/>
      <c r="K83" s="142"/>
      <c r="L83" s="142"/>
      <c r="R83" s="3"/>
      <c r="S83" s="138"/>
      <c r="T83" s="3"/>
      <c r="U83" s="3"/>
      <c r="V83" s="3"/>
      <c r="W83" s="3" t="str">
        <f t="shared" ref="W83:W114" si="32">IF(IFERROR(BF83-6,"")&lt;0,0,IFERROR(BF83-6,""))</f>
        <v/>
      </c>
      <c r="X83" s="9" t="str">
        <f t="shared" ref="X83:X114" si="33">CONCATENATE(K83,L83)</f>
        <v/>
      </c>
      <c r="Y83" s="9" t="str">
        <f t="shared" ref="Y83:Y114" si="34">CONCATENATE(J83,T83)</f>
        <v/>
      </c>
      <c r="Z83" s="3" t="e">
        <f>INDEX('справочная информация'!$U$6:$AK$29,MATCH('Расчет грейда'!$Y83,'справочная информация'!$T$6:$T$29,0),MATCH('Расчет грейда'!$X83,'справочная информация'!$U$5:$AK$5,0))</f>
        <v>#N/A</v>
      </c>
      <c r="AA83" s="9" t="str">
        <f t="shared" ref="AA83:AA114" si="35">CONCATENATE(M83,U83)</f>
        <v/>
      </c>
      <c r="AB83" s="3" t="e">
        <f>INDEX('справочная информация'!$B$68:$H$83,MATCH('Расчет грейда'!$AA83,'справочная информация'!$A$68:$A$83,0),MATCH('Расчет грейда'!$N83,'справочная информация'!$B$67:$H$67,0))</f>
        <v>#N/A</v>
      </c>
      <c r="AC83" s="3" t="e">
        <f>INDEX('справочная информация'!$D$130:$AD$145,MATCH('Расчет грейда'!$AW83,'справочная информация'!$C$130:$C$145,0),MATCH('Расчет грейда'!$AV83,'справочная информация'!$D$129:$AD$129,0))</f>
        <v>#N/A</v>
      </c>
      <c r="AD83" s="9" t="str">
        <f t="shared" ref="AD83:AD114" si="36">CONCATENATE(P83,Q83)</f>
        <v/>
      </c>
      <c r="AE83" s="9" t="str">
        <f t="shared" ref="AE83:AE114" si="37">CONCATENATE(O83,V83)</f>
        <v/>
      </c>
      <c r="AF83" s="3" t="str">
        <f>IFERROR(IF(AND(AD83="",AE83=""),"",INDEX('справочная информация'!$B$188:$Y$211,MATCH('Расчет грейда'!$AE83,'справочная информация'!$A$188:$A$211,0),MATCH('Расчет грейда'!$AD83,'справочная информация'!$B$187:$Y$187,0))),"НЕТ")</f>
        <v/>
      </c>
      <c r="AG83" s="3" t="e">
        <f>VLOOKUP(J83,'справочная информация'!$D$267:$E$274,2,0)</f>
        <v>#N/A</v>
      </c>
      <c r="AH83" s="3" t="e">
        <f>VLOOKUP(K83,'справочная информация'!$D$279:$E$283,2,0)</f>
        <v>#N/A</v>
      </c>
      <c r="AI83" s="3" t="e">
        <f>VLOOKUP(L83,'справочная информация'!$D$288:$E$290,2,0)</f>
        <v>#N/A</v>
      </c>
      <c r="AJ83" s="3" t="str">
        <f t="shared" ref="AJ83:AJ114" si="38">AV83</f>
        <v/>
      </c>
      <c r="AK83" s="169" t="e">
        <f>VLOOKUP(M83,'справочная информация'!$D$294:$E$301,2,0)</f>
        <v>#N/A</v>
      </c>
      <c r="AL83" s="3" t="e">
        <f>VLOOKUP(N83,'справочная информация'!$D$306:$E$310,2,0)</f>
        <v>#N/A</v>
      </c>
      <c r="AM83" s="169" t="str">
        <f t="shared" ref="AM83:AM114" si="39">CONCATENATE("(",AW83,")")</f>
        <v>()</v>
      </c>
      <c r="AN83" s="3" t="str">
        <f t="shared" ref="AN83:AN114" si="40">AX83</f>
        <v/>
      </c>
      <c r="AO83" s="3" t="e">
        <f>VLOOKUP(O83,'справочная информация'!$D$329:$E$336,2,0)</f>
        <v>#N/A</v>
      </c>
      <c r="AP83" s="3" t="e">
        <f>VLOOKUP(P83,'справочная информация'!$D$342:$E$349,2,0)</f>
        <v>#N/A</v>
      </c>
      <c r="AQ83" s="3" t="e">
        <f>VLOOKUP(Q83,'справочная информация'!$D$316:$E$325,2,0)</f>
        <v>#N/A</v>
      </c>
      <c r="AR83" s="3" t="str">
        <f t="shared" ref="AR83:AR114" si="41">AY83</f>
        <v/>
      </c>
      <c r="AS83" s="170" t="str">
        <f t="shared" ref="AS83:AS114" si="42">AZ83</f>
        <v/>
      </c>
      <c r="AT83" s="3" t="str">
        <f t="shared" ref="AT83:AT114" si="43">IF(AND(AX83="",AY83=""),"",IF(AY83&gt;AX83,"A",IF(AX83=AY83,"L","P")))</f>
        <v/>
      </c>
      <c r="AU83" s="3" t="e">
        <f>ABS(MATCH($AX83,'справочная информация'!$A$354:$A$391,0)-MATCH($AY83,'справочная информация'!$A$354:$A$391,0))</f>
        <v>#N/A</v>
      </c>
      <c r="AV83" s="3" t="str">
        <f>IFERROR(INDEX('справочная информация'!$B$6:$R$29,MATCH('Расчет грейда'!$Y83,'справочная информация'!$A$6:$A$29,0),MATCH('Расчет грейда'!$X83,'справочная информация'!$B$5:$R$5,0)),"")</f>
        <v/>
      </c>
      <c r="AW83" s="171" t="str">
        <f>IFERROR(INDEX('справочная информация'!$B$37:$H$52,MATCH('Расчет грейда'!$AA83,'справочная информация'!$A$37:$A$52,0),MATCH('Расчет грейда'!$N83,'справочная информация'!$B$36:$H$36,0)),"")</f>
        <v/>
      </c>
      <c r="AX83" s="122" t="str">
        <f>IFERROR(INDEX('справочная информация'!$D$108:$AD$123,MATCH('Расчет грейда'!$AW83,'справочная информация'!$C$108:$C$123,0),MATCH('Расчет грейда'!$AV83,'справочная информация'!$D$107:$AD$107,0)),"")</f>
        <v/>
      </c>
      <c r="AY83" s="133" t="str">
        <f>IFERROR(INDEX('справочная информация'!$B$158:$Y$181,MATCH('Расчет грейда'!$AE83,'справочная информация'!$A$158:$A$181,0),MATCH('Расчет грейда'!$AD83,'справочная информация'!$B$157:$Y$157,0)),"")</f>
        <v/>
      </c>
      <c r="AZ83" s="170" t="str">
        <f t="shared" ref="AZ83:AZ114" si="44">IFERROR(AV83+AX83+AY83,"")</f>
        <v/>
      </c>
      <c r="BA83" s="172" t="str">
        <f>IFERROR(CONCATENATE(TEXT(AZ83/INDEX('справочная информация'!$D$223:$D$261,MATCH('Расчет грейда'!$AZ83,'справочная информация'!$C$223:$C$261,1)),"0%")," - процент относительно медианы 100%. ","MIN балл на грейде ",INDEX('справочная информация'!$C$223:$C$261,MATCH('Расчет грейда'!$AZ83,'справочная информация'!$C$223:$C$261,1)),", "," MAX балл на грейде ",INDEX('справочная информация'!$E$223:$E$261,MATCH('Расчет грейда'!$AZ83,'справочная информация'!$C$223:$C$261,1))),"")</f>
        <v/>
      </c>
      <c r="BB83" s="120" t="str">
        <f t="shared" ref="BB83:BB114" si="45">IFERROR(IF(AND(AX83="",AY83=""),"",IF(AY83&gt;AX83,"Ответственный профиль (ACC)",IF(AY83=AX83,"Профиль равный (L)","Профиль решения вопросов (PS)"))),"")</f>
        <v/>
      </c>
      <c r="BC83" s="3" t="str">
        <f t="shared" ref="BC83:BC114" si="46">IFERROR(CONCATENATE(AT83,AU83),"")</f>
        <v/>
      </c>
      <c r="BD83" s="121" t="str">
        <f>IFERROR(VLOOKUP(BC83,'справочная информация'!$B$416:$C$424,2,0),"Проверить данные, нетипичная должность")</f>
        <v>Проверить данные, нетипичная должность</v>
      </c>
      <c r="BE83" s="3" t="str">
        <f t="shared" ref="BE83:BE114" si="47">IFERROR(CONCATENATE(AG83,AH83,AI83,"  ",AJ83,"  ",AK83,AL83,"  ",AM83,"  ",AN83,"  ",AO83,AP83,AQ83,"  ",AR83,"  ",AS83,"  ",BC83),"")</f>
        <v/>
      </c>
      <c r="BF83" s="3" t="str">
        <f>IFERROR(INDEX('справочная информация'!$F$223:$F$261,MATCH('Расчет грейда'!$AZ83,'справочная информация'!$C$223:$C$261,1)),"")</f>
        <v/>
      </c>
    </row>
    <row r="84" spans="1:58" s="9" customFormat="1" x14ac:dyDescent="0.35">
      <c r="A84" s="120"/>
      <c r="B84" s="122"/>
      <c r="C84" s="140"/>
      <c r="D84" s="120"/>
      <c r="E84" s="120"/>
      <c r="F84" s="120"/>
      <c r="G84" s="120"/>
      <c r="H84" s="120"/>
      <c r="J84" s="142"/>
      <c r="K84" s="142"/>
      <c r="L84" s="142"/>
      <c r="R84" s="3"/>
      <c r="S84" s="138"/>
      <c r="T84" s="3"/>
      <c r="U84" s="3"/>
      <c r="V84" s="3"/>
      <c r="W84" s="3" t="str">
        <f t="shared" si="32"/>
        <v/>
      </c>
      <c r="X84" s="9" t="str">
        <f t="shared" si="33"/>
        <v/>
      </c>
      <c r="Y84" s="9" t="str">
        <f t="shared" si="34"/>
        <v/>
      </c>
      <c r="Z84" s="3" t="e">
        <f>INDEX('справочная информация'!$U$6:$AK$29,MATCH('Расчет грейда'!$Y84,'справочная информация'!$T$6:$T$29,0),MATCH('Расчет грейда'!$X84,'справочная информация'!$U$5:$AK$5,0))</f>
        <v>#N/A</v>
      </c>
      <c r="AA84" s="9" t="str">
        <f t="shared" si="35"/>
        <v/>
      </c>
      <c r="AB84" s="3" t="e">
        <f>INDEX('справочная информация'!$B$68:$H$83,MATCH('Расчет грейда'!$AA84,'справочная информация'!$A$68:$A$83,0),MATCH('Расчет грейда'!$N84,'справочная информация'!$B$67:$H$67,0))</f>
        <v>#N/A</v>
      </c>
      <c r="AC84" s="3" t="e">
        <f>INDEX('справочная информация'!$D$130:$AD$145,MATCH('Расчет грейда'!$AW84,'справочная информация'!$C$130:$C$145,0),MATCH('Расчет грейда'!$AV84,'справочная информация'!$D$129:$AD$129,0))</f>
        <v>#N/A</v>
      </c>
      <c r="AD84" s="9" t="str">
        <f t="shared" si="36"/>
        <v/>
      </c>
      <c r="AE84" s="9" t="str">
        <f t="shared" si="37"/>
        <v/>
      </c>
      <c r="AF84" s="3" t="str">
        <f>IFERROR(IF(AND(AD84="",AE84=""),"",INDEX('справочная информация'!$B$188:$Y$211,MATCH('Расчет грейда'!$AE84,'справочная информация'!$A$188:$A$211,0),MATCH('Расчет грейда'!$AD84,'справочная информация'!$B$187:$Y$187,0))),"НЕТ")</f>
        <v/>
      </c>
      <c r="AG84" s="3" t="e">
        <f>VLOOKUP(J84,'справочная информация'!$D$267:$E$274,2,0)</f>
        <v>#N/A</v>
      </c>
      <c r="AH84" s="3" t="e">
        <f>VLOOKUP(K84,'справочная информация'!$D$279:$E$283,2,0)</f>
        <v>#N/A</v>
      </c>
      <c r="AI84" s="3" t="e">
        <f>VLOOKUP(L84,'справочная информация'!$D$288:$E$290,2,0)</f>
        <v>#N/A</v>
      </c>
      <c r="AJ84" s="3" t="str">
        <f t="shared" si="38"/>
        <v/>
      </c>
      <c r="AK84" s="169" t="e">
        <f>VLOOKUP(M84,'справочная информация'!$D$294:$E$301,2,0)</f>
        <v>#N/A</v>
      </c>
      <c r="AL84" s="3" t="e">
        <f>VLOOKUP(N84,'справочная информация'!$D$306:$E$310,2,0)</f>
        <v>#N/A</v>
      </c>
      <c r="AM84" s="169" t="str">
        <f t="shared" si="39"/>
        <v>()</v>
      </c>
      <c r="AN84" s="3" t="str">
        <f t="shared" si="40"/>
        <v/>
      </c>
      <c r="AO84" s="3" t="e">
        <f>VLOOKUP(O84,'справочная информация'!$D$329:$E$336,2,0)</f>
        <v>#N/A</v>
      </c>
      <c r="AP84" s="3" t="e">
        <f>VLOOKUP(P84,'справочная информация'!$D$342:$E$349,2,0)</f>
        <v>#N/A</v>
      </c>
      <c r="AQ84" s="3" t="e">
        <f>VLOOKUP(Q84,'справочная информация'!$D$316:$E$325,2,0)</f>
        <v>#N/A</v>
      </c>
      <c r="AR84" s="3" t="str">
        <f t="shared" si="41"/>
        <v/>
      </c>
      <c r="AS84" s="170" t="str">
        <f t="shared" si="42"/>
        <v/>
      </c>
      <c r="AT84" s="3" t="str">
        <f t="shared" si="43"/>
        <v/>
      </c>
      <c r="AU84" s="3" t="e">
        <f>ABS(MATCH($AX84,'справочная информация'!$A$354:$A$391,0)-MATCH($AY84,'справочная информация'!$A$354:$A$391,0))</f>
        <v>#N/A</v>
      </c>
      <c r="AV84" s="3" t="str">
        <f>IFERROR(INDEX('справочная информация'!$B$6:$R$29,MATCH('Расчет грейда'!$Y84,'справочная информация'!$A$6:$A$29,0),MATCH('Расчет грейда'!$X84,'справочная информация'!$B$5:$R$5,0)),"")</f>
        <v/>
      </c>
      <c r="AW84" s="171" t="str">
        <f>IFERROR(INDEX('справочная информация'!$B$37:$H$52,MATCH('Расчет грейда'!$AA84,'справочная информация'!$A$37:$A$52,0),MATCH('Расчет грейда'!$N84,'справочная информация'!$B$36:$H$36,0)),"")</f>
        <v/>
      </c>
      <c r="AX84" s="122" t="str">
        <f>IFERROR(INDEX('справочная информация'!$D$108:$AD$123,MATCH('Расчет грейда'!$AW84,'справочная информация'!$C$108:$C$123,0),MATCH('Расчет грейда'!$AV84,'справочная информация'!$D$107:$AD$107,0)),"")</f>
        <v/>
      </c>
      <c r="AY84" s="133" t="str">
        <f>IFERROR(INDEX('справочная информация'!$B$158:$Y$181,MATCH('Расчет грейда'!$AE84,'справочная информация'!$A$158:$A$181,0),MATCH('Расчет грейда'!$AD84,'справочная информация'!$B$157:$Y$157,0)),"")</f>
        <v/>
      </c>
      <c r="AZ84" s="170" t="str">
        <f t="shared" si="44"/>
        <v/>
      </c>
      <c r="BA84" s="172" t="str">
        <f>IFERROR(CONCATENATE(TEXT(AZ84/INDEX('справочная информация'!$D$223:$D$261,MATCH('Расчет грейда'!$AZ84,'справочная информация'!$C$223:$C$261,1)),"0%")," - процент относительно медианы 100%. ","MIN балл на грейде ",INDEX('справочная информация'!$C$223:$C$261,MATCH('Расчет грейда'!$AZ84,'справочная информация'!$C$223:$C$261,1)),", "," MAX балл на грейде ",INDEX('справочная информация'!$E$223:$E$261,MATCH('Расчет грейда'!$AZ84,'справочная информация'!$C$223:$C$261,1))),"")</f>
        <v/>
      </c>
      <c r="BB84" s="120" t="str">
        <f t="shared" si="45"/>
        <v/>
      </c>
      <c r="BC84" s="3" t="str">
        <f t="shared" si="46"/>
        <v/>
      </c>
      <c r="BD84" s="121" t="str">
        <f>IFERROR(VLOOKUP(BC84,'справочная информация'!$B$416:$C$424,2,0),"Проверить данные, нетипичная должность")</f>
        <v>Проверить данные, нетипичная должность</v>
      </c>
      <c r="BE84" s="3" t="str">
        <f t="shared" si="47"/>
        <v/>
      </c>
      <c r="BF84" s="3" t="str">
        <f>IFERROR(INDEX('справочная информация'!$F$223:$F$261,MATCH('Расчет грейда'!$AZ84,'справочная информация'!$C$223:$C$261,1)),"")</f>
        <v/>
      </c>
    </row>
    <row r="85" spans="1:58" s="9" customFormat="1" x14ac:dyDescent="0.35">
      <c r="A85" s="120"/>
      <c r="B85" s="122"/>
      <c r="C85" s="140"/>
      <c r="D85" s="120"/>
      <c r="E85" s="120"/>
      <c r="F85" s="120"/>
      <c r="G85" s="120"/>
      <c r="H85" s="120"/>
      <c r="J85" s="142"/>
      <c r="K85" s="142"/>
      <c r="L85" s="142"/>
      <c r="R85" s="3"/>
      <c r="S85" s="138"/>
      <c r="T85" s="3"/>
      <c r="U85" s="3"/>
      <c r="V85" s="3"/>
      <c r="W85" s="3" t="str">
        <f t="shared" si="32"/>
        <v/>
      </c>
      <c r="X85" s="9" t="str">
        <f t="shared" si="33"/>
        <v/>
      </c>
      <c r="Y85" s="9" t="str">
        <f t="shared" si="34"/>
        <v/>
      </c>
      <c r="Z85" s="3" t="e">
        <f>INDEX('справочная информация'!$U$6:$AK$29,MATCH('Расчет грейда'!$Y85,'справочная информация'!$T$6:$T$29,0),MATCH('Расчет грейда'!$X85,'справочная информация'!$U$5:$AK$5,0))</f>
        <v>#N/A</v>
      </c>
      <c r="AA85" s="9" t="str">
        <f t="shared" si="35"/>
        <v/>
      </c>
      <c r="AB85" s="3" t="e">
        <f>INDEX('справочная информация'!$B$68:$H$83,MATCH('Расчет грейда'!$AA85,'справочная информация'!$A$68:$A$83,0),MATCH('Расчет грейда'!$N85,'справочная информация'!$B$67:$H$67,0))</f>
        <v>#N/A</v>
      </c>
      <c r="AC85" s="3" t="e">
        <f>INDEX('справочная информация'!$D$130:$AD$145,MATCH('Расчет грейда'!$AW85,'справочная информация'!$C$130:$C$145,0),MATCH('Расчет грейда'!$AV85,'справочная информация'!$D$129:$AD$129,0))</f>
        <v>#N/A</v>
      </c>
      <c r="AD85" s="9" t="str">
        <f t="shared" si="36"/>
        <v/>
      </c>
      <c r="AE85" s="9" t="str">
        <f t="shared" si="37"/>
        <v/>
      </c>
      <c r="AF85" s="3" t="str">
        <f>IFERROR(IF(AND(AD85="",AE85=""),"",INDEX('справочная информация'!$B$188:$Y$211,MATCH('Расчет грейда'!$AE85,'справочная информация'!$A$188:$A$211,0),MATCH('Расчет грейда'!$AD85,'справочная информация'!$B$187:$Y$187,0))),"НЕТ")</f>
        <v/>
      </c>
      <c r="AG85" s="3" t="e">
        <f>VLOOKUP(J85,'справочная информация'!$D$267:$E$274,2,0)</f>
        <v>#N/A</v>
      </c>
      <c r="AH85" s="3" t="e">
        <f>VLOOKUP(K85,'справочная информация'!$D$279:$E$283,2,0)</f>
        <v>#N/A</v>
      </c>
      <c r="AI85" s="3" t="e">
        <f>VLOOKUP(L85,'справочная информация'!$D$288:$E$290,2,0)</f>
        <v>#N/A</v>
      </c>
      <c r="AJ85" s="3" t="str">
        <f t="shared" si="38"/>
        <v/>
      </c>
      <c r="AK85" s="169" t="e">
        <f>VLOOKUP(M85,'справочная информация'!$D$294:$E$301,2,0)</f>
        <v>#N/A</v>
      </c>
      <c r="AL85" s="3" t="e">
        <f>VLOOKUP(N85,'справочная информация'!$D$306:$E$310,2,0)</f>
        <v>#N/A</v>
      </c>
      <c r="AM85" s="169" t="str">
        <f t="shared" si="39"/>
        <v>()</v>
      </c>
      <c r="AN85" s="3" t="str">
        <f t="shared" si="40"/>
        <v/>
      </c>
      <c r="AO85" s="3" t="e">
        <f>VLOOKUP(O85,'справочная информация'!$D$329:$E$336,2,0)</f>
        <v>#N/A</v>
      </c>
      <c r="AP85" s="3" t="e">
        <f>VLOOKUP(P85,'справочная информация'!$D$342:$E$349,2,0)</f>
        <v>#N/A</v>
      </c>
      <c r="AQ85" s="3" t="e">
        <f>VLOOKUP(Q85,'справочная информация'!$D$316:$E$325,2,0)</f>
        <v>#N/A</v>
      </c>
      <c r="AR85" s="3" t="str">
        <f t="shared" si="41"/>
        <v/>
      </c>
      <c r="AS85" s="170" t="str">
        <f t="shared" si="42"/>
        <v/>
      </c>
      <c r="AT85" s="3" t="str">
        <f t="shared" si="43"/>
        <v/>
      </c>
      <c r="AU85" s="3" t="e">
        <f>ABS(MATCH($AX85,'справочная информация'!$A$354:$A$391,0)-MATCH($AY85,'справочная информация'!$A$354:$A$391,0))</f>
        <v>#N/A</v>
      </c>
      <c r="AV85" s="3" t="str">
        <f>IFERROR(INDEX('справочная информация'!$B$6:$R$29,MATCH('Расчет грейда'!$Y85,'справочная информация'!$A$6:$A$29,0),MATCH('Расчет грейда'!$X85,'справочная информация'!$B$5:$R$5,0)),"")</f>
        <v/>
      </c>
      <c r="AW85" s="171" t="str">
        <f>IFERROR(INDEX('справочная информация'!$B$37:$H$52,MATCH('Расчет грейда'!$AA85,'справочная информация'!$A$37:$A$52,0),MATCH('Расчет грейда'!$N85,'справочная информация'!$B$36:$H$36,0)),"")</f>
        <v/>
      </c>
      <c r="AX85" s="122" t="str">
        <f>IFERROR(INDEX('справочная информация'!$D$108:$AD$123,MATCH('Расчет грейда'!$AW85,'справочная информация'!$C$108:$C$123,0),MATCH('Расчет грейда'!$AV85,'справочная информация'!$D$107:$AD$107,0)),"")</f>
        <v/>
      </c>
      <c r="AY85" s="133" t="str">
        <f>IFERROR(INDEX('справочная информация'!$B$158:$Y$181,MATCH('Расчет грейда'!$AE85,'справочная информация'!$A$158:$A$181,0),MATCH('Расчет грейда'!$AD85,'справочная информация'!$B$157:$Y$157,0)),"")</f>
        <v/>
      </c>
      <c r="AZ85" s="170" t="str">
        <f t="shared" si="44"/>
        <v/>
      </c>
      <c r="BA85" s="172" t="str">
        <f>IFERROR(CONCATENATE(TEXT(AZ85/INDEX('справочная информация'!$D$223:$D$261,MATCH('Расчет грейда'!$AZ85,'справочная информация'!$C$223:$C$261,1)),"0%")," - процент относительно медианы 100%. ","MIN балл на грейде ",INDEX('справочная информация'!$C$223:$C$261,MATCH('Расчет грейда'!$AZ85,'справочная информация'!$C$223:$C$261,1)),", "," MAX балл на грейде ",INDEX('справочная информация'!$E$223:$E$261,MATCH('Расчет грейда'!$AZ85,'справочная информация'!$C$223:$C$261,1))),"")</f>
        <v/>
      </c>
      <c r="BB85" s="120" t="str">
        <f t="shared" si="45"/>
        <v/>
      </c>
      <c r="BC85" s="3" t="str">
        <f t="shared" si="46"/>
        <v/>
      </c>
      <c r="BD85" s="121" t="str">
        <f>IFERROR(VLOOKUP(BC85,'справочная информация'!$B$416:$C$424,2,0),"Проверить данные, нетипичная должность")</f>
        <v>Проверить данные, нетипичная должность</v>
      </c>
      <c r="BE85" s="3" t="str">
        <f t="shared" si="47"/>
        <v/>
      </c>
      <c r="BF85" s="3" t="str">
        <f>IFERROR(INDEX('справочная информация'!$F$223:$F$261,MATCH('Расчет грейда'!$AZ85,'справочная информация'!$C$223:$C$261,1)),"")</f>
        <v/>
      </c>
    </row>
    <row r="86" spans="1:58" s="9" customFormat="1" x14ac:dyDescent="0.35">
      <c r="A86" s="120"/>
      <c r="B86" s="122"/>
      <c r="C86" s="140"/>
      <c r="D86" s="120"/>
      <c r="E86" s="120"/>
      <c r="F86" s="120"/>
      <c r="G86" s="120"/>
      <c r="H86" s="120"/>
      <c r="J86" s="142"/>
      <c r="K86" s="142"/>
      <c r="L86" s="142"/>
      <c r="R86" s="3"/>
      <c r="S86" s="138"/>
      <c r="T86" s="3"/>
      <c r="U86" s="3"/>
      <c r="V86" s="3"/>
      <c r="W86" s="3" t="str">
        <f t="shared" si="32"/>
        <v/>
      </c>
      <c r="X86" s="9" t="str">
        <f t="shared" si="33"/>
        <v/>
      </c>
      <c r="Y86" s="9" t="str">
        <f t="shared" si="34"/>
        <v/>
      </c>
      <c r="Z86" s="3" t="e">
        <f>INDEX('справочная информация'!$U$6:$AK$29,MATCH('Расчет грейда'!$Y86,'справочная информация'!$T$6:$T$29,0),MATCH('Расчет грейда'!$X86,'справочная информация'!$U$5:$AK$5,0))</f>
        <v>#N/A</v>
      </c>
      <c r="AA86" s="9" t="str">
        <f t="shared" si="35"/>
        <v/>
      </c>
      <c r="AB86" s="3" t="e">
        <f>INDEX('справочная информация'!$B$68:$H$83,MATCH('Расчет грейда'!$AA86,'справочная информация'!$A$68:$A$83,0),MATCH('Расчет грейда'!$N86,'справочная информация'!$B$67:$H$67,0))</f>
        <v>#N/A</v>
      </c>
      <c r="AC86" s="3" t="e">
        <f>INDEX('справочная информация'!$D$130:$AD$145,MATCH('Расчет грейда'!$AW86,'справочная информация'!$C$130:$C$145,0),MATCH('Расчет грейда'!$AV86,'справочная информация'!$D$129:$AD$129,0))</f>
        <v>#N/A</v>
      </c>
      <c r="AD86" s="9" t="str">
        <f t="shared" si="36"/>
        <v/>
      </c>
      <c r="AE86" s="9" t="str">
        <f t="shared" si="37"/>
        <v/>
      </c>
      <c r="AF86" s="3" t="str">
        <f>IFERROR(IF(AND(AD86="",AE86=""),"",INDEX('справочная информация'!$B$188:$Y$211,MATCH('Расчет грейда'!$AE86,'справочная информация'!$A$188:$A$211,0),MATCH('Расчет грейда'!$AD86,'справочная информация'!$B$187:$Y$187,0))),"НЕТ")</f>
        <v/>
      </c>
      <c r="AG86" s="3" t="e">
        <f>VLOOKUP(J86,'справочная информация'!$D$267:$E$274,2,0)</f>
        <v>#N/A</v>
      </c>
      <c r="AH86" s="3" t="e">
        <f>VLOOKUP(K86,'справочная информация'!$D$279:$E$283,2,0)</f>
        <v>#N/A</v>
      </c>
      <c r="AI86" s="3" t="e">
        <f>VLOOKUP(L86,'справочная информация'!$D$288:$E$290,2,0)</f>
        <v>#N/A</v>
      </c>
      <c r="AJ86" s="3" t="str">
        <f t="shared" si="38"/>
        <v/>
      </c>
      <c r="AK86" s="169" t="e">
        <f>VLOOKUP(M86,'справочная информация'!$D$294:$E$301,2,0)</f>
        <v>#N/A</v>
      </c>
      <c r="AL86" s="3" t="e">
        <f>VLOOKUP(N86,'справочная информация'!$D$306:$E$310,2,0)</f>
        <v>#N/A</v>
      </c>
      <c r="AM86" s="169" t="str">
        <f t="shared" si="39"/>
        <v>()</v>
      </c>
      <c r="AN86" s="3" t="str">
        <f t="shared" si="40"/>
        <v/>
      </c>
      <c r="AO86" s="3" t="e">
        <f>VLOOKUP(O86,'справочная информация'!$D$329:$E$336,2,0)</f>
        <v>#N/A</v>
      </c>
      <c r="AP86" s="3" t="e">
        <f>VLOOKUP(P86,'справочная информация'!$D$342:$E$349,2,0)</f>
        <v>#N/A</v>
      </c>
      <c r="AQ86" s="3" t="e">
        <f>VLOOKUP(Q86,'справочная информация'!$D$316:$E$325,2,0)</f>
        <v>#N/A</v>
      </c>
      <c r="AR86" s="3" t="str">
        <f t="shared" si="41"/>
        <v/>
      </c>
      <c r="AS86" s="170" t="str">
        <f t="shared" si="42"/>
        <v/>
      </c>
      <c r="AT86" s="3" t="str">
        <f t="shared" si="43"/>
        <v/>
      </c>
      <c r="AU86" s="3" t="e">
        <f>ABS(MATCH($AX86,'справочная информация'!$A$354:$A$391,0)-MATCH($AY86,'справочная информация'!$A$354:$A$391,0))</f>
        <v>#N/A</v>
      </c>
      <c r="AV86" s="3" t="str">
        <f>IFERROR(INDEX('справочная информация'!$B$6:$R$29,MATCH('Расчет грейда'!$Y86,'справочная информация'!$A$6:$A$29,0),MATCH('Расчет грейда'!$X86,'справочная информация'!$B$5:$R$5,0)),"")</f>
        <v/>
      </c>
      <c r="AW86" s="171" t="str">
        <f>IFERROR(INDEX('справочная информация'!$B$37:$H$52,MATCH('Расчет грейда'!$AA86,'справочная информация'!$A$37:$A$52,0),MATCH('Расчет грейда'!$N86,'справочная информация'!$B$36:$H$36,0)),"")</f>
        <v/>
      </c>
      <c r="AX86" s="122" t="str">
        <f>IFERROR(INDEX('справочная информация'!$D$108:$AD$123,MATCH('Расчет грейда'!$AW86,'справочная информация'!$C$108:$C$123,0),MATCH('Расчет грейда'!$AV86,'справочная информация'!$D$107:$AD$107,0)),"")</f>
        <v/>
      </c>
      <c r="AY86" s="133" t="str">
        <f>IFERROR(INDEX('справочная информация'!$B$158:$Y$181,MATCH('Расчет грейда'!$AE86,'справочная информация'!$A$158:$A$181,0),MATCH('Расчет грейда'!$AD86,'справочная информация'!$B$157:$Y$157,0)),"")</f>
        <v/>
      </c>
      <c r="AZ86" s="170" t="str">
        <f t="shared" si="44"/>
        <v/>
      </c>
      <c r="BA86" s="172" t="str">
        <f>IFERROR(CONCATENATE(TEXT(AZ86/INDEX('справочная информация'!$D$223:$D$261,MATCH('Расчет грейда'!$AZ86,'справочная информация'!$C$223:$C$261,1)),"0%")," - процент относительно медианы 100%. ","MIN балл на грейде ",INDEX('справочная информация'!$C$223:$C$261,MATCH('Расчет грейда'!$AZ86,'справочная информация'!$C$223:$C$261,1)),", "," MAX балл на грейде ",INDEX('справочная информация'!$E$223:$E$261,MATCH('Расчет грейда'!$AZ86,'справочная информация'!$C$223:$C$261,1))),"")</f>
        <v/>
      </c>
      <c r="BB86" s="120" t="str">
        <f t="shared" si="45"/>
        <v/>
      </c>
      <c r="BC86" s="3" t="str">
        <f t="shared" si="46"/>
        <v/>
      </c>
      <c r="BD86" s="121" t="str">
        <f>IFERROR(VLOOKUP(BC86,'справочная информация'!$B$416:$C$424,2,0),"Проверить данные, нетипичная должность")</f>
        <v>Проверить данные, нетипичная должность</v>
      </c>
      <c r="BE86" s="3" t="str">
        <f t="shared" si="47"/>
        <v/>
      </c>
      <c r="BF86" s="3" t="str">
        <f>IFERROR(INDEX('справочная информация'!$F$223:$F$261,MATCH('Расчет грейда'!$AZ86,'справочная информация'!$C$223:$C$261,1)),"")</f>
        <v/>
      </c>
    </row>
    <row r="87" spans="1:58" s="9" customFormat="1" x14ac:dyDescent="0.35">
      <c r="A87" s="120"/>
      <c r="B87" s="122"/>
      <c r="C87" s="140"/>
      <c r="D87" s="120"/>
      <c r="E87" s="120"/>
      <c r="F87" s="120"/>
      <c r="G87" s="120"/>
      <c r="H87" s="120"/>
      <c r="J87" s="142"/>
      <c r="K87" s="142"/>
      <c r="L87" s="142"/>
      <c r="R87" s="3"/>
      <c r="S87" s="138"/>
      <c r="T87" s="3"/>
      <c r="U87" s="3"/>
      <c r="V87" s="3"/>
      <c r="W87" s="3" t="str">
        <f t="shared" si="32"/>
        <v/>
      </c>
      <c r="X87" s="9" t="str">
        <f t="shared" si="33"/>
        <v/>
      </c>
      <c r="Y87" s="9" t="str">
        <f t="shared" si="34"/>
        <v/>
      </c>
      <c r="Z87" s="3" t="e">
        <f>INDEX('справочная информация'!$U$6:$AK$29,MATCH('Расчет грейда'!$Y87,'справочная информация'!$T$6:$T$29,0),MATCH('Расчет грейда'!$X87,'справочная информация'!$U$5:$AK$5,0))</f>
        <v>#N/A</v>
      </c>
      <c r="AA87" s="9" t="str">
        <f t="shared" si="35"/>
        <v/>
      </c>
      <c r="AB87" s="3" t="e">
        <f>INDEX('справочная информация'!$B$68:$H$83,MATCH('Расчет грейда'!$AA87,'справочная информация'!$A$68:$A$83,0),MATCH('Расчет грейда'!$N87,'справочная информация'!$B$67:$H$67,0))</f>
        <v>#N/A</v>
      </c>
      <c r="AC87" s="3" t="e">
        <f>INDEX('справочная информация'!$D$130:$AD$145,MATCH('Расчет грейда'!$AW87,'справочная информация'!$C$130:$C$145,0),MATCH('Расчет грейда'!$AV87,'справочная информация'!$D$129:$AD$129,0))</f>
        <v>#N/A</v>
      </c>
      <c r="AD87" s="9" t="str">
        <f t="shared" si="36"/>
        <v/>
      </c>
      <c r="AE87" s="9" t="str">
        <f t="shared" si="37"/>
        <v/>
      </c>
      <c r="AF87" s="3" t="str">
        <f>IFERROR(IF(AND(AD87="",AE87=""),"",INDEX('справочная информация'!$B$188:$Y$211,MATCH('Расчет грейда'!$AE87,'справочная информация'!$A$188:$A$211,0),MATCH('Расчет грейда'!$AD87,'справочная информация'!$B$187:$Y$187,0))),"НЕТ")</f>
        <v/>
      </c>
      <c r="AG87" s="3" t="e">
        <f>VLOOKUP(J87,'справочная информация'!$D$267:$E$274,2,0)</f>
        <v>#N/A</v>
      </c>
      <c r="AH87" s="3" t="e">
        <f>VLOOKUP(K87,'справочная информация'!$D$279:$E$283,2,0)</f>
        <v>#N/A</v>
      </c>
      <c r="AI87" s="3" t="e">
        <f>VLOOKUP(L87,'справочная информация'!$D$288:$E$290,2,0)</f>
        <v>#N/A</v>
      </c>
      <c r="AJ87" s="3" t="str">
        <f t="shared" si="38"/>
        <v/>
      </c>
      <c r="AK87" s="169" t="e">
        <f>VLOOKUP(M87,'справочная информация'!$D$294:$E$301,2,0)</f>
        <v>#N/A</v>
      </c>
      <c r="AL87" s="3" t="e">
        <f>VLOOKUP(N87,'справочная информация'!$D$306:$E$310,2,0)</f>
        <v>#N/A</v>
      </c>
      <c r="AM87" s="169" t="str">
        <f t="shared" si="39"/>
        <v>()</v>
      </c>
      <c r="AN87" s="3" t="str">
        <f t="shared" si="40"/>
        <v/>
      </c>
      <c r="AO87" s="3" t="e">
        <f>VLOOKUP(O87,'справочная информация'!$D$329:$E$336,2,0)</f>
        <v>#N/A</v>
      </c>
      <c r="AP87" s="3" t="e">
        <f>VLOOKUP(P87,'справочная информация'!$D$342:$E$349,2,0)</f>
        <v>#N/A</v>
      </c>
      <c r="AQ87" s="3" t="e">
        <f>VLOOKUP(Q87,'справочная информация'!$D$316:$E$325,2,0)</f>
        <v>#N/A</v>
      </c>
      <c r="AR87" s="3" t="str">
        <f t="shared" si="41"/>
        <v/>
      </c>
      <c r="AS87" s="170" t="str">
        <f t="shared" si="42"/>
        <v/>
      </c>
      <c r="AT87" s="3" t="str">
        <f t="shared" si="43"/>
        <v/>
      </c>
      <c r="AU87" s="3" t="e">
        <f>ABS(MATCH($AX87,'справочная информация'!$A$354:$A$391,0)-MATCH($AY87,'справочная информация'!$A$354:$A$391,0))</f>
        <v>#N/A</v>
      </c>
      <c r="AV87" s="3" t="str">
        <f>IFERROR(INDEX('справочная информация'!$B$6:$R$29,MATCH('Расчет грейда'!$Y87,'справочная информация'!$A$6:$A$29,0),MATCH('Расчет грейда'!$X87,'справочная информация'!$B$5:$R$5,0)),"")</f>
        <v/>
      </c>
      <c r="AW87" s="171" t="str">
        <f>IFERROR(INDEX('справочная информация'!$B$37:$H$52,MATCH('Расчет грейда'!$AA87,'справочная информация'!$A$37:$A$52,0),MATCH('Расчет грейда'!$N87,'справочная информация'!$B$36:$H$36,0)),"")</f>
        <v/>
      </c>
      <c r="AX87" s="122" t="str">
        <f>IFERROR(INDEX('справочная информация'!$D$108:$AD$123,MATCH('Расчет грейда'!$AW87,'справочная информация'!$C$108:$C$123,0),MATCH('Расчет грейда'!$AV87,'справочная информация'!$D$107:$AD$107,0)),"")</f>
        <v/>
      </c>
      <c r="AY87" s="133" t="str">
        <f>IFERROR(INDEX('справочная информация'!$B$158:$Y$181,MATCH('Расчет грейда'!$AE87,'справочная информация'!$A$158:$A$181,0),MATCH('Расчет грейда'!$AD87,'справочная информация'!$B$157:$Y$157,0)),"")</f>
        <v/>
      </c>
      <c r="AZ87" s="170" t="str">
        <f t="shared" si="44"/>
        <v/>
      </c>
      <c r="BA87" s="172" t="str">
        <f>IFERROR(CONCATENATE(TEXT(AZ87/INDEX('справочная информация'!$D$223:$D$261,MATCH('Расчет грейда'!$AZ87,'справочная информация'!$C$223:$C$261,1)),"0%")," - процент относительно медианы 100%. ","MIN балл на грейде ",INDEX('справочная информация'!$C$223:$C$261,MATCH('Расчет грейда'!$AZ87,'справочная информация'!$C$223:$C$261,1)),", "," MAX балл на грейде ",INDEX('справочная информация'!$E$223:$E$261,MATCH('Расчет грейда'!$AZ87,'справочная информация'!$C$223:$C$261,1))),"")</f>
        <v/>
      </c>
      <c r="BB87" s="120" t="str">
        <f t="shared" si="45"/>
        <v/>
      </c>
      <c r="BC87" s="3" t="str">
        <f t="shared" si="46"/>
        <v/>
      </c>
      <c r="BD87" s="121" t="str">
        <f>IFERROR(VLOOKUP(BC87,'справочная информация'!$B$416:$C$424,2,0),"Проверить данные, нетипичная должность")</f>
        <v>Проверить данные, нетипичная должность</v>
      </c>
      <c r="BE87" s="3" t="str">
        <f t="shared" si="47"/>
        <v/>
      </c>
      <c r="BF87" s="3" t="str">
        <f>IFERROR(INDEX('справочная информация'!$F$223:$F$261,MATCH('Расчет грейда'!$AZ87,'справочная информация'!$C$223:$C$261,1)),"")</f>
        <v/>
      </c>
    </row>
    <row r="88" spans="1:58" s="9" customFormat="1" x14ac:dyDescent="0.35">
      <c r="A88" s="120"/>
      <c r="B88" s="122"/>
      <c r="C88" s="140"/>
      <c r="D88" s="120"/>
      <c r="E88" s="120"/>
      <c r="F88" s="120"/>
      <c r="G88" s="120"/>
      <c r="H88" s="120"/>
      <c r="J88" s="142"/>
      <c r="K88" s="142"/>
      <c r="L88" s="142"/>
      <c r="R88" s="3"/>
      <c r="S88" s="138"/>
      <c r="T88" s="3"/>
      <c r="U88" s="3"/>
      <c r="V88" s="3"/>
      <c r="W88" s="3" t="str">
        <f t="shared" si="32"/>
        <v/>
      </c>
      <c r="X88" s="9" t="str">
        <f t="shared" si="33"/>
        <v/>
      </c>
      <c r="Y88" s="9" t="str">
        <f t="shared" si="34"/>
        <v/>
      </c>
      <c r="Z88" s="3" t="e">
        <f>INDEX('справочная информация'!$U$6:$AK$29,MATCH('Расчет грейда'!$Y88,'справочная информация'!$T$6:$T$29,0),MATCH('Расчет грейда'!$X88,'справочная информация'!$U$5:$AK$5,0))</f>
        <v>#N/A</v>
      </c>
      <c r="AA88" s="9" t="str">
        <f t="shared" si="35"/>
        <v/>
      </c>
      <c r="AB88" s="3" t="e">
        <f>INDEX('справочная информация'!$B$68:$H$83,MATCH('Расчет грейда'!$AA88,'справочная информация'!$A$68:$A$83,0),MATCH('Расчет грейда'!$N88,'справочная информация'!$B$67:$H$67,0))</f>
        <v>#N/A</v>
      </c>
      <c r="AC88" s="3" t="e">
        <f>INDEX('справочная информация'!$D$130:$AD$145,MATCH('Расчет грейда'!$AW88,'справочная информация'!$C$130:$C$145,0),MATCH('Расчет грейда'!$AV88,'справочная информация'!$D$129:$AD$129,0))</f>
        <v>#N/A</v>
      </c>
      <c r="AD88" s="9" t="str">
        <f t="shared" si="36"/>
        <v/>
      </c>
      <c r="AE88" s="9" t="str">
        <f t="shared" si="37"/>
        <v/>
      </c>
      <c r="AF88" s="3" t="str">
        <f>IFERROR(IF(AND(AD88="",AE88=""),"",INDEX('справочная информация'!$B$188:$Y$211,MATCH('Расчет грейда'!$AE88,'справочная информация'!$A$188:$A$211,0),MATCH('Расчет грейда'!$AD88,'справочная информация'!$B$187:$Y$187,0))),"НЕТ")</f>
        <v/>
      </c>
      <c r="AG88" s="3" t="e">
        <f>VLOOKUP(J88,'справочная информация'!$D$267:$E$274,2,0)</f>
        <v>#N/A</v>
      </c>
      <c r="AH88" s="3" t="e">
        <f>VLOOKUP(K88,'справочная информация'!$D$279:$E$283,2,0)</f>
        <v>#N/A</v>
      </c>
      <c r="AI88" s="3" t="e">
        <f>VLOOKUP(L88,'справочная информация'!$D$288:$E$290,2,0)</f>
        <v>#N/A</v>
      </c>
      <c r="AJ88" s="3" t="str">
        <f t="shared" si="38"/>
        <v/>
      </c>
      <c r="AK88" s="169" t="e">
        <f>VLOOKUP(M88,'справочная информация'!$D$294:$E$301,2,0)</f>
        <v>#N/A</v>
      </c>
      <c r="AL88" s="3" t="e">
        <f>VLOOKUP(N88,'справочная информация'!$D$306:$E$310,2,0)</f>
        <v>#N/A</v>
      </c>
      <c r="AM88" s="169" t="str">
        <f t="shared" si="39"/>
        <v>()</v>
      </c>
      <c r="AN88" s="3" t="str">
        <f t="shared" si="40"/>
        <v/>
      </c>
      <c r="AO88" s="3" t="e">
        <f>VLOOKUP(O88,'справочная информация'!$D$329:$E$336,2,0)</f>
        <v>#N/A</v>
      </c>
      <c r="AP88" s="3" t="e">
        <f>VLOOKUP(P88,'справочная информация'!$D$342:$E$349,2,0)</f>
        <v>#N/A</v>
      </c>
      <c r="AQ88" s="3" t="e">
        <f>VLOOKUP(Q88,'справочная информация'!$D$316:$E$325,2,0)</f>
        <v>#N/A</v>
      </c>
      <c r="AR88" s="3" t="str">
        <f t="shared" si="41"/>
        <v/>
      </c>
      <c r="AS88" s="170" t="str">
        <f t="shared" si="42"/>
        <v/>
      </c>
      <c r="AT88" s="3" t="str">
        <f t="shared" si="43"/>
        <v/>
      </c>
      <c r="AU88" s="3" t="e">
        <f>ABS(MATCH($AX88,'справочная информация'!$A$354:$A$391,0)-MATCH($AY88,'справочная информация'!$A$354:$A$391,0))</f>
        <v>#N/A</v>
      </c>
      <c r="AV88" s="3" t="str">
        <f>IFERROR(INDEX('справочная информация'!$B$6:$R$29,MATCH('Расчет грейда'!$Y88,'справочная информация'!$A$6:$A$29,0),MATCH('Расчет грейда'!$X88,'справочная информация'!$B$5:$R$5,0)),"")</f>
        <v/>
      </c>
      <c r="AW88" s="171" t="str">
        <f>IFERROR(INDEX('справочная информация'!$B$37:$H$52,MATCH('Расчет грейда'!$AA88,'справочная информация'!$A$37:$A$52,0),MATCH('Расчет грейда'!$N88,'справочная информация'!$B$36:$H$36,0)),"")</f>
        <v/>
      </c>
      <c r="AX88" s="122" t="str">
        <f>IFERROR(INDEX('справочная информация'!$D$108:$AD$123,MATCH('Расчет грейда'!$AW88,'справочная информация'!$C$108:$C$123,0),MATCH('Расчет грейда'!$AV88,'справочная информация'!$D$107:$AD$107,0)),"")</f>
        <v/>
      </c>
      <c r="AY88" s="133" t="str">
        <f>IFERROR(INDEX('справочная информация'!$B$158:$Y$181,MATCH('Расчет грейда'!$AE88,'справочная информация'!$A$158:$A$181,0),MATCH('Расчет грейда'!$AD88,'справочная информация'!$B$157:$Y$157,0)),"")</f>
        <v/>
      </c>
      <c r="AZ88" s="170" t="str">
        <f t="shared" si="44"/>
        <v/>
      </c>
      <c r="BA88" s="172" t="str">
        <f>IFERROR(CONCATENATE(TEXT(AZ88/INDEX('справочная информация'!$D$223:$D$261,MATCH('Расчет грейда'!$AZ88,'справочная информация'!$C$223:$C$261,1)),"0%")," - процент относительно медианы 100%. ","MIN балл на грейде ",INDEX('справочная информация'!$C$223:$C$261,MATCH('Расчет грейда'!$AZ88,'справочная информация'!$C$223:$C$261,1)),", "," MAX балл на грейде ",INDEX('справочная информация'!$E$223:$E$261,MATCH('Расчет грейда'!$AZ88,'справочная информация'!$C$223:$C$261,1))),"")</f>
        <v/>
      </c>
      <c r="BB88" s="120" t="str">
        <f t="shared" si="45"/>
        <v/>
      </c>
      <c r="BC88" s="3" t="str">
        <f t="shared" si="46"/>
        <v/>
      </c>
      <c r="BD88" s="121" t="str">
        <f>IFERROR(VLOOKUP(BC88,'справочная информация'!$B$416:$C$424,2,0),"Проверить данные, нетипичная должность")</f>
        <v>Проверить данные, нетипичная должность</v>
      </c>
      <c r="BE88" s="3" t="str">
        <f t="shared" si="47"/>
        <v/>
      </c>
      <c r="BF88" s="3" t="str">
        <f>IFERROR(INDEX('справочная информация'!$F$223:$F$261,MATCH('Расчет грейда'!$AZ88,'справочная информация'!$C$223:$C$261,1)),"")</f>
        <v/>
      </c>
    </row>
    <row r="89" spans="1:58" s="9" customFormat="1" x14ac:dyDescent="0.35">
      <c r="A89" s="120"/>
      <c r="B89" s="122"/>
      <c r="C89" s="140"/>
      <c r="D89" s="120"/>
      <c r="E89" s="120"/>
      <c r="F89" s="120"/>
      <c r="G89" s="120"/>
      <c r="H89" s="120"/>
      <c r="J89" s="142"/>
      <c r="K89" s="142"/>
      <c r="L89" s="142"/>
      <c r="R89" s="3"/>
      <c r="S89" s="138"/>
      <c r="T89" s="3"/>
      <c r="U89" s="3"/>
      <c r="V89" s="3"/>
      <c r="W89" s="3" t="str">
        <f t="shared" si="32"/>
        <v/>
      </c>
      <c r="X89" s="9" t="str">
        <f t="shared" si="33"/>
        <v/>
      </c>
      <c r="Y89" s="9" t="str">
        <f t="shared" si="34"/>
        <v/>
      </c>
      <c r="Z89" s="3" t="e">
        <f>INDEX('справочная информация'!$U$6:$AK$29,MATCH('Расчет грейда'!$Y89,'справочная информация'!$T$6:$T$29,0),MATCH('Расчет грейда'!$X89,'справочная информация'!$U$5:$AK$5,0))</f>
        <v>#N/A</v>
      </c>
      <c r="AA89" s="9" t="str">
        <f t="shared" si="35"/>
        <v/>
      </c>
      <c r="AB89" s="3" t="e">
        <f>INDEX('справочная информация'!$B$68:$H$83,MATCH('Расчет грейда'!$AA89,'справочная информация'!$A$68:$A$83,0),MATCH('Расчет грейда'!$N89,'справочная информация'!$B$67:$H$67,0))</f>
        <v>#N/A</v>
      </c>
      <c r="AC89" s="3" t="e">
        <f>INDEX('справочная информация'!$D$130:$AD$145,MATCH('Расчет грейда'!$AW89,'справочная информация'!$C$130:$C$145,0),MATCH('Расчет грейда'!$AV89,'справочная информация'!$D$129:$AD$129,0))</f>
        <v>#N/A</v>
      </c>
      <c r="AD89" s="9" t="str">
        <f t="shared" si="36"/>
        <v/>
      </c>
      <c r="AE89" s="9" t="str">
        <f t="shared" si="37"/>
        <v/>
      </c>
      <c r="AF89" s="3" t="str">
        <f>IFERROR(IF(AND(AD89="",AE89=""),"",INDEX('справочная информация'!$B$188:$Y$211,MATCH('Расчет грейда'!$AE89,'справочная информация'!$A$188:$A$211,0),MATCH('Расчет грейда'!$AD89,'справочная информация'!$B$187:$Y$187,0))),"НЕТ")</f>
        <v/>
      </c>
      <c r="AG89" s="3" t="e">
        <f>VLOOKUP(J89,'справочная информация'!$D$267:$E$274,2,0)</f>
        <v>#N/A</v>
      </c>
      <c r="AH89" s="3" t="e">
        <f>VLOOKUP(K89,'справочная информация'!$D$279:$E$283,2,0)</f>
        <v>#N/A</v>
      </c>
      <c r="AI89" s="3" t="e">
        <f>VLOOKUP(L89,'справочная информация'!$D$288:$E$290,2,0)</f>
        <v>#N/A</v>
      </c>
      <c r="AJ89" s="3" t="str">
        <f t="shared" si="38"/>
        <v/>
      </c>
      <c r="AK89" s="169" t="e">
        <f>VLOOKUP(M89,'справочная информация'!$D$294:$E$301,2,0)</f>
        <v>#N/A</v>
      </c>
      <c r="AL89" s="3" t="e">
        <f>VLOOKUP(N89,'справочная информация'!$D$306:$E$310,2,0)</f>
        <v>#N/A</v>
      </c>
      <c r="AM89" s="169" t="str">
        <f t="shared" si="39"/>
        <v>()</v>
      </c>
      <c r="AN89" s="3" t="str">
        <f t="shared" si="40"/>
        <v/>
      </c>
      <c r="AO89" s="3" t="e">
        <f>VLOOKUP(O89,'справочная информация'!$D$329:$E$336,2,0)</f>
        <v>#N/A</v>
      </c>
      <c r="AP89" s="3" t="e">
        <f>VLOOKUP(P89,'справочная информация'!$D$342:$E$349,2,0)</f>
        <v>#N/A</v>
      </c>
      <c r="AQ89" s="3" t="e">
        <f>VLOOKUP(Q89,'справочная информация'!$D$316:$E$325,2,0)</f>
        <v>#N/A</v>
      </c>
      <c r="AR89" s="3" t="str">
        <f t="shared" si="41"/>
        <v/>
      </c>
      <c r="AS89" s="170" t="str">
        <f t="shared" si="42"/>
        <v/>
      </c>
      <c r="AT89" s="3" t="str">
        <f t="shared" si="43"/>
        <v/>
      </c>
      <c r="AU89" s="3" t="e">
        <f>ABS(MATCH($AX89,'справочная информация'!$A$354:$A$391,0)-MATCH($AY89,'справочная информация'!$A$354:$A$391,0))</f>
        <v>#N/A</v>
      </c>
      <c r="AV89" s="3" t="str">
        <f>IFERROR(INDEX('справочная информация'!$B$6:$R$29,MATCH('Расчет грейда'!$Y89,'справочная информация'!$A$6:$A$29,0),MATCH('Расчет грейда'!$X89,'справочная информация'!$B$5:$R$5,0)),"")</f>
        <v/>
      </c>
      <c r="AW89" s="171" t="str">
        <f>IFERROR(INDEX('справочная информация'!$B$37:$H$52,MATCH('Расчет грейда'!$AA89,'справочная информация'!$A$37:$A$52,0),MATCH('Расчет грейда'!$N89,'справочная информация'!$B$36:$H$36,0)),"")</f>
        <v/>
      </c>
      <c r="AX89" s="122" t="str">
        <f>IFERROR(INDEX('справочная информация'!$D$108:$AD$123,MATCH('Расчет грейда'!$AW89,'справочная информация'!$C$108:$C$123,0),MATCH('Расчет грейда'!$AV89,'справочная информация'!$D$107:$AD$107,0)),"")</f>
        <v/>
      </c>
      <c r="AY89" s="133" t="str">
        <f>IFERROR(INDEX('справочная информация'!$B$158:$Y$181,MATCH('Расчет грейда'!$AE89,'справочная информация'!$A$158:$A$181,0),MATCH('Расчет грейда'!$AD89,'справочная информация'!$B$157:$Y$157,0)),"")</f>
        <v/>
      </c>
      <c r="AZ89" s="170" t="str">
        <f t="shared" si="44"/>
        <v/>
      </c>
      <c r="BA89" s="172" t="str">
        <f>IFERROR(CONCATENATE(TEXT(AZ89/INDEX('справочная информация'!$D$223:$D$261,MATCH('Расчет грейда'!$AZ89,'справочная информация'!$C$223:$C$261,1)),"0%")," - процент относительно медианы 100%. ","MIN балл на грейде ",INDEX('справочная информация'!$C$223:$C$261,MATCH('Расчет грейда'!$AZ89,'справочная информация'!$C$223:$C$261,1)),", "," MAX балл на грейде ",INDEX('справочная информация'!$E$223:$E$261,MATCH('Расчет грейда'!$AZ89,'справочная информация'!$C$223:$C$261,1))),"")</f>
        <v/>
      </c>
      <c r="BB89" s="120" t="str">
        <f t="shared" si="45"/>
        <v/>
      </c>
      <c r="BC89" s="3" t="str">
        <f t="shared" si="46"/>
        <v/>
      </c>
      <c r="BD89" s="121" t="str">
        <f>IFERROR(VLOOKUP(BC89,'справочная информация'!$B$416:$C$424,2,0),"Проверить данные, нетипичная должность")</f>
        <v>Проверить данные, нетипичная должность</v>
      </c>
      <c r="BE89" s="3" t="str">
        <f t="shared" si="47"/>
        <v/>
      </c>
      <c r="BF89" s="3" t="str">
        <f>IFERROR(INDEX('справочная информация'!$F$223:$F$261,MATCH('Расчет грейда'!$AZ89,'справочная информация'!$C$223:$C$261,1)),"")</f>
        <v/>
      </c>
    </row>
    <row r="90" spans="1:58" s="9" customFormat="1" x14ac:dyDescent="0.35">
      <c r="A90" s="120"/>
      <c r="B90" s="122"/>
      <c r="C90" s="140"/>
      <c r="D90" s="120"/>
      <c r="E90" s="120"/>
      <c r="F90" s="120"/>
      <c r="G90" s="120"/>
      <c r="H90" s="120"/>
      <c r="J90" s="142"/>
      <c r="K90" s="142"/>
      <c r="L90" s="142"/>
      <c r="R90" s="3"/>
      <c r="S90" s="138"/>
      <c r="T90" s="3"/>
      <c r="U90" s="3"/>
      <c r="V90" s="3"/>
      <c r="W90" s="3" t="str">
        <f t="shared" si="32"/>
        <v/>
      </c>
      <c r="X90" s="9" t="str">
        <f t="shared" si="33"/>
        <v/>
      </c>
      <c r="Y90" s="9" t="str">
        <f t="shared" si="34"/>
        <v/>
      </c>
      <c r="Z90" s="3" t="e">
        <f>INDEX('справочная информация'!$U$6:$AK$29,MATCH('Расчет грейда'!$Y90,'справочная информация'!$T$6:$T$29,0),MATCH('Расчет грейда'!$X90,'справочная информация'!$U$5:$AK$5,0))</f>
        <v>#N/A</v>
      </c>
      <c r="AA90" s="9" t="str">
        <f t="shared" si="35"/>
        <v/>
      </c>
      <c r="AB90" s="3" t="e">
        <f>INDEX('справочная информация'!$B$68:$H$83,MATCH('Расчет грейда'!$AA90,'справочная информация'!$A$68:$A$83,0),MATCH('Расчет грейда'!$N90,'справочная информация'!$B$67:$H$67,0))</f>
        <v>#N/A</v>
      </c>
      <c r="AC90" s="3" t="e">
        <f>INDEX('справочная информация'!$D$130:$AD$145,MATCH('Расчет грейда'!$AW90,'справочная информация'!$C$130:$C$145,0),MATCH('Расчет грейда'!$AV90,'справочная информация'!$D$129:$AD$129,0))</f>
        <v>#N/A</v>
      </c>
      <c r="AD90" s="9" t="str">
        <f t="shared" si="36"/>
        <v/>
      </c>
      <c r="AE90" s="9" t="str">
        <f t="shared" si="37"/>
        <v/>
      </c>
      <c r="AF90" s="3" t="str">
        <f>IFERROR(IF(AND(AD90="",AE90=""),"",INDEX('справочная информация'!$B$188:$Y$211,MATCH('Расчет грейда'!$AE90,'справочная информация'!$A$188:$A$211,0),MATCH('Расчет грейда'!$AD90,'справочная информация'!$B$187:$Y$187,0))),"НЕТ")</f>
        <v/>
      </c>
      <c r="AG90" s="3" t="e">
        <f>VLOOKUP(J90,'справочная информация'!$D$267:$E$274,2,0)</f>
        <v>#N/A</v>
      </c>
      <c r="AH90" s="3" t="e">
        <f>VLOOKUP(K90,'справочная информация'!$D$279:$E$283,2,0)</f>
        <v>#N/A</v>
      </c>
      <c r="AI90" s="3" t="e">
        <f>VLOOKUP(L90,'справочная информация'!$D$288:$E$290,2,0)</f>
        <v>#N/A</v>
      </c>
      <c r="AJ90" s="3" t="str">
        <f t="shared" si="38"/>
        <v/>
      </c>
      <c r="AK90" s="169" t="e">
        <f>VLOOKUP(M90,'справочная информация'!$D$294:$E$301,2,0)</f>
        <v>#N/A</v>
      </c>
      <c r="AL90" s="3" t="e">
        <f>VLOOKUP(N90,'справочная информация'!$D$306:$E$310,2,0)</f>
        <v>#N/A</v>
      </c>
      <c r="AM90" s="169" t="str">
        <f t="shared" si="39"/>
        <v>()</v>
      </c>
      <c r="AN90" s="3" t="str">
        <f t="shared" si="40"/>
        <v/>
      </c>
      <c r="AO90" s="3" t="e">
        <f>VLOOKUP(O90,'справочная информация'!$D$329:$E$336,2,0)</f>
        <v>#N/A</v>
      </c>
      <c r="AP90" s="3" t="e">
        <f>VLOOKUP(P90,'справочная информация'!$D$342:$E$349,2,0)</f>
        <v>#N/A</v>
      </c>
      <c r="AQ90" s="3" t="e">
        <f>VLOOKUP(Q90,'справочная информация'!$D$316:$E$325,2,0)</f>
        <v>#N/A</v>
      </c>
      <c r="AR90" s="3" t="str">
        <f t="shared" si="41"/>
        <v/>
      </c>
      <c r="AS90" s="170" t="str">
        <f t="shared" si="42"/>
        <v/>
      </c>
      <c r="AT90" s="3" t="str">
        <f t="shared" si="43"/>
        <v/>
      </c>
      <c r="AU90" s="3" t="e">
        <f>ABS(MATCH($AX90,'справочная информация'!$A$354:$A$391,0)-MATCH($AY90,'справочная информация'!$A$354:$A$391,0))</f>
        <v>#N/A</v>
      </c>
      <c r="AV90" s="3" t="str">
        <f>IFERROR(INDEX('справочная информация'!$B$6:$R$29,MATCH('Расчет грейда'!$Y90,'справочная информация'!$A$6:$A$29,0),MATCH('Расчет грейда'!$X90,'справочная информация'!$B$5:$R$5,0)),"")</f>
        <v/>
      </c>
      <c r="AW90" s="171" t="str">
        <f>IFERROR(INDEX('справочная информация'!$B$37:$H$52,MATCH('Расчет грейда'!$AA90,'справочная информация'!$A$37:$A$52,0),MATCH('Расчет грейда'!$N90,'справочная информация'!$B$36:$H$36,0)),"")</f>
        <v/>
      </c>
      <c r="AX90" s="122" t="str">
        <f>IFERROR(INDEX('справочная информация'!$D$108:$AD$123,MATCH('Расчет грейда'!$AW90,'справочная информация'!$C$108:$C$123,0),MATCH('Расчет грейда'!$AV90,'справочная информация'!$D$107:$AD$107,0)),"")</f>
        <v/>
      </c>
      <c r="AY90" s="133" t="str">
        <f>IFERROR(INDEX('справочная информация'!$B$158:$Y$181,MATCH('Расчет грейда'!$AE90,'справочная информация'!$A$158:$A$181,0),MATCH('Расчет грейда'!$AD90,'справочная информация'!$B$157:$Y$157,0)),"")</f>
        <v/>
      </c>
      <c r="AZ90" s="170" t="str">
        <f t="shared" si="44"/>
        <v/>
      </c>
      <c r="BA90" s="172" t="str">
        <f>IFERROR(CONCATENATE(TEXT(AZ90/INDEX('справочная информация'!$D$223:$D$261,MATCH('Расчет грейда'!$AZ90,'справочная информация'!$C$223:$C$261,1)),"0%")," - процент относительно медианы 100%. ","MIN балл на грейде ",INDEX('справочная информация'!$C$223:$C$261,MATCH('Расчет грейда'!$AZ90,'справочная информация'!$C$223:$C$261,1)),", "," MAX балл на грейде ",INDEX('справочная информация'!$E$223:$E$261,MATCH('Расчет грейда'!$AZ90,'справочная информация'!$C$223:$C$261,1))),"")</f>
        <v/>
      </c>
      <c r="BB90" s="120" t="str">
        <f t="shared" si="45"/>
        <v/>
      </c>
      <c r="BC90" s="3" t="str">
        <f t="shared" si="46"/>
        <v/>
      </c>
      <c r="BD90" s="121" t="str">
        <f>IFERROR(VLOOKUP(BC90,'справочная информация'!$B$416:$C$424,2,0),"Проверить данные, нетипичная должность")</f>
        <v>Проверить данные, нетипичная должность</v>
      </c>
      <c r="BE90" s="3" t="str">
        <f t="shared" si="47"/>
        <v/>
      </c>
      <c r="BF90" s="3" t="str">
        <f>IFERROR(INDEX('справочная информация'!$F$223:$F$261,MATCH('Расчет грейда'!$AZ90,'справочная информация'!$C$223:$C$261,1)),"")</f>
        <v/>
      </c>
    </row>
    <row r="91" spans="1:58" s="9" customFormat="1" x14ac:dyDescent="0.35">
      <c r="A91" s="120"/>
      <c r="B91" s="122"/>
      <c r="C91" s="140"/>
      <c r="D91" s="120"/>
      <c r="E91" s="120"/>
      <c r="F91" s="120"/>
      <c r="G91" s="120"/>
      <c r="H91" s="120"/>
      <c r="J91" s="142"/>
      <c r="K91" s="142"/>
      <c r="L91" s="142"/>
      <c r="R91" s="3"/>
      <c r="S91" s="138"/>
      <c r="T91" s="3"/>
      <c r="U91" s="3"/>
      <c r="V91" s="3"/>
      <c r="W91" s="3" t="str">
        <f t="shared" si="32"/>
        <v/>
      </c>
      <c r="X91" s="9" t="str">
        <f t="shared" si="33"/>
        <v/>
      </c>
      <c r="Y91" s="9" t="str">
        <f t="shared" si="34"/>
        <v/>
      </c>
      <c r="Z91" s="3" t="e">
        <f>INDEX('справочная информация'!$U$6:$AK$29,MATCH('Расчет грейда'!$Y91,'справочная информация'!$T$6:$T$29,0),MATCH('Расчет грейда'!$X91,'справочная информация'!$U$5:$AK$5,0))</f>
        <v>#N/A</v>
      </c>
      <c r="AA91" s="9" t="str">
        <f t="shared" si="35"/>
        <v/>
      </c>
      <c r="AB91" s="3" t="e">
        <f>INDEX('справочная информация'!$B$68:$H$83,MATCH('Расчет грейда'!$AA91,'справочная информация'!$A$68:$A$83,0),MATCH('Расчет грейда'!$N91,'справочная информация'!$B$67:$H$67,0))</f>
        <v>#N/A</v>
      </c>
      <c r="AC91" s="3" t="e">
        <f>INDEX('справочная информация'!$D$130:$AD$145,MATCH('Расчет грейда'!$AW91,'справочная информация'!$C$130:$C$145,0),MATCH('Расчет грейда'!$AV91,'справочная информация'!$D$129:$AD$129,0))</f>
        <v>#N/A</v>
      </c>
      <c r="AD91" s="9" t="str">
        <f t="shared" si="36"/>
        <v/>
      </c>
      <c r="AE91" s="9" t="str">
        <f t="shared" si="37"/>
        <v/>
      </c>
      <c r="AF91" s="3" t="str">
        <f>IFERROR(IF(AND(AD91="",AE91=""),"",INDEX('справочная информация'!$B$188:$Y$211,MATCH('Расчет грейда'!$AE91,'справочная информация'!$A$188:$A$211,0),MATCH('Расчет грейда'!$AD91,'справочная информация'!$B$187:$Y$187,0))),"НЕТ")</f>
        <v/>
      </c>
      <c r="AG91" s="3" t="e">
        <f>VLOOKUP(J91,'справочная информация'!$D$267:$E$274,2,0)</f>
        <v>#N/A</v>
      </c>
      <c r="AH91" s="3" t="e">
        <f>VLOOKUP(K91,'справочная информация'!$D$279:$E$283,2,0)</f>
        <v>#N/A</v>
      </c>
      <c r="AI91" s="3" t="e">
        <f>VLOOKUP(L91,'справочная информация'!$D$288:$E$290,2,0)</f>
        <v>#N/A</v>
      </c>
      <c r="AJ91" s="3" t="str">
        <f t="shared" si="38"/>
        <v/>
      </c>
      <c r="AK91" s="169" t="e">
        <f>VLOOKUP(M91,'справочная информация'!$D$294:$E$301,2,0)</f>
        <v>#N/A</v>
      </c>
      <c r="AL91" s="3" t="e">
        <f>VLOOKUP(N91,'справочная информация'!$D$306:$E$310,2,0)</f>
        <v>#N/A</v>
      </c>
      <c r="AM91" s="169" t="str">
        <f t="shared" si="39"/>
        <v>()</v>
      </c>
      <c r="AN91" s="3" t="str">
        <f t="shared" si="40"/>
        <v/>
      </c>
      <c r="AO91" s="3" t="e">
        <f>VLOOKUP(O91,'справочная информация'!$D$329:$E$336,2,0)</f>
        <v>#N/A</v>
      </c>
      <c r="AP91" s="3" t="e">
        <f>VLOOKUP(P91,'справочная информация'!$D$342:$E$349,2,0)</f>
        <v>#N/A</v>
      </c>
      <c r="AQ91" s="3" t="e">
        <f>VLOOKUP(Q91,'справочная информация'!$D$316:$E$325,2,0)</f>
        <v>#N/A</v>
      </c>
      <c r="AR91" s="3" t="str">
        <f t="shared" si="41"/>
        <v/>
      </c>
      <c r="AS91" s="170" t="str">
        <f t="shared" si="42"/>
        <v/>
      </c>
      <c r="AT91" s="3" t="str">
        <f t="shared" si="43"/>
        <v/>
      </c>
      <c r="AU91" s="3" t="e">
        <f>ABS(MATCH($AX91,'справочная информация'!$A$354:$A$391,0)-MATCH($AY91,'справочная информация'!$A$354:$A$391,0))</f>
        <v>#N/A</v>
      </c>
      <c r="AV91" s="3" t="str">
        <f>IFERROR(INDEX('справочная информация'!$B$6:$R$29,MATCH('Расчет грейда'!$Y91,'справочная информация'!$A$6:$A$29,0),MATCH('Расчет грейда'!$X91,'справочная информация'!$B$5:$R$5,0)),"")</f>
        <v/>
      </c>
      <c r="AW91" s="171" t="str">
        <f>IFERROR(INDEX('справочная информация'!$B$37:$H$52,MATCH('Расчет грейда'!$AA91,'справочная информация'!$A$37:$A$52,0),MATCH('Расчет грейда'!$N91,'справочная информация'!$B$36:$H$36,0)),"")</f>
        <v/>
      </c>
      <c r="AX91" s="122" t="str">
        <f>IFERROR(INDEX('справочная информация'!$D$108:$AD$123,MATCH('Расчет грейда'!$AW91,'справочная информация'!$C$108:$C$123,0),MATCH('Расчет грейда'!$AV91,'справочная информация'!$D$107:$AD$107,0)),"")</f>
        <v/>
      </c>
      <c r="AY91" s="133" t="str">
        <f>IFERROR(INDEX('справочная информация'!$B$158:$Y$181,MATCH('Расчет грейда'!$AE91,'справочная информация'!$A$158:$A$181,0),MATCH('Расчет грейда'!$AD91,'справочная информация'!$B$157:$Y$157,0)),"")</f>
        <v/>
      </c>
      <c r="AZ91" s="170" t="str">
        <f t="shared" si="44"/>
        <v/>
      </c>
      <c r="BA91" s="172" t="str">
        <f>IFERROR(CONCATENATE(TEXT(AZ91/INDEX('справочная информация'!$D$223:$D$261,MATCH('Расчет грейда'!$AZ91,'справочная информация'!$C$223:$C$261,1)),"0%")," - процент относительно медианы 100%. ","MIN балл на грейде ",INDEX('справочная информация'!$C$223:$C$261,MATCH('Расчет грейда'!$AZ91,'справочная информация'!$C$223:$C$261,1)),", "," MAX балл на грейде ",INDEX('справочная информация'!$E$223:$E$261,MATCH('Расчет грейда'!$AZ91,'справочная информация'!$C$223:$C$261,1))),"")</f>
        <v/>
      </c>
      <c r="BB91" s="120" t="str">
        <f t="shared" si="45"/>
        <v/>
      </c>
      <c r="BC91" s="3" t="str">
        <f t="shared" si="46"/>
        <v/>
      </c>
      <c r="BD91" s="121" t="str">
        <f>IFERROR(VLOOKUP(BC91,'справочная информация'!$B$416:$C$424,2,0),"Проверить данные, нетипичная должность")</f>
        <v>Проверить данные, нетипичная должность</v>
      </c>
      <c r="BE91" s="3" t="str">
        <f t="shared" si="47"/>
        <v/>
      </c>
      <c r="BF91" s="3" t="str">
        <f>IFERROR(INDEX('справочная информация'!$F$223:$F$261,MATCH('Расчет грейда'!$AZ91,'справочная информация'!$C$223:$C$261,1)),"")</f>
        <v/>
      </c>
    </row>
    <row r="92" spans="1:58" s="9" customFormat="1" x14ac:dyDescent="0.35">
      <c r="A92" s="120"/>
      <c r="B92" s="122"/>
      <c r="C92" s="140"/>
      <c r="D92" s="120"/>
      <c r="E92" s="120"/>
      <c r="F92" s="120"/>
      <c r="G92" s="120"/>
      <c r="H92" s="120"/>
      <c r="J92" s="142"/>
      <c r="K92" s="142"/>
      <c r="L92" s="142"/>
      <c r="R92" s="3"/>
      <c r="S92" s="138"/>
      <c r="T92" s="3"/>
      <c r="U92" s="3"/>
      <c r="V92" s="3"/>
      <c r="W92" s="3" t="str">
        <f t="shared" si="32"/>
        <v/>
      </c>
      <c r="X92" s="9" t="str">
        <f t="shared" si="33"/>
        <v/>
      </c>
      <c r="Y92" s="9" t="str">
        <f t="shared" si="34"/>
        <v/>
      </c>
      <c r="Z92" s="3" t="e">
        <f>INDEX('справочная информация'!$U$6:$AK$29,MATCH('Расчет грейда'!$Y92,'справочная информация'!$T$6:$T$29,0),MATCH('Расчет грейда'!$X92,'справочная информация'!$U$5:$AK$5,0))</f>
        <v>#N/A</v>
      </c>
      <c r="AA92" s="9" t="str">
        <f t="shared" si="35"/>
        <v/>
      </c>
      <c r="AB92" s="3" t="e">
        <f>INDEX('справочная информация'!$B$68:$H$83,MATCH('Расчет грейда'!$AA92,'справочная информация'!$A$68:$A$83,0),MATCH('Расчет грейда'!$N92,'справочная информация'!$B$67:$H$67,0))</f>
        <v>#N/A</v>
      </c>
      <c r="AC92" s="3" t="e">
        <f>INDEX('справочная информация'!$D$130:$AD$145,MATCH('Расчет грейда'!$AW92,'справочная информация'!$C$130:$C$145,0),MATCH('Расчет грейда'!$AV92,'справочная информация'!$D$129:$AD$129,0))</f>
        <v>#N/A</v>
      </c>
      <c r="AD92" s="9" t="str">
        <f t="shared" si="36"/>
        <v/>
      </c>
      <c r="AE92" s="9" t="str">
        <f t="shared" si="37"/>
        <v/>
      </c>
      <c r="AF92" s="3" t="str">
        <f>IFERROR(IF(AND(AD92="",AE92=""),"",INDEX('справочная информация'!$B$188:$Y$211,MATCH('Расчет грейда'!$AE92,'справочная информация'!$A$188:$A$211,0),MATCH('Расчет грейда'!$AD92,'справочная информация'!$B$187:$Y$187,0))),"НЕТ")</f>
        <v/>
      </c>
      <c r="AG92" s="3" t="e">
        <f>VLOOKUP(J92,'справочная информация'!$D$267:$E$274,2,0)</f>
        <v>#N/A</v>
      </c>
      <c r="AH92" s="3" t="e">
        <f>VLOOKUP(K92,'справочная информация'!$D$279:$E$283,2,0)</f>
        <v>#N/A</v>
      </c>
      <c r="AI92" s="3" t="e">
        <f>VLOOKUP(L92,'справочная информация'!$D$288:$E$290,2,0)</f>
        <v>#N/A</v>
      </c>
      <c r="AJ92" s="3" t="str">
        <f t="shared" si="38"/>
        <v/>
      </c>
      <c r="AK92" s="169" t="e">
        <f>VLOOKUP(M92,'справочная информация'!$D$294:$E$301,2,0)</f>
        <v>#N/A</v>
      </c>
      <c r="AL92" s="3" t="e">
        <f>VLOOKUP(N92,'справочная информация'!$D$306:$E$310,2,0)</f>
        <v>#N/A</v>
      </c>
      <c r="AM92" s="169" t="str">
        <f t="shared" si="39"/>
        <v>()</v>
      </c>
      <c r="AN92" s="3" t="str">
        <f t="shared" si="40"/>
        <v/>
      </c>
      <c r="AO92" s="3" t="e">
        <f>VLOOKUP(O92,'справочная информация'!$D$329:$E$336,2,0)</f>
        <v>#N/A</v>
      </c>
      <c r="AP92" s="3" t="e">
        <f>VLOOKUP(P92,'справочная информация'!$D$342:$E$349,2,0)</f>
        <v>#N/A</v>
      </c>
      <c r="AQ92" s="3" t="e">
        <f>VLOOKUP(Q92,'справочная информация'!$D$316:$E$325,2,0)</f>
        <v>#N/A</v>
      </c>
      <c r="AR92" s="3" t="str">
        <f t="shared" si="41"/>
        <v/>
      </c>
      <c r="AS92" s="170" t="str">
        <f t="shared" si="42"/>
        <v/>
      </c>
      <c r="AT92" s="3" t="str">
        <f t="shared" si="43"/>
        <v/>
      </c>
      <c r="AU92" s="3" t="e">
        <f>ABS(MATCH($AX92,'справочная информация'!$A$354:$A$391,0)-MATCH($AY92,'справочная информация'!$A$354:$A$391,0))</f>
        <v>#N/A</v>
      </c>
      <c r="AV92" s="3" t="str">
        <f>IFERROR(INDEX('справочная информация'!$B$6:$R$29,MATCH('Расчет грейда'!$Y92,'справочная информация'!$A$6:$A$29,0),MATCH('Расчет грейда'!$X92,'справочная информация'!$B$5:$R$5,0)),"")</f>
        <v/>
      </c>
      <c r="AW92" s="171" t="str">
        <f>IFERROR(INDEX('справочная информация'!$B$37:$H$52,MATCH('Расчет грейда'!$AA92,'справочная информация'!$A$37:$A$52,0),MATCH('Расчет грейда'!$N92,'справочная информация'!$B$36:$H$36,0)),"")</f>
        <v/>
      </c>
      <c r="AX92" s="122" t="str">
        <f>IFERROR(INDEX('справочная информация'!$D$108:$AD$123,MATCH('Расчет грейда'!$AW92,'справочная информация'!$C$108:$C$123,0),MATCH('Расчет грейда'!$AV92,'справочная информация'!$D$107:$AD$107,0)),"")</f>
        <v/>
      </c>
      <c r="AY92" s="133" t="str">
        <f>IFERROR(INDEX('справочная информация'!$B$158:$Y$181,MATCH('Расчет грейда'!$AE92,'справочная информация'!$A$158:$A$181,0),MATCH('Расчет грейда'!$AD92,'справочная информация'!$B$157:$Y$157,0)),"")</f>
        <v/>
      </c>
      <c r="AZ92" s="170" t="str">
        <f t="shared" si="44"/>
        <v/>
      </c>
      <c r="BA92" s="172" t="str">
        <f>IFERROR(CONCATENATE(TEXT(AZ92/INDEX('справочная информация'!$D$223:$D$261,MATCH('Расчет грейда'!$AZ92,'справочная информация'!$C$223:$C$261,1)),"0%")," - процент относительно медианы 100%. ","MIN балл на грейде ",INDEX('справочная информация'!$C$223:$C$261,MATCH('Расчет грейда'!$AZ92,'справочная информация'!$C$223:$C$261,1)),", "," MAX балл на грейде ",INDEX('справочная информация'!$E$223:$E$261,MATCH('Расчет грейда'!$AZ92,'справочная информация'!$C$223:$C$261,1))),"")</f>
        <v/>
      </c>
      <c r="BB92" s="120" t="str">
        <f t="shared" si="45"/>
        <v/>
      </c>
      <c r="BC92" s="3" t="str">
        <f t="shared" si="46"/>
        <v/>
      </c>
      <c r="BD92" s="121" t="str">
        <f>IFERROR(VLOOKUP(BC92,'справочная информация'!$B$416:$C$424,2,0),"Проверить данные, нетипичная должность")</f>
        <v>Проверить данные, нетипичная должность</v>
      </c>
      <c r="BE92" s="3" t="str">
        <f t="shared" si="47"/>
        <v/>
      </c>
      <c r="BF92" s="3" t="str">
        <f>IFERROR(INDEX('справочная информация'!$F$223:$F$261,MATCH('Расчет грейда'!$AZ92,'справочная информация'!$C$223:$C$261,1)),"")</f>
        <v/>
      </c>
    </row>
    <row r="93" spans="1:58" s="9" customFormat="1" x14ac:dyDescent="0.35">
      <c r="A93" s="120"/>
      <c r="B93" s="122"/>
      <c r="C93" s="140"/>
      <c r="D93" s="120"/>
      <c r="E93" s="120"/>
      <c r="F93" s="120"/>
      <c r="G93" s="120"/>
      <c r="H93" s="120"/>
      <c r="J93" s="142"/>
      <c r="K93" s="142"/>
      <c r="L93" s="142"/>
      <c r="R93" s="3"/>
      <c r="S93" s="138"/>
      <c r="T93" s="3"/>
      <c r="U93" s="3"/>
      <c r="V93" s="3"/>
      <c r="W93" s="3" t="str">
        <f t="shared" si="32"/>
        <v/>
      </c>
      <c r="X93" s="9" t="str">
        <f t="shared" si="33"/>
        <v/>
      </c>
      <c r="Y93" s="9" t="str">
        <f t="shared" si="34"/>
        <v/>
      </c>
      <c r="Z93" s="3" t="e">
        <f>INDEX('справочная информация'!$U$6:$AK$29,MATCH('Расчет грейда'!$Y93,'справочная информация'!$T$6:$T$29,0),MATCH('Расчет грейда'!$X93,'справочная информация'!$U$5:$AK$5,0))</f>
        <v>#N/A</v>
      </c>
      <c r="AA93" s="9" t="str">
        <f t="shared" si="35"/>
        <v/>
      </c>
      <c r="AB93" s="3" t="e">
        <f>INDEX('справочная информация'!$B$68:$H$83,MATCH('Расчет грейда'!$AA93,'справочная информация'!$A$68:$A$83,0),MATCH('Расчет грейда'!$N93,'справочная информация'!$B$67:$H$67,0))</f>
        <v>#N/A</v>
      </c>
      <c r="AC93" s="3" t="e">
        <f>INDEX('справочная информация'!$D$130:$AD$145,MATCH('Расчет грейда'!$AW93,'справочная информация'!$C$130:$C$145,0),MATCH('Расчет грейда'!$AV93,'справочная информация'!$D$129:$AD$129,0))</f>
        <v>#N/A</v>
      </c>
      <c r="AD93" s="9" t="str">
        <f t="shared" si="36"/>
        <v/>
      </c>
      <c r="AE93" s="9" t="str">
        <f t="shared" si="37"/>
        <v/>
      </c>
      <c r="AF93" s="3" t="str">
        <f>IFERROR(IF(AND(AD93="",AE93=""),"",INDEX('справочная информация'!$B$188:$Y$211,MATCH('Расчет грейда'!$AE93,'справочная информация'!$A$188:$A$211,0),MATCH('Расчет грейда'!$AD93,'справочная информация'!$B$187:$Y$187,0))),"НЕТ")</f>
        <v/>
      </c>
      <c r="AG93" s="3" t="e">
        <f>VLOOKUP(J93,'справочная информация'!$D$267:$E$274,2,0)</f>
        <v>#N/A</v>
      </c>
      <c r="AH93" s="3" t="e">
        <f>VLOOKUP(K93,'справочная информация'!$D$279:$E$283,2,0)</f>
        <v>#N/A</v>
      </c>
      <c r="AI93" s="3" t="e">
        <f>VLOOKUP(L93,'справочная информация'!$D$288:$E$290,2,0)</f>
        <v>#N/A</v>
      </c>
      <c r="AJ93" s="3" t="str">
        <f t="shared" si="38"/>
        <v/>
      </c>
      <c r="AK93" s="169" t="e">
        <f>VLOOKUP(M93,'справочная информация'!$D$294:$E$301,2,0)</f>
        <v>#N/A</v>
      </c>
      <c r="AL93" s="3" t="e">
        <f>VLOOKUP(N93,'справочная информация'!$D$306:$E$310,2,0)</f>
        <v>#N/A</v>
      </c>
      <c r="AM93" s="169" t="str">
        <f t="shared" si="39"/>
        <v>()</v>
      </c>
      <c r="AN93" s="3" t="str">
        <f t="shared" si="40"/>
        <v/>
      </c>
      <c r="AO93" s="3" t="e">
        <f>VLOOKUP(O93,'справочная информация'!$D$329:$E$336,2,0)</f>
        <v>#N/A</v>
      </c>
      <c r="AP93" s="3" t="e">
        <f>VLOOKUP(P93,'справочная информация'!$D$342:$E$349,2,0)</f>
        <v>#N/A</v>
      </c>
      <c r="AQ93" s="3" t="e">
        <f>VLOOKUP(Q93,'справочная информация'!$D$316:$E$325,2,0)</f>
        <v>#N/A</v>
      </c>
      <c r="AR93" s="3" t="str">
        <f t="shared" si="41"/>
        <v/>
      </c>
      <c r="AS93" s="170" t="str">
        <f t="shared" si="42"/>
        <v/>
      </c>
      <c r="AT93" s="3" t="str">
        <f t="shared" si="43"/>
        <v/>
      </c>
      <c r="AU93" s="3" t="e">
        <f>ABS(MATCH($AX93,'справочная информация'!$A$354:$A$391,0)-MATCH($AY93,'справочная информация'!$A$354:$A$391,0))</f>
        <v>#N/A</v>
      </c>
      <c r="AV93" s="3" t="str">
        <f>IFERROR(INDEX('справочная информация'!$B$6:$R$29,MATCH('Расчет грейда'!$Y93,'справочная информация'!$A$6:$A$29,0),MATCH('Расчет грейда'!$X93,'справочная информация'!$B$5:$R$5,0)),"")</f>
        <v/>
      </c>
      <c r="AW93" s="171" t="str">
        <f>IFERROR(INDEX('справочная информация'!$B$37:$H$52,MATCH('Расчет грейда'!$AA93,'справочная информация'!$A$37:$A$52,0),MATCH('Расчет грейда'!$N93,'справочная информация'!$B$36:$H$36,0)),"")</f>
        <v/>
      </c>
      <c r="AX93" s="122" t="str">
        <f>IFERROR(INDEX('справочная информация'!$D$108:$AD$123,MATCH('Расчет грейда'!$AW93,'справочная информация'!$C$108:$C$123,0),MATCH('Расчет грейда'!$AV93,'справочная информация'!$D$107:$AD$107,0)),"")</f>
        <v/>
      </c>
      <c r="AY93" s="133" t="str">
        <f>IFERROR(INDEX('справочная информация'!$B$158:$Y$181,MATCH('Расчет грейда'!$AE93,'справочная информация'!$A$158:$A$181,0),MATCH('Расчет грейда'!$AD93,'справочная информация'!$B$157:$Y$157,0)),"")</f>
        <v/>
      </c>
      <c r="AZ93" s="170" t="str">
        <f t="shared" si="44"/>
        <v/>
      </c>
      <c r="BA93" s="172" t="str">
        <f>IFERROR(CONCATENATE(TEXT(AZ93/INDEX('справочная информация'!$D$223:$D$261,MATCH('Расчет грейда'!$AZ93,'справочная информация'!$C$223:$C$261,1)),"0%")," - процент относительно медианы 100%. ","MIN балл на грейде ",INDEX('справочная информация'!$C$223:$C$261,MATCH('Расчет грейда'!$AZ93,'справочная информация'!$C$223:$C$261,1)),", "," MAX балл на грейде ",INDEX('справочная информация'!$E$223:$E$261,MATCH('Расчет грейда'!$AZ93,'справочная информация'!$C$223:$C$261,1))),"")</f>
        <v/>
      </c>
      <c r="BB93" s="120" t="str">
        <f t="shared" si="45"/>
        <v/>
      </c>
      <c r="BC93" s="3" t="str">
        <f t="shared" si="46"/>
        <v/>
      </c>
      <c r="BD93" s="121" t="str">
        <f>IFERROR(VLOOKUP(BC93,'справочная информация'!$B$416:$C$424,2,0),"Проверить данные, нетипичная должность")</f>
        <v>Проверить данные, нетипичная должность</v>
      </c>
      <c r="BE93" s="3" t="str">
        <f t="shared" si="47"/>
        <v/>
      </c>
      <c r="BF93" s="3" t="str">
        <f>IFERROR(INDEX('справочная информация'!$F$223:$F$261,MATCH('Расчет грейда'!$AZ93,'справочная информация'!$C$223:$C$261,1)),"")</f>
        <v/>
      </c>
    </row>
    <row r="94" spans="1:58" s="9" customFormat="1" x14ac:dyDescent="0.35">
      <c r="A94" s="120"/>
      <c r="B94" s="122"/>
      <c r="C94" s="140"/>
      <c r="D94" s="120"/>
      <c r="E94" s="120"/>
      <c r="F94" s="120"/>
      <c r="G94" s="120"/>
      <c r="H94" s="120"/>
      <c r="J94" s="142"/>
      <c r="K94" s="142"/>
      <c r="L94" s="142"/>
      <c r="R94" s="3"/>
      <c r="S94" s="138"/>
      <c r="T94" s="3"/>
      <c r="U94" s="3"/>
      <c r="V94" s="3"/>
      <c r="W94" s="3" t="str">
        <f t="shared" si="32"/>
        <v/>
      </c>
      <c r="X94" s="9" t="str">
        <f t="shared" si="33"/>
        <v/>
      </c>
      <c r="Y94" s="9" t="str">
        <f t="shared" si="34"/>
        <v/>
      </c>
      <c r="Z94" s="3" t="e">
        <f>INDEX('справочная информация'!$U$6:$AK$29,MATCH('Расчет грейда'!$Y94,'справочная информация'!$T$6:$T$29,0),MATCH('Расчет грейда'!$X94,'справочная информация'!$U$5:$AK$5,0))</f>
        <v>#N/A</v>
      </c>
      <c r="AA94" s="9" t="str">
        <f t="shared" si="35"/>
        <v/>
      </c>
      <c r="AB94" s="3" t="e">
        <f>INDEX('справочная информация'!$B$68:$H$83,MATCH('Расчет грейда'!$AA94,'справочная информация'!$A$68:$A$83,0),MATCH('Расчет грейда'!$N94,'справочная информация'!$B$67:$H$67,0))</f>
        <v>#N/A</v>
      </c>
      <c r="AC94" s="3" t="e">
        <f>INDEX('справочная информация'!$D$130:$AD$145,MATCH('Расчет грейда'!$AW94,'справочная информация'!$C$130:$C$145,0),MATCH('Расчет грейда'!$AV94,'справочная информация'!$D$129:$AD$129,0))</f>
        <v>#N/A</v>
      </c>
      <c r="AD94" s="9" t="str">
        <f t="shared" si="36"/>
        <v/>
      </c>
      <c r="AE94" s="9" t="str">
        <f t="shared" si="37"/>
        <v/>
      </c>
      <c r="AF94" s="3" t="str">
        <f>IFERROR(IF(AND(AD94="",AE94=""),"",INDEX('справочная информация'!$B$188:$Y$211,MATCH('Расчет грейда'!$AE94,'справочная информация'!$A$188:$A$211,0),MATCH('Расчет грейда'!$AD94,'справочная информация'!$B$187:$Y$187,0))),"НЕТ")</f>
        <v/>
      </c>
      <c r="AG94" s="3" t="e">
        <f>VLOOKUP(J94,'справочная информация'!$D$267:$E$274,2,0)</f>
        <v>#N/A</v>
      </c>
      <c r="AH94" s="3" t="e">
        <f>VLOOKUP(K94,'справочная информация'!$D$279:$E$283,2,0)</f>
        <v>#N/A</v>
      </c>
      <c r="AI94" s="3" t="e">
        <f>VLOOKUP(L94,'справочная информация'!$D$288:$E$290,2,0)</f>
        <v>#N/A</v>
      </c>
      <c r="AJ94" s="3" t="str">
        <f t="shared" si="38"/>
        <v/>
      </c>
      <c r="AK94" s="169" t="e">
        <f>VLOOKUP(M94,'справочная информация'!$D$294:$E$301,2,0)</f>
        <v>#N/A</v>
      </c>
      <c r="AL94" s="3" t="e">
        <f>VLOOKUP(N94,'справочная информация'!$D$306:$E$310,2,0)</f>
        <v>#N/A</v>
      </c>
      <c r="AM94" s="169" t="str">
        <f t="shared" si="39"/>
        <v>()</v>
      </c>
      <c r="AN94" s="3" t="str">
        <f t="shared" si="40"/>
        <v/>
      </c>
      <c r="AO94" s="3" t="e">
        <f>VLOOKUP(O94,'справочная информация'!$D$329:$E$336,2,0)</f>
        <v>#N/A</v>
      </c>
      <c r="AP94" s="3" t="e">
        <f>VLOOKUP(P94,'справочная информация'!$D$342:$E$349,2,0)</f>
        <v>#N/A</v>
      </c>
      <c r="AQ94" s="3" t="e">
        <f>VLOOKUP(Q94,'справочная информация'!$D$316:$E$325,2,0)</f>
        <v>#N/A</v>
      </c>
      <c r="AR94" s="3" t="str">
        <f t="shared" si="41"/>
        <v/>
      </c>
      <c r="AS94" s="170" t="str">
        <f t="shared" si="42"/>
        <v/>
      </c>
      <c r="AT94" s="3" t="str">
        <f t="shared" si="43"/>
        <v/>
      </c>
      <c r="AU94" s="3" t="e">
        <f>ABS(MATCH($AX94,'справочная информация'!$A$354:$A$391,0)-MATCH($AY94,'справочная информация'!$A$354:$A$391,0))</f>
        <v>#N/A</v>
      </c>
      <c r="AV94" s="3" t="str">
        <f>IFERROR(INDEX('справочная информация'!$B$6:$R$29,MATCH('Расчет грейда'!$Y94,'справочная информация'!$A$6:$A$29,0),MATCH('Расчет грейда'!$X94,'справочная информация'!$B$5:$R$5,0)),"")</f>
        <v/>
      </c>
      <c r="AW94" s="171" t="str">
        <f>IFERROR(INDEX('справочная информация'!$B$37:$H$52,MATCH('Расчет грейда'!$AA94,'справочная информация'!$A$37:$A$52,0),MATCH('Расчет грейда'!$N94,'справочная информация'!$B$36:$H$36,0)),"")</f>
        <v/>
      </c>
      <c r="AX94" s="122" t="str">
        <f>IFERROR(INDEX('справочная информация'!$D$108:$AD$123,MATCH('Расчет грейда'!$AW94,'справочная информация'!$C$108:$C$123,0),MATCH('Расчет грейда'!$AV94,'справочная информация'!$D$107:$AD$107,0)),"")</f>
        <v/>
      </c>
      <c r="AY94" s="133" t="str">
        <f>IFERROR(INDEX('справочная информация'!$B$158:$Y$181,MATCH('Расчет грейда'!$AE94,'справочная информация'!$A$158:$A$181,0),MATCH('Расчет грейда'!$AD94,'справочная информация'!$B$157:$Y$157,0)),"")</f>
        <v/>
      </c>
      <c r="AZ94" s="170" t="str">
        <f t="shared" si="44"/>
        <v/>
      </c>
      <c r="BA94" s="172" t="str">
        <f>IFERROR(CONCATENATE(TEXT(AZ94/INDEX('справочная информация'!$D$223:$D$261,MATCH('Расчет грейда'!$AZ94,'справочная информация'!$C$223:$C$261,1)),"0%")," - процент относительно медианы 100%. ","MIN балл на грейде ",INDEX('справочная информация'!$C$223:$C$261,MATCH('Расчет грейда'!$AZ94,'справочная информация'!$C$223:$C$261,1)),", "," MAX балл на грейде ",INDEX('справочная информация'!$E$223:$E$261,MATCH('Расчет грейда'!$AZ94,'справочная информация'!$C$223:$C$261,1))),"")</f>
        <v/>
      </c>
      <c r="BB94" s="120" t="str">
        <f t="shared" si="45"/>
        <v/>
      </c>
      <c r="BC94" s="3" t="str">
        <f t="shared" si="46"/>
        <v/>
      </c>
      <c r="BD94" s="121" t="str">
        <f>IFERROR(VLOOKUP(BC94,'справочная информация'!$B$416:$C$424,2,0),"Проверить данные, нетипичная должность")</f>
        <v>Проверить данные, нетипичная должность</v>
      </c>
      <c r="BE94" s="3" t="str">
        <f t="shared" si="47"/>
        <v/>
      </c>
      <c r="BF94" s="3" t="str">
        <f>IFERROR(INDEX('справочная информация'!$F$223:$F$261,MATCH('Расчет грейда'!$AZ94,'справочная информация'!$C$223:$C$261,1)),"")</f>
        <v/>
      </c>
    </row>
    <row r="95" spans="1:58" s="9" customFormat="1" x14ac:dyDescent="0.35">
      <c r="A95" s="120"/>
      <c r="B95" s="122"/>
      <c r="C95" s="140"/>
      <c r="D95" s="120"/>
      <c r="E95" s="120"/>
      <c r="F95" s="120"/>
      <c r="G95" s="120"/>
      <c r="H95" s="120"/>
      <c r="J95" s="142"/>
      <c r="K95" s="142"/>
      <c r="L95" s="142"/>
      <c r="R95" s="3"/>
      <c r="S95" s="138"/>
      <c r="T95" s="3"/>
      <c r="U95" s="3"/>
      <c r="V95" s="3"/>
      <c r="W95" s="3" t="str">
        <f t="shared" si="32"/>
        <v/>
      </c>
      <c r="X95" s="9" t="str">
        <f t="shared" si="33"/>
        <v/>
      </c>
      <c r="Y95" s="9" t="str">
        <f t="shared" si="34"/>
        <v/>
      </c>
      <c r="Z95" s="3" t="e">
        <f>INDEX('справочная информация'!$U$6:$AK$29,MATCH('Расчет грейда'!$Y95,'справочная информация'!$T$6:$T$29,0),MATCH('Расчет грейда'!$X95,'справочная информация'!$U$5:$AK$5,0))</f>
        <v>#N/A</v>
      </c>
      <c r="AA95" s="9" t="str">
        <f t="shared" si="35"/>
        <v/>
      </c>
      <c r="AB95" s="3" t="e">
        <f>INDEX('справочная информация'!$B$68:$H$83,MATCH('Расчет грейда'!$AA95,'справочная информация'!$A$68:$A$83,0),MATCH('Расчет грейда'!$N95,'справочная информация'!$B$67:$H$67,0))</f>
        <v>#N/A</v>
      </c>
      <c r="AC95" s="3" t="e">
        <f>INDEX('справочная информация'!$D$130:$AD$145,MATCH('Расчет грейда'!$AW95,'справочная информация'!$C$130:$C$145,0),MATCH('Расчет грейда'!$AV95,'справочная информация'!$D$129:$AD$129,0))</f>
        <v>#N/A</v>
      </c>
      <c r="AD95" s="9" t="str">
        <f t="shared" si="36"/>
        <v/>
      </c>
      <c r="AE95" s="9" t="str">
        <f t="shared" si="37"/>
        <v/>
      </c>
      <c r="AF95" s="3" t="str">
        <f>IFERROR(IF(AND(AD95="",AE95=""),"",INDEX('справочная информация'!$B$188:$Y$211,MATCH('Расчет грейда'!$AE95,'справочная информация'!$A$188:$A$211,0),MATCH('Расчет грейда'!$AD95,'справочная информация'!$B$187:$Y$187,0))),"НЕТ")</f>
        <v/>
      </c>
      <c r="AG95" s="3" t="e">
        <f>VLOOKUP(J95,'справочная информация'!$D$267:$E$274,2,0)</f>
        <v>#N/A</v>
      </c>
      <c r="AH95" s="3" t="e">
        <f>VLOOKUP(K95,'справочная информация'!$D$279:$E$283,2,0)</f>
        <v>#N/A</v>
      </c>
      <c r="AI95" s="3" t="e">
        <f>VLOOKUP(L95,'справочная информация'!$D$288:$E$290,2,0)</f>
        <v>#N/A</v>
      </c>
      <c r="AJ95" s="3" t="str">
        <f t="shared" si="38"/>
        <v/>
      </c>
      <c r="AK95" s="169" t="e">
        <f>VLOOKUP(M95,'справочная информация'!$D$294:$E$301,2,0)</f>
        <v>#N/A</v>
      </c>
      <c r="AL95" s="3" t="e">
        <f>VLOOKUP(N95,'справочная информация'!$D$306:$E$310,2,0)</f>
        <v>#N/A</v>
      </c>
      <c r="AM95" s="169" t="str">
        <f t="shared" si="39"/>
        <v>()</v>
      </c>
      <c r="AN95" s="3" t="str">
        <f t="shared" si="40"/>
        <v/>
      </c>
      <c r="AO95" s="3" t="e">
        <f>VLOOKUP(O95,'справочная информация'!$D$329:$E$336,2,0)</f>
        <v>#N/A</v>
      </c>
      <c r="AP95" s="3" t="e">
        <f>VLOOKUP(P95,'справочная информация'!$D$342:$E$349,2,0)</f>
        <v>#N/A</v>
      </c>
      <c r="AQ95" s="3" t="e">
        <f>VLOOKUP(Q95,'справочная информация'!$D$316:$E$325,2,0)</f>
        <v>#N/A</v>
      </c>
      <c r="AR95" s="3" t="str">
        <f t="shared" si="41"/>
        <v/>
      </c>
      <c r="AS95" s="170" t="str">
        <f t="shared" si="42"/>
        <v/>
      </c>
      <c r="AT95" s="3" t="str">
        <f t="shared" si="43"/>
        <v/>
      </c>
      <c r="AU95" s="3" t="e">
        <f>ABS(MATCH($AX95,'справочная информация'!$A$354:$A$391,0)-MATCH($AY95,'справочная информация'!$A$354:$A$391,0))</f>
        <v>#N/A</v>
      </c>
      <c r="AV95" s="3" t="str">
        <f>IFERROR(INDEX('справочная информация'!$B$6:$R$29,MATCH('Расчет грейда'!$Y95,'справочная информация'!$A$6:$A$29,0),MATCH('Расчет грейда'!$X95,'справочная информация'!$B$5:$R$5,0)),"")</f>
        <v/>
      </c>
      <c r="AW95" s="171" t="str">
        <f>IFERROR(INDEX('справочная информация'!$B$37:$H$52,MATCH('Расчет грейда'!$AA95,'справочная информация'!$A$37:$A$52,0),MATCH('Расчет грейда'!$N95,'справочная информация'!$B$36:$H$36,0)),"")</f>
        <v/>
      </c>
      <c r="AX95" s="122" t="str">
        <f>IFERROR(INDEX('справочная информация'!$D$108:$AD$123,MATCH('Расчет грейда'!$AW95,'справочная информация'!$C$108:$C$123,0),MATCH('Расчет грейда'!$AV95,'справочная информация'!$D$107:$AD$107,0)),"")</f>
        <v/>
      </c>
      <c r="AY95" s="133" t="str">
        <f>IFERROR(INDEX('справочная информация'!$B$158:$Y$181,MATCH('Расчет грейда'!$AE95,'справочная информация'!$A$158:$A$181,0),MATCH('Расчет грейда'!$AD95,'справочная информация'!$B$157:$Y$157,0)),"")</f>
        <v/>
      </c>
      <c r="AZ95" s="170" t="str">
        <f t="shared" si="44"/>
        <v/>
      </c>
      <c r="BA95" s="172" t="str">
        <f>IFERROR(CONCATENATE(TEXT(AZ95/INDEX('справочная информация'!$D$223:$D$261,MATCH('Расчет грейда'!$AZ95,'справочная информация'!$C$223:$C$261,1)),"0%")," - процент относительно медианы 100%. ","MIN балл на грейде ",INDEX('справочная информация'!$C$223:$C$261,MATCH('Расчет грейда'!$AZ95,'справочная информация'!$C$223:$C$261,1)),", "," MAX балл на грейде ",INDEX('справочная информация'!$E$223:$E$261,MATCH('Расчет грейда'!$AZ95,'справочная информация'!$C$223:$C$261,1))),"")</f>
        <v/>
      </c>
      <c r="BB95" s="120" t="str">
        <f t="shared" si="45"/>
        <v/>
      </c>
      <c r="BC95" s="3" t="str">
        <f t="shared" si="46"/>
        <v/>
      </c>
      <c r="BD95" s="121" t="str">
        <f>IFERROR(VLOOKUP(BC95,'справочная информация'!$B$416:$C$424,2,0),"Проверить данные, нетипичная должность")</f>
        <v>Проверить данные, нетипичная должность</v>
      </c>
      <c r="BE95" s="3" t="str">
        <f t="shared" si="47"/>
        <v/>
      </c>
      <c r="BF95" s="3" t="str">
        <f>IFERROR(INDEX('справочная информация'!$F$223:$F$261,MATCH('Расчет грейда'!$AZ95,'справочная информация'!$C$223:$C$261,1)),"")</f>
        <v/>
      </c>
    </row>
    <row r="96" spans="1:58" s="9" customFormat="1" x14ac:dyDescent="0.35">
      <c r="A96" s="120"/>
      <c r="B96" s="122"/>
      <c r="C96" s="140"/>
      <c r="D96" s="120"/>
      <c r="E96" s="120"/>
      <c r="F96" s="120"/>
      <c r="G96" s="120"/>
      <c r="H96" s="120"/>
      <c r="J96" s="142"/>
      <c r="K96" s="142"/>
      <c r="L96" s="142"/>
      <c r="R96" s="3"/>
      <c r="S96" s="138"/>
      <c r="T96" s="3"/>
      <c r="U96" s="3"/>
      <c r="V96" s="3"/>
      <c r="W96" s="3" t="str">
        <f t="shared" si="32"/>
        <v/>
      </c>
      <c r="X96" s="9" t="str">
        <f t="shared" si="33"/>
        <v/>
      </c>
      <c r="Y96" s="9" t="str">
        <f t="shared" si="34"/>
        <v/>
      </c>
      <c r="Z96" s="3" t="e">
        <f>INDEX('справочная информация'!$U$6:$AK$29,MATCH('Расчет грейда'!$Y96,'справочная информация'!$T$6:$T$29,0),MATCH('Расчет грейда'!$X96,'справочная информация'!$U$5:$AK$5,0))</f>
        <v>#N/A</v>
      </c>
      <c r="AA96" s="9" t="str">
        <f t="shared" si="35"/>
        <v/>
      </c>
      <c r="AB96" s="3" t="e">
        <f>INDEX('справочная информация'!$B$68:$H$83,MATCH('Расчет грейда'!$AA96,'справочная информация'!$A$68:$A$83,0),MATCH('Расчет грейда'!$N96,'справочная информация'!$B$67:$H$67,0))</f>
        <v>#N/A</v>
      </c>
      <c r="AC96" s="3" t="e">
        <f>INDEX('справочная информация'!$D$130:$AD$145,MATCH('Расчет грейда'!$AW96,'справочная информация'!$C$130:$C$145,0),MATCH('Расчет грейда'!$AV96,'справочная информация'!$D$129:$AD$129,0))</f>
        <v>#N/A</v>
      </c>
      <c r="AD96" s="9" t="str">
        <f t="shared" si="36"/>
        <v/>
      </c>
      <c r="AE96" s="9" t="str">
        <f t="shared" si="37"/>
        <v/>
      </c>
      <c r="AF96" s="3" t="str">
        <f>IFERROR(IF(AND(AD96="",AE96=""),"",INDEX('справочная информация'!$B$188:$Y$211,MATCH('Расчет грейда'!$AE96,'справочная информация'!$A$188:$A$211,0),MATCH('Расчет грейда'!$AD96,'справочная информация'!$B$187:$Y$187,0))),"НЕТ")</f>
        <v/>
      </c>
      <c r="AG96" s="3" t="e">
        <f>VLOOKUP(J96,'справочная информация'!$D$267:$E$274,2,0)</f>
        <v>#N/A</v>
      </c>
      <c r="AH96" s="3" t="e">
        <f>VLOOKUP(K96,'справочная информация'!$D$279:$E$283,2,0)</f>
        <v>#N/A</v>
      </c>
      <c r="AI96" s="3" t="e">
        <f>VLOOKUP(L96,'справочная информация'!$D$288:$E$290,2,0)</f>
        <v>#N/A</v>
      </c>
      <c r="AJ96" s="3" t="str">
        <f t="shared" si="38"/>
        <v/>
      </c>
      <c r="AK96" s="169" t="e">
        <f>VLOOKUP(M96,'справочная информация'!$D$294:$E$301,2,0)</f>
        <v>#N/A</v>
      </c>
      <c r="AL96" s="3" t="e">
        <f>VLOOKUP(N96,'справочная информация'!$D$306:$E$310,2,0)</f>
        <v>#N/A</v>
      </c>
      <c r="AM96" s="169" t="str">
        <f t="shared" si="39"/>
        <v>()</v>
      </c>
      <c r="AN96" s="3" t="str">
        <f t="shared" si="40"/>
        <v/>
      </c>
      <c r="AO96" s="3" t="e">
        <f>VLOOKUP(O96,'справочная информация'!$D$329:$E$336,2,0)</f>
        <v>#N/A</v>
      </c>
      <c r="AP96" s="3" t="e">
        <f>VLOOKUP(P96,'справочная информация'!$D$342:$E$349,2,0)</f>
        <v>#N/A</v>
      </c>
      <c r="AQ96" s="3" t="e">
        <f>VLOOKUP(Q96,'справочная информация'!$D$316:$E$325,2,0)</f>
        <v>#N/A</v>
      </c>
      <c r="AR96" s="3" t="str">
        <f t="shared" si="41"/>
        <v/>
      </c>
      <c r="AS96" s="170" t="str">
        <f t="shared" si="42"/>
        <v/>
      </c>
      <c r="AT96" s="3" t="str">
        <f t="shared" si="43"/>
        <v/>
      </c>
      <c r="AU96" s="3" t="e">
        <f>ABS(MATCH($AX96,'справочная информация'!$A$354:$A$391,0)-MATCH($AY96,'справочная информация'!$A$354:$A$391,0))</f>
        <v>#N/A</v>
      </c>
      <c r="AV96" s="3" t="str">
        <f>IFERROR(INDEX('справочная информация'!$B$6:$R$29,MATCH('Расчет грейда'!$Y96,'справочная информация'!$A$6:$A$29,0),MATCH('Расчет грейда'!$X96,'справочная информация'!$B$5:$R$5,0)),"")</f>
        <v/>
      </c>
      <c r="AW96" s="171" t="str">
        <f>IFERROR(INDEX('справочная информация'!$B$37:$H$52,MATCH('Расчет грейда'!$AA96,'справочная информация'!$A$37:$A$52,0),MATCH('Расчет грейда'!$N96,'справочная информация'!$B$36:$H$36,0)),"")</f>
        <v/>
      </c>
      <c r="AX96" s="122" t="str">
        <f>IFERROR(INDEX('справочная информация'!$D$108:$AD$123,MATCH('Расчет грейда'!$AW96,'справочная информация'!$C$108:$C$123,0),MATCH('Расчет грейда'!$AV96,'справочная информация'!$D$107:$AD$107,0)),"")</f>
        <v/>
      </c>
      <c r="AY96" s="133" t="str">
        <f>IFERROR(INDEX('справочная информация'!$B$158:$Y$181,MATCH('Расчет грейда'!$AE96,'справочная информация'!$A$158:$A$181,0),MATCH('Расчет грейда'!$AD96,'справочная информация'!$B$157:$Y$157,0)),"")</f>
        <v/>
      </c>
      <c r="AZ96" s="170" t="str">
        <f t="shared" si="44"/>
        <v/>
      </c>
      <c r="BA96" s="172" t="str">
        <f>IFERROR(CONCATENATE(TEXT(AZ96/INDEX('справочная информация'!$D$223:$D$261,MATCH('Расчет грейда'!$AZ96,'справочная информация'!$C$223:$C$261,1)),"0%")," - процент относительно медианы 100%. ","MIN балл на грейде ",INDEX('справочная информация'!$C$223:$C$261,MATCH('Расчет грейда'!$AZ96,'справочная информация'!$C$223:$C$261,1)),", "," MAX балл на грейде ",INDEX('справочная информация'!$E$223:$E$261,MATCH('Расчет грейда'!$AZ96,'справочная информация'!$C$223:$C$261,1))),"")</f>
        <v/>
      </c>
      <c r="BB96" s="120" t="str">
        <f t="shared" si="45"/>
        <v/>
      </c>
      <c r="BC96" s="3" t="str">
        <f t="shared" si="46"/>
        <v/>
      </c>
      <c r="BD96" s="121" t="str">
        <f>IFERROR(VLOOKUP(BC96,'справочная информация'!$B$416:$C$424,2,0),"Проверить данные, нетипичная должность")</f>
        <v>Проверить данные, нетипичная должность</v>
      </c>
      <c r="BE96" s="3" t="str">
        <f t="shared" si="47"/>
        <v/>
      </c>
      <c r="BF96" s="3" t="str">
        <f>IFERROR(INDEX('справочная информация'!$F$223:$F$261,MATCH('Расчет грейда'!$AZ96,'справочная информация'!$C$223:$C$261,1)),"")</f>
        <v/>
      </c>
    </row>
    <row r="97" spans="1:58" s="9" customFormat="1" x14ac:dyDescent="0.35">
      <c r="A97" s="120"/>
      <c r="B97" s="122"/>
      <c r="C97" s="140"/>
      <c r="D97" s="120"/>
      <c r="E97" s="120"/>
      <c r="F97" s="120"/>
      <c r="G97" s="120"/>
      <c r="H97" s="120"/>
      <c r="J97" s="142"/>
      <c r="K97" s="142"/>
      <c r="L97" s="142"/>
      <c r="R97" s="3"/>
      <c r="S97" s="138"/>
      <c r="T97" s="3"/>
      <c r="U97" s="3"/>
      <c r="V97" s="3"/>
      <c r="W97" s="3" t="str">
        <f t="shared" si="32"/>
        <v/>
      </c>
      <c r="X97" s="9" t="str">
        <f t="shared" si="33"/>
        <v/>
      </c>
      <c r="Y97" s="9" t="str">
        <f t="shared" si="34"/>
        <v/>
      </c>
      <c r="Z97" s="3" t="e">
        <f>INDEX('справочная информация'!$U$6:$AK$29,MATCH('Расчет грейда'!$Y97,'справочная информация'!$T$6:$T$29,0),MATCH('Расчет грейда'!$X97,'справочная информация'!$U$5:$AK$5,0))</f>
        <v>#N/A</v>
      </c>
      <c r="AA97" s="9" t="str">
        <f t="shared" si="35"/>
        <v/>
      </c>
      <c r="AB97" s="3" t="e">
        <f>INDEX('справочная информация'!$B$68:$H$83,MATCH('Расчет грейда'!$AA97,'справочная информация'!$A$68:$A$83,0),MATCH('Расчет грейда'!$N97,'справочная информация'!$B$67:$H$67,0))</f>
        <v>#N/A</v>
      </c>
      <c r="AC97" s="3" t="e">
        <f>INDEX('справочная информация'!$D$130:$AD$145,MATCH('Расчет грейда'!$AW97,'справочная информация'!$C$130:$C$145,0),MATCH('Расчет грейда'!$AV97,'справочная информация'!$D$129:$AD$129,0))</f>
        <v>#N/A</v>
      </c>
      <c r="AD97" s="9" t="str">
        <f t="shared" si="36"/>
        <v/>
      </c>
      <c r="AE97" s="9" t="str">
        <f t="shared" si="37"/>
        <v/>
      </c>
      <c r="AF97" s="3" t="str">
        <f>IFERROR(IF(AND(AD97="",AE97=""),"",INDEX('справочная информация'!$B$188:$Y$211,MATCH('Расчет грейда'!$AE97,'справочная информация'!$A$188:$A$211,0),MATCH('Расчет грейда'!$AD97,'справочная информация'!$B$187:$Y$187,0))),"НЕТ")</f>
        <v/>
      </c>
      <c r="AG97" s="3" t="e">
        <f>VLOOKUP(J97,'справочная информация'!$D$267:$E$274,2,0)</f>
        <v>#N/A</v>
      </c>
      <c r="AH97" s="3" t="e">
        <f>VLOOKUP(K97,'справочная информация'!$D$279:$E$283,2,0)</f>
        <v>#N/A</v>
      </c>
      <c r="AI97" s="3" t="e">
        <f>VLOOKUP(L97,'справочная информация'!$D$288:$E$290,2,0)</f>
        <v>#N/A</v>
      </c>
      <c r="AJ97" s="3" t="str">
        <f t="shared" si="38"/>
        <v/>
      </c>
      <c r="AK97" s="169" t="e">
        <f>VLOOKUP(M97,'справочная информация'!$D$294:$E$301,2,0)</f>
        <v>#N/A</v>
      </c>
      <c r="AL97" s="3" t="e">
        <f>VLOOKUP(N97,'справочная информация'!$D$306:$E$310,2,0)</f>
        <v>#N/A</v>
      </c>
      <c r="AM97" s="169" t="str">
        <f t="shared" si="39"/>
        <v>()</v>
      </c>
      <c r="AN97" s="3" t="str">
        <f t="shared" si="40"/>
        <v/>
      </c>
      <c r="AO97" s="3" t="e">
        <f>VLOOKUP(O97,'справочная информация'!$D$329:$E$336,2,0)</f>
        <v>#N/A</v>
      </c>
      <c r="AP97" s="3" t="e">
        <f>VLOOKUP(P97,'справочная информация'!$D$342:$E$349,2,0)</f>
        <v>#N/A</v>
      </c>
      <c r="AQ97" s="3" t="e">
        <f>VLOOKUP(Q97,'справочная информация'!$D$316:$E$325,2,0)</f>
        <v>#N/A</v>
      </c>
      <c r="AR97" s="3" t="str">
        <f t="shared" si="41"/>
        <v/>
      </c>
      <c r="AS97" s="170" t="str">
        <f t="shared" si="42"/>
        <v/>
      </c>
      <c r="AT97" s="3" t="str">
        <f t="shared" si="43"/>
        <v/>
      </c>
      <c r="AU97" s="3" t="e">
        <f>ABS(MATCH($AX97,'справочная информация'!$A$354:$A$391,0)-MATCH($AY97,'справочная информация'!$A$354:$A$391,0))</f>
        <v>#N/A</v>
      </c>
      <c r="AV97" s="3" t="str">
        <f>IFERROR(INDEX('справочная информация'!$B$6:$R$29,MATCH('Расчет грейда'!$Y97,'справочная информация'!$A$6:$A$29,0),MATCH('Расчет грейда'!$X97,'справочная информация'!$B$5:$R$5,0)),"")</f>
        <v/>
      </c>
      <c r="AW97" s="171" t="str">
        <f>IFERROR(INDEX('справочная информация'!$B$37:$H$52,MATCH('Расчет грейда'!$AA97,'справочная информация'!$A$37:$A$52,0),MATCH('Расчет грейда'!$N97,'справочная информация'!$B$36:$H$36,0)),"")</f>
        <v/>
      </c>
      <c r="AX97" s="122" t="str">
        <f>IFERROR(INDEX('справочная информация'!$D$108:$AD$123,MATCH('Расчет грейда'!$AW97,'справочная информация'!$C$108:$C$123,0),MATCH('Расчет грейда'!$AV97,'справочная информация'!$D$107:$AD$107,0)),"")</f>
        <v/>
      </c>
      <c r="AY97" s="133" t="str">
        <f>IFERROR(INDEX('справочная информация'!$B$158:$Y$181,MATCH('Расчет грейда'!$AE97,'справочная информация'!$A$158:$A$181,0),MATCH('Расчет грейда'!$AD97,'справочная информация'!$B$157:$Y$157,0)),"")</f>
        <v/>
      </c>
      <c r="AZ97" s="170" t="str">
        <f t="shared" si="44"/>
        <v/>
      </c>
      <c r="BA97" s="172" t="str">
        <f>IFERROR(CONCATENATE(TEXT(AZ97/INDEX('справочная информация'!$D$223:$D$261,MATCH('Расчет грейда'!$AZ97,'справочная информация'!$C$223:$C$261,1)),"0%")," - процент относительно медианы 100%. ","MIN балл на грейде ",INDEX('справочная информация'!$C$223:$C$261,MATCH('Расчет грейда'!$AZ97,'справочная информация'!$C$223:$C$261,1)),", "," MAX балл на грейде ",INDEX('справочная информация'!$E$223:$E$261,MATCH('Расчет грейда'!$AZ97,'справочная информация'!$C$223:$C$261,1))),"")</f>
        <v/>
      </c>
      <c r="BB97" s="120" t="str">
        <f t="shared" si="45"/>
        <v/>
      </c>
      <c r="BC97" s="3" t="str">
        <f t="shared" si="46"/>
        <v/>
      </c>
      <c r="BD97" s="121" t="str">
        <f>IFERROR(VLOOKUP(BC97,'справочная информация'!$B$416:$C$424,2,0),"Проверить данные, нетипичная должность")</f>
        <v>Проверить данные, нетипичная должность</v>
      </c>
      <c r="BE97" s="3" t="str">
        <f t="shared" si="47"/>
        <v/>
      </c>
      <c r="BF97" s="3" t="str">
        <f>IFERROR(INDEX('справочная информация'!$F$223:$F$261,MATCH('Расчет грейда'!$AZ97,'справочная информация'!$C$223:$C$261,1)),"")</f>
        <v/>
      </c>
    </row>
    <row r="98" spans="1:58" s="9" customFormat="1" x14ac:dyDescent="0.35">
      <c r="A98" s="120"/>
      <c r="B98" s="122"/>
      <c r="C98" s="140"/>
      <c r="D98" s="120"/>
      <c r="E98" s="120"/>
      <c r="F98" s="120"/>
      <c r="G98" s="120"/>
      <c r="H98" s="120"/>
      <c r="J98" s="142"/>
      <c r="K98" s="142"/>
      <c r="L98" s="142"/>
      <c r="R98" s="3"/>
      <c r="S98" s="138"/>
      <c r="T98" s="3"/>
      <c r="U98" s="3"/>
      <c r="V98" s="3"/>
      <c r="W98" s="3" t="str">
        <f t="shared" si="32"/>
        <v/>
      </c>
      <c r="X98" s="9" t="str">
        <f t="shared" si="33"/>
        <v/>
      </c>
      <c r="Y98" s="9" t="str">
        <f t="shared" si="34"/>
        <v/>
      </c>
      <c r="Z98" s="3" t="e">
        <f>INDEX('справочная информация'!$U$6:$AK$29,MATCH('Расчет грейда'!$Y98,'справочная информация'!$T$6:$T$29,0),MATCH('Расчет грейда'!$X98,'справочная информация'!$U$5:$AK$5,0))</f>
        <v>#N/A</v>
      </c>
      <c r="AA98" s="9" t="str">
        <f t="shared" si="35"/>
        <v/>
      </c>
      <c r="AB98" s="3" t="e">
        <f>INDEX('справочная информация'!$B$68:$H$83,MATCH('Расчет грейда'!$AA98,'справочная информация'!$A$68:$A$83,0),MATCH('Расчет грейда'!$N98,'справочная информация'!$B$67:$H$67,0))</f>
        <v>#N/A</v>
      </c>
      <c r="AC98" s="3" t="e">
        <f>INDEX('справочная информация'!$D$130:$AD$145,MATCH('Расчет грейда'!$AW98,'справочная информация'!$C$130:$C$145,0),MATCH('Расчет грейда'!$AV98,'справочная информация'!$D$129:$AD$129,0))</f>
        <v>#N/A</v>
      </c>
      <c r="AD98" s="9" t="str">
        <f t="shared" si="36"/>
        <v/>
      </c>
      <c r="AE98" s="9" t="str">
        <f t="shared" si="37"/>
        <v/>
      </c>
      <c r="AF98" s="3" t="str">
        <f>IFERROR(IF(AND(AD98="",AE98=""),"",INDEX('справочная информация'!$B$188:$Y$211,MATCH('Расчет грейда'!$AE98,'справочная информация'!$A$188:$A$211,0),MATCH('Расчет грейда'!$AD98,'справочная информация'!$B$187:$Y$187,0))),"НЕТ")</f>
        <v/>
      </c>
      <c r="AG98" s="3" t="e">
        <f>VLOOKUP(J98,'справочная информация'!$D$267:$E$274,2,0)</f>
        <v>#N/A</v>
      </c>
      <c r="AH98" s="3" t="e">
        <f>VLOOKUP(K98,'справочная информация'!$D$279:$E$283,2,0)</f>
        <v>#N/A</v>
      </c>
      <c r="AI98" s="3" t="e">
        <f>VLOOKUP(L98,'справочная информация'!$D$288:$E$290,2,0)</f>
        <v>#N/A</v>
      </c>
      <c r="AJ98" s="3" t="str">
        <f t="shared" si="38"/>
        <v/>
      </c>
      <c r="AK98" s="169" t="e">
        <f>VLOOKUP(M98,'справочная информация'!$D$294:$E$301,2,0)</f>
        <v>#N/A</v>
      </c>
      <c r="AL98" s="3" t="e">
        <f>VLOOKUP(N98,'справочная информация'!$D$306:$E$310,2,0)</f>
        <v>#N/A</v>
      </c>
      <c r="AM98" s="169" t="str">
        <f t="shared" si="39"/>
        <v>()</v>
      </c>
      <c r="AN98" s="3" t="str">
        <f t="shared" si="40"/>
        <v/>
      </c>
      <c r="AO98" s="3" t="e">
        <f>VLOOKUP(O98,'справочная информация'!$D$329:$E$336,2,0)</f>
        <v>#N/A</v>
      </c>
      <c r="AP98" s="3" t="e">
        <f>VLOOKUP(P98,'справочная информация'!$D$342:$E$349,2,0)</f>
        <v>#N/A</v>
      </c>
      <c r="AQ98" s="3" t="e">
        <f>VLOOKUP(Q98,'справочная информация'!$D$316:$E$325,2,0)</f>
        <v>#N/A</v>
      </c>
      <c r="AR98" s="3" t="str">
        <f t="shared" si="41"/>
        <v/>
      </c>
      <c r="AS98" s="170" t="str">
        <f t="shared" si="42"/>
        <v/>
      </c>
      <c r="AT98" s="3" t="str">
        <f t="shared" si="43"/>
        <v/>
      </c>
      <c r="AU98" s="3" t="e">
        <f>ABS(MATCH($AX98,'справочная информация'!$A$354:$A$391,0)-MATCH($AY98,'справочная информация'!$A$354:$A$391,0))</f>
        <v>#N/A</v>
      </c>
      <c r="AV98" s="3" t="str">
        <f>IFERROR(INDEX('справочная информация'!$B$6:$R$29,MATCH('Расчет грейда'!$Y98,'справочная информация'!$A$6:$A$29,0),MATCH('Расчет грейда'!$X98,'справочная информация'!$B$5:$R$5,0)),"")</f>
        <v/>
      </c>
      <c r="AW98" s="171" t="str">
        <f>IFERROR(INDEX('справочная информация'!$B$37:$H$52,MATCH('Расчет грейда'!$AA98,'справочная информация'!$A$37:$A$52,0),MATCH('Расчет грейда'!$N98,'справочная информация'!$B$36:$H$36,0)),"")</f>
        <v/>
      </c>
      <c r="AX98" s="122" t="str">
        <f>IFERROR(INDEX('справочная информация'!$D$108:$AD$123,MATCH('Расчет грейда'!$AW98,'справочная информация'!$C$108:$C$123,0),MATCH('Расчет грейда'!$AV98,'справочная информация'!$D$107:$AD$107,0)),"")</f>
        <v/>
      </c>
      <c r="AY98" s="133" t="str">
        <f>IFERROR(INDEX('справочная информация'!$B$158:$Y$181,MATCH('Расчет грейда'!$AE98,'справочная информация'!$A$158:$A$181,0),MATCH('Расчет грейда'!$AD98,'справочная информация'!$B$157:$Y$157,0)),"")</f>
        <v/>
      </c>
      <c r="AZ98" s="170" t="str">
        <f t="shared" si="44"/>
        <v/>
      </c>
      <c r="BA98" s="172" t="str">
        <f>IFERROR(CONCATENATE(TEXT(AZ98/INDEX('справочная информация'!$D$223:$D$261,MATCH('Расчет грейда'!$AZ98,'справочная информация'!$C$223:$C$261,1)),"0%")," - процент относительно медианы 100%. ","MIN балл на грейде ",INDEX('справочная информация'!$C$223:$C$261,MATCH('Расчет грейда'!$AZ98,'справочная информация'!$C$223:$C$261,1)),", "," MAX балл на грейде ",INDEX('справочная информация'!$E$223:$E$261,MATCH('Расчет грейда'!$AZ98,'справочная информация'!$C$223:$C$261,1))),"")</f>
        <v/>
      </c>
      <c r="BB98" s="120" t="str">
        <f t="shared" si="45"/>
        <v/>
      </c>
      <c r="BC98" s="3" t="str">
        <f t="shared" si="46"/>
        <v/>
      </c>
      <c r="BD98" s="121" t="str">
        <f>IFERROR(VLOOKUP(BC98,'справочная информация'!$B$416:$C$424,2,0),"Проверить данные, нетипичная должность")</f>
        <v>Проверить данные, нетипичная должность</v>
      </c>
      <c r="BE98" s="3" t="str">
        <f t="shared" si="47"/>
        <v/>
      </c>
      <c r="BF98" s="3" t="str">
        <f>IFERROR(INDEX('справочная информация'!$F$223:$F$261,MATCH('Расчет грейда'!$AZ98,'справочная информация'!$C$223:$C$261,1)),"")</f>
        <v/>
      </c>
    </row>
    <row r="99" spans="1:58" s="9" customFormat="1" x14ac:dyDescent="0.35">
      <c r="A99" s="120"/>
      <c r="B99" s="122"/>
      <c r="C99" s="140"/>
      <c r="D99" s="120"/>
      <c r="E99" s="120"/>
      <c r="F99" s="120"/>
      <c r="G99" s="120"/>
      <c r="H99" s="120"/>
      <c r="J99" s="142"/>
      <c r="K99" s="142"/>
      <c r="L99" s="142"/>
      <c r="R99" s="3"/>
      <c r="S99" s="138"/>
      <c r="T99" s="3"/>
      <c r="U99" s="3"/>
      <c r="V99" s="3"/>
      <c r="W99" s="3" t="str">
        <f t="shared" si="32"/>
        <v/>
      </c>
      <c r="X99" s="9" t="str">
        <f t="shared" si="33"/>
        <v/>
      </c>
      <c r="Y99" s="9" t="str">
        <f t="shared" si="34"/>
        <v/>
      </c>
      <c r="Z99" s="3" t="e">
        <f>INDEX('справочная информация'!$U$6:$AK$29,MATCH('Расчет грейда'!$Y99,'справочная информация'!$T$6:$T$29,0),MATCH('Расчет грейда'!$X99,'справочная информация'!$U$5:$AK$5,0))</f>
        <v>#N/A</v>
      </c>
      <c r="AA99" s="9" t="str">
        <f t="shared" si="35"/>
        <v/>
      </c>
      <c r="AB99" s="3" t="e">
        <f>INDEX('справочная информация'!$B$68:$H$83,MATCH('Расчет грейда'!$AA99,'справочная информация'!$A$68:$A$83,0),MATCH('Расчет грейда'!$N99,'справочная информация'!$B$67:$H$67,0))</f>
        <v>#N/A</v>
      </c>
      <c r="AC99" s="3" t="e">
        <f>INDEX('справочная информация'!$D$130:$AD$145,MATCH('Расчет грейда'!$AW99,'справочная информация'!$C$130:$C$145,0),MATCH('Расчет грейда'!$AV99,'справочная информация'!$D$129:$AD$129,0))</f>
        <v>#N/A</v>
      </c>
      <c r="AD99" s="9" t="str">
        <f t="shared" si="36"/>
        <v/>
      </c>
      <c r="AE99" s="9" t="str">
        <f t="shared" si="37"/>
        <v/>
      </c>
      <c r="AF99" s="3" t="str">
        <f>IFERROR(IF(AND(AD99="",AE99=""),"",INDEX('справочная информация'!$B$188:$Y$211,MATCH('Расчет грейда'!$AE99,'справочная информация'!$A$188:$A$211,0),MATCH('Расчет грейда'!$AD99,'справочная информация'!$B$187:$Y$187,0))),"НЕТ")</f>
        <v/>
      </c>
      <c r="AG99" s="3" t="e">
        <f>VLOOKUP(J99,'справочная информация'!$D$267:$E$274,2,0)</f>
        <v>#N/A</v>
      </c>
      <c r="AH99" s="3" t="e">
        <f>VLOOKUP(K99,'справочная информация'!$D$279:$E$283,2,0)</f>
        <v>#N/A</v>
      </c>
      <c r="AI99" s="3" t="e">
        <f>VLOOKUP(L99,'справочная информация'!$D$288:$E$290,2,0)</f>
        <v>#N/A</v>
      </c>
      <c r="AJ99" s="3" t="str">
        <f t="shared" si="38"/>
        <v/>
      </c>
      <c r="AK99" s="169" t="e">
        <f>VLOOKUP(M99,'справочная информация'!$D$294:$E$301,2,0)</f>
        <v>#N/A</v>
      </c>
      <c r="AL99" s="3" t="e">
        <f>VLOOKUP(N99,'справочная информация'!$D$306:$E$310,2,0)</f>
        <v>#N/A</v>
      </c>
      <c r="AM99" s="169" t="str">
        <f t="shared" si="39"/>
        <v>()</v>
      </c>
      <c r="AN99" s="3" t="str">
        <f t="shared" si="40"/>
        <v/>
      </c>
      <c r="AO99" s="3" t="e">
        <f>VLOOKUP(O99,'справочная информация'!$D$329:$E$336,2,0)</f>
        <v>#N/A</v>
      </c>
      <c r="AP99" s="3" t="e">
        <f>VLOOKUP(P99,'справочная информация'!$D$342:$E$349,2,0)</f>
        <v>#N/A</v>
      </c>
      <c r="AQ99" s="3" t="e">
        <f>VLOOKUP(Q99,'справочная информация'!$D$316:$E$325,2,0)</f>
        <v>#N/A</v>
      </c>
      <c r="AR99" s="3" t="str">
        <f t="shared" si="41"/>
        <v/>
      </c>
      <c r="AS99" s="170" t="str">
        <f t="shared" si="42"/>
        <v/>
      </c>
      <c r="AT99" s="3" t="str">
        <f t="shared" si="43"/>
        <v/>
      </c>
      <c r="AU99" s="3" t="e">
        <f>ABS(MATCH($AX99,'справочная информация'!$A$354:$A$391,0)-MATCH($AY99,'справочная информация'!$A$354:$A$391,0))</f>
        <v>#N/A</v>
      </c>
      <c r="AV99" s="3" t="str">
        <f>IFERROR(INDEX('справочная информация'!$B$6:$R$29,MATCH('Расчет грейда'!$Y99,'справочная информация'!$A$6:$A$29,0),MATCH('Расчет грейда'!$X99,'справочная информация'!$B$5:$R$5,0)),"")</f>
        <v/>
      </c>
      <c r="AW99" s="171" t="str">
        <f>IFERROR(INDEX('справочная информация'!$B$37:$H$52,MATCH('Расчет грейда'!$AA99,'справочная информация'!$A$37:$A$52,0),MATCH('Расчет грейда'!$N99,'справочная информация'!$B$36:$H$36,0)),"")</f>
        <v/>
      </c>
      <c r="AX99" s="122" t="str">
        <f>IFERROR(INDEX('справочная информация'!$D$108:$AD$123,MATCH('Расчет грейда'!$AW99,'справочная информация'!$C$108:$C$123,0),MATCH('Расчет грейда'!$AV99,'справочная информация'!$D$107:$AD$107,0)),"")</f>
        <v/>
      </c>
      <c r="AY99" s="133" t="str">
        <f>IFERROR(INDEX('справочная информация'!$B$158:$Y$181,MATCH('Расчет грейда'!$AE99,'справочная информация'!$A$158:$A$181,0),MATCH('Расчет грейда'!$AD99,'справочная информация'!$B$157:$Y$157,0)),"")</f>
        <v/>
      </c>
      <c r="AZ99" s="170" t="str">
        <f t="shared" si="44"/>
        <v/>
      </c>
      <c r="BA99" s="172" t="str">
        <f>IFERROR(CONCATENATE(TEXT(AZ99/INDEX('справочная информация'!$D$223:$D$261,MATCH('Расчет грейда'!$AZ99,'справочная информация'!$C$223:$C$261,1)),"0%")," - процент относительно медианы 100%. ","MIN балл на грейде ",INDEX('справочная информация'!$C$223:$C$261,MATCH('Расчет грейда'!$AZ99,'справочная информация'!$C$223:$C$261,1)),", "," MAX балл на грейде ",INDEX('справочная информация'!$E$223:$E$261,MATCH('Расчет грейда'!$AZ99,'справочная информация'!$C$223:$C$261,1))),"")</f>
        <v/>
      </c>
      <c r="BB99" s="120" t="str">
        <f t="shared" si="45"/>
        <v/>
      </c>
      <c r="BC99" s="3" t="str">
        <f t="shared" si="46"/>
        <v/>
      </c>
      <c r="BD99" s="121" t="str">
        <f>IFERROR(VLOOKUP(BC99,'справочная информация'!$B$416:$C$424,2,0),"Проверить данные, нетипичная должность")</f>
        <v>Проверить данные, нетипичная должность</v>
      </c>
      <c r="BE99" s="3" t="str">
        <f t="shared" si="47"/>
        <v/>
      </c>
      <c r="BF99" s="3" t="str">
        <f>IFERROR(INDEX('справочная информация'!$F$223:$F$261,MATCH('Расчет грейда'!$AZ99,'справочная информация'!$C$223:$C$261,1)),"")</f>
        <v/>
      </c>
    </row>
    <row r="100" spans="1:58" s="9" customFormat="1" x14ac:dyDescent="0.35">
      <c r="A100" s="120"/>
      <c r="B100" s="122"/>
      <c r="C100" s="140"/>
      <c r="D100" s="120"/>
      <c r="E100" s="120"/>
      <c r="F100" s="120"/>
      <c r="G100" s="120"/>
      <c r="H100" s="120"/>
      <c r="J100" s="142"/>
      <c r="K100" s="142"/>
      <c r="L100" s="142"/>
      <c r="R100" s="3"/>
      <c r="S100" s="138"/>
      <c r="T100" s="3"/>
      <c r="U100" s="3"/>
      <c r="V100" s="3"/>
      <c r="W100" s="3" t="str">
        <f t="shared" si="32"/>
        <v/>
      </c>
      <c r="X100" s="9" t="str">
        <f t="shared" si="33"/>
        <v/>
      </c>
      <c r="Y100" s="9" t="str">
        <f t="shared" si="34"/>
        <v/>
      </c>
      <c r="Z100" s="3" t="e">
        <f>INDEX('справочная информация'!$U$6:$AK$29,MATCH('Расчет грейда'!$Y100,'справочная информация'!$T$6:$T$29,0),MATCH('Расчет грейда'!$X100,'справочная информация'!$U$5:$AK$5,0))</f>
        <v>#N/A</v>
      </c>
      <c r="AA100" s="9" t="str">
        <f t="shared" si="35"/>
        <v/>
      </c>
      <c r="AB100" s="3" t="e">
        <f>INDEX('справочная информация'!$B$68:$H$83,MATCH('Расчет грейда'!$AA100,'справочная информация'!$A$68:$A$83,0),MATCH('Расчет грейда'!$N100,'справочная информация'!$B$67:$H$67,0))</f>
        <v>#N/A</v>
      </c>
      <c r="AC100" s="3" t="e">
        <f>INDEX('справочная информация'!$D$130:$AD$145,MATCH('Расчет грейда'!$AW100,'справочная информация'!$C$130:$C$145,0),MATCH('Расчет грейда'!$AV100,'справочная информация'!$D$129:$AD$129,0))</f>
        <v>#N/A</v>
      </c>
      <c r="AD100" s="9" t="str">
        <f t="shared" si="36"/>
        <v/>
      </c>
      <c r="AE100" s="9" t="str">
        <f t="shared" si="37"/>
        <v/>
      </c>
      <c r="AF100" s="3" t="str">
        <f>IFERROR(IF(AND(AD100="",AE100=""),"",INDEX('справочная информация'!$B$188:$Y$211,MATCH('Расчет грейда'!$AE100,'справочная информация'!$A$188:$A$211,0),MATCH('Расчет грейда'!$AD100,'справочная информация'!$B$187:$Y$187,0))),"НЕТ")</f>
        <v/>
      </c>
      <c r="AG100" s="3" t="e">
        <f>VLOOKUP(J100,'справочная информация'!$D$267:$E$274,2,0)</f>
        <v>#N/A</v>
      </c>
      <c r="AH100" s="3" t="e">
        <f>VLOOKUP(K100,'справочная информация'!$D$279:$E$283,2,0)</f>
        <v>#N/A</v>
      </c>
      <c r="AI100" s="3" t="e">
        <f>VLOOKUP(L100,'справочная информация'!$D$288:$E$290,2,0)</f>
        <v>#N/A</v>
      </c>
      <c r="AJ100" s="3" t="str">
        <f t="shared" si="38"/>
        <v/>
      </c>
      <c r="AK100" s="169" t="e">
        <f>VLOOKUP(M100,'справочная информация'!$D$294:$E$301,2,0)</f>
        <v>#N/A</v>
      </c>
      <c r="AL100" s="3" t="e">
        <f>VLOOKUP(N100,'справочная информация'!$D$306:$E$310,2,0)</f>
        <v>#N/A</v>
      </c>
      <c r="AM100" s="169" t="str">
        <f t="shared" si="39"/>
        <v>()</v>
      </c>
      <c r="AN100" s="3" t="str">
        <f t="shared" si="40"/>
        <v/>
      </c>
      <c r="AO100" s="3" t="e">
        <f>VLOOKUP(O100,'справочная информация'!$D$329:$E$336,2,0)</f>
        <v>#N/A</v>
      </c>
      <c r="AP100" s="3" t="e">
        <f>VLOOKUP(P100,'справочная информация'!$D$342:$E$349,2,0)</f>
        <v>#N/A</v>
      </c>
      <c r="AQ100" s="3" t="e">
        <f>VLOOKUP(Q100,'справочная информация'!$D$316:$E$325,2,0)</f>
        <v>#N/A</v>
      </c>
      <c r="AR100" s="3" t="str">
        <f t="shared" si="41"/>
        <v/>
      </c>
      <c r="AS100" s="170" t="str">
        <f t="shared" si="42"/>
        <v/>
      </c>
      <c r="AT100" s="3" t="str">
        <f t="shared" si="43"/>
        <v/>
      </c>
      <c r="AU100" s="3" t="e">
        <f>ABS(MATCH($AX100,'справочная информация'!$A$354:$A$391,0)-MATCH($AY100,'справочная информация'!$A$354:$A$391,0))</f>
        <v>#N/A</v>
      </c>
      <c r="AV100" s="3" t="str">
        <f>IFERROR(INDEX('справочная информация'!$B$6:$R$29,MATCH('Расчет грейда'!$Y100,'справочная информация'!$A$6:$A$29,0),MATCH('Расчет грейда'!$X100,'справочная информация'!$B$5:$R$5,0)),"")</f>
        <v/>
      </c>
      <c r="AW100" s="171" t="str">
        <f>IFERROR(INDEX('справочная информация'!$B$37:$H$52,MATCH('Расчет грейда'!$AA100,'справочная информация'!$A$37:$A$52,0),MATCH('Расчет грейда'!$N100,'справочная информация'!$B$36:$H$36,0)),"")</f>
        <v/>
      </c>
      <c r="AX100" s="122" t="str">
        <f>IFERROR(INDEX('справочная информация'!$D$108:$AD$123,MATCH('Расчет грейда'!$AW100,'справочная информация'!$C$108:$C$123,0),MATCH('Расчет грейда'!$AV100,'справочная информация'!$D$107:$AD$107,0)),"")</f>
        <v/>
      </c>
      <c r="AY100" s="133" t="str">
        <f>IFERROR(INDEX('справочная информация'!$B$158:$Y$181,MATCH('Расчет грейда'!$AE100,'справочная информация'!$A$158:$A$181,0),MATCH('Расчет грейда'!$AD100,'справочная информация'!$B$157:$Y$157,0)),"")</f>
        <v/>
      </c>
      <c r="AZ100" s="170" t="str">
        <f t="shared" si="44"/>
        <v/>
      </c>
      <c r="BA100" s="172" t="str">
        <f>IFERROR(CONCATENATE(TEXT(AZ100/INDEX('справочная информация'!$D$223:$D$261,MATCH('Расчет грейда'!$AZ100,'справочная информация'!$C$223:$C$261,1)),"0%")," - процент относительно медианы 100%. ","MIN балл на грейде ",INDEX('справочная информация'!$C$223:$C$261,MATCH('Расчет грейда'!$AZ100,'справочная информация'!$C$223:$C$261,1)),", "," MAX балл на грейде ",INDEX('справочная информация'!$E$223:$E$261,MATCH('Расчет грейда'!$AZ100,'справочная информация'!$C$223:$C$261,1))),"")</f>
        <v/>
      </c>
      <c r="BB100" s="120" t="str">
        <f t="shared" si="45"/>
        <v/>
      </c>
      <c r="BC100" s="3" t="str">
        <f t="shared" si="46"/>
        <v/>
      </c>
      <c r="BD100" s="121" t="str">
        <f>IFERROR(VLOOKUP(BC100,'справочная информация'!$B$416:$C$424,2,0),"Проверить данные, нетипичная должность")</f>
        <v>Проверить данные, нетипичная должность</v>
      </c>
      <c r="BE100" s="3" t="str">
        <f t="shared" si="47"/>
        <v/>
      </c>
      <c r="BF100" s="3" t="str">
        <f>IFERROR(INDEX('справочная информация'!$F$223:$F$261,MATCH('Расчет грейда'!$AZ100,'справочная информация'!$C$223:$C$261,1)),"")</f>
        <v/>
      </c>
    </row>
    <row r="101" spans="1:58" s="9" customFormat="1" x14ac:dyDescent="0.35">
      <c r="A101" s="120"/>
      <c r="B101" s="122"/>
      <c r="C101" s="140"/>
      <c r="D101" s="120"/>
      <c r="E101" s="120"/>
      <c r="F101" s="120"/>
      <c r="G101" s="120"/>
      <c r="H101" s="120"/>
      <c r="J101" s="142"/>
      <c r="K101" s="142"/>
      <c r="L101" s="142"/>
      <c r="R101" s="3"/>
      <c r="S101" s="138"/>
      <c r="T101" s="3"/>
      <c r="U101" s="3"/>
      <c r="V101" s="3"/>
      <c r="W101" s="3" t="str">
        <f t="shared" si="32"/>
        <v/>
      </c>
      <c r="X101" s="9" t="str">
        <f t="shared" si="33"/>
        <v/>
      </c>
      <c r="Y101" s="9" t="str">
        <f t="shared" si="34"/>
        <v/>
      </c>
      <c r="Z101" s="3" t="e">
        <f>INDEX('справочная информация'!$U$6:$AK$29,MATCH('Расчет грейда'!$Y101,'справочная информация'!$T$6:$T$29,0),MATCH('Расчет грейда'!$X101,'справочная информация'!$U$5:$AK$5,0))</f>
        <v>#N/A</v>
      </c>
      <c r="AA101" s="9" t="str">
        <f t="shared" si="35"/>
        <v/>
      </c>
      <c r="AB101" s="3" t="e">
        <f>INDEX('справочная информация'!$B$68:$H$83,MATCH('Расчет грейда'!$AA101,'справочная информация'!$A$68:$A$83,0),MATCH('Расчет грейда'!$N101,'справочная информация'!$B$67:$H$67,0))</f>
        <v>#N/A</v>
      </c>
      <c r="AC101" s="3" t="e">
        <f>INDEX('справочная информация'!$D$130:$AD$145,MATCH('Расчет грейда'!$AW101,'справочная информация'!$C$130:$C$145,0),MATCH('Расчет грейда'!$AV101,'справочная информация'!$D$129:$AD$129,0))</f>
        <v>#N/A</v>
      </c>
      <c r="AD101" s="9" t="str">
        <f t="shared" si="36"/>
        <v/>
      </c>
      <c r="AE101" s="9" t="str">
        <f t="shared" si="37"/>
        <v/>
      </c>
      <c r="AF101" s="3" t="str">
        <f>IFERROR(IF(AND(AD101="",AE101=""),"",INDEX('справочная информация'!$B$188:$Y$211,MATCH('Расчет грейда'!$AE101,'справочная информация'!$A$188:$A$211,0),MATCH('Расчет грейда'!$AD101,'справочная информация'!$B$187:$Y$187,0))),"НЕТ")</f>
        <v/>
      </c>
      <c r="AG101" s="3" t="e">
        <f>VLOOKUP(J101,'справочная информация'!$D$267:$E$274,2,0)</f>
        <v>#N/A</v>
      </c>
      <c r="AH101" s="3" t="e">
        <f>VLOOKUP(K101,'справочная информация'!$D$279:$E$283,2,0)</f>
        <v>#N/A</v>
      </c>
      <c r="AI101" s="3" t="e">
        <f>VLOOKUP(L101,'справочная информация'!$D$288:$E$290,2,0)</f>
        <v>#N/A</v>
      </c>
      <c r="AJ101" s="3" t="str">
        <f t="shared" si="38"/>
        <v/>
      </c>
      <c r="AK101" s="169" t="e">
        <f>VLOOKUP(M101,'справочная информация'!$D$294:$E$301,2,0)</f>
        <v>#N/A</v>
      </c>
      <c r="AL101" s="3" t="e">
        <f>VLOOKUP(N101,'справочная информация'!$D$306:$E$310,2,0)</f>
        <v>#N/A</v>
      </c>
      <c r="AM101" s="169" t="str">
        <f t="shared" si="39"/>
        <v>()</v>
      </c>
      <c r="AN101" s="3" t="str">
        <f t="shared" si="40"/>
        <v/>
      </c>
      <c r="AO101" s="3" t="e">
        <f>VLOOKUP(O101,'справочная информация'!$D$329:$E$336,2,0)</f>
        <v>#N/A</v>
      </c>
      <c r="AP101" s="3" t="e">
        <f>VLOOKUP(P101,'справочная информация'!$D$342:$E$349,2,0)</f>
        <v>#N/A</v>
      </c>
      <c r="AQ101" s="3" t="e">
        <f>VLOOKUP(Q101,'справочная информация'!$D$316:$E$325,2,0)</f>
        <v>#N/A</v>
      </c>
      <c r="AR101" s="3" t="str">
        <f t="shared" si="41"/>
        <v/>
      </c>
      <c r="AS101" s="170" t="str">
        <f t="shared" si="42"/>
        <v/>
      </c>
      <c r="AT101" s="3" t="str">
        <f t="shared" si="43"/>
        <v/>
      </c>
      <c r="AU101" s="3" t="e">
        <f>ABS(MATCH($AX101,'справочная информация'!$A$354:$A$391,0)-MATCH($AY101,'справочная информация'!$A$354:$A$391,0))</f>
        <v>#N/A</v>
      </c>
      <c r="AV101" s="3" t="str">
        <f>IFERROR(INDEX('справочная информация'!$B$6:$R$29,MATCH('Расчет грейда'!$Y101,'справочная информация'!$A$6:$A$29,0),MATCH('Расчет грейда'!$X101,'справочная информация'!$B$5:$R$5,0)),"")</f>
        <v/>
      </c>
      <c r="AW101" s="171" t="str">
        <f>IFERROR(INDEX('справочная информация'!$B$37:$H$52,MATCH('Расчет грейда'!$AA101,'справочная информация'!$A$37:$A$52,0),MATCH('Расчет грейда'!$N101,'справочная информация'!$B$36:$H$36,0)),"")</f>
        <v/>
      </c>
      <c r="AX101" s="122" t="str">
        <f>IFERROR(INDEX('справочная информация'!$D$108:$AD$123,MATCH('Расчет грейда'!$AW101,'справочная информация'!$C$108:$C$123,0),MATCH('Расчет грейда'!$AV101,'справочная информация'!$D$107:$AD$107,0)),"")</f>
        <v/>
      </c>
      <c r="AY101" s="133" t="str">
        <f>IFERROR(INDEX('справочная информация'!$B$158:$Y$181,MATCH('Расчет грейда'!$AE101,'справочная информация'!$A$158:$A$181,0),MATCH('Расчет грейда'!$AD101,'справочная информация'!$B$157:$Y$157,0)),"")</f>
        <v/>
      </c>
      <c r="AZ101" s="170" t="str">
        <f t="shared" si="44"/>
        <v/>
      </c>
      <c r="BA101" s="172" t="str">
        <f>IFERROR(CONCATENATE(TEXT(AZ101/INDEX('справочная информация'!$D$223:$D$261,MATCH('Расчет грейда'!$AZ101,'справочная информация'!$C$223:$C$261,1)),"0%")," - процент относительно медианы 100%. ","MIN балл на грейде ",INDEX('справочная информация'!$C$223:$C$261,MATCH('Расчет грейда'!$AZ101,'справочная информация'!$C$223:$C$261,1)),", "," MAX балл на грейде ",INDEX('справочная информация'!$E$223:$E$261,MATCH('Расчет грейда'!$AZ101,'справочная информация'!$C$223:$C$261,1))),"")</f>
        <v/>
      </c>
      <c r="BB101" s="120" t="str">
        <f t="shared" si="45"/>
        <v/>
      </c>
      <c r="BC101" s="3" t="str">
        <f t="shared" si="46"/>
        <v/>
      </c>
      <c r="BD101" s="121" t="str">
        <f>IFERROR(VLOOKUP(BC101,'справочная информация'!$B$416:$C$424,2,0),"Проверить данные, нетипичная должность")</f>
        <v>Проверить данные, нетипичная должность</v>
      </c>
      <c r="BE101" s="3" t="str">
        <f t="shared" si="47"/>
        <v/>
      </c>
      <c r="BF101" s="3" t="str">
        <f>IFERROR(INDEX('справочная информация'!$F$223:$F$261,MATCH('Расчет грейда'!$AZ101,'справочная информация'!$C$223:$C$261,1)),"")</f>
        <v/>
      </c>
    </row>
    <row r="102" spans="1:58" s="9" customFormat="1" x14ac:dyDescent="0.35">
      <c r="A102" s="120"/>
      <c r="B102" s="122"/>
      <c r="C102" s="140"/>
      <c r="D102" s="120"/>
      <c r="E102" s="120"/>
      <c r="F102" s="120"/>
      <c r="G102" s="120"/>
      <c r="H102" s="120"/>
      <c r="J102" s="142"/>
      <c r="K102" s="142"/>
      <c r="L102" s="142"/>
      <c r="R102" s="3"/>
      <c r="S102" s="138"/>
      <c r="T102" s="3"/>
      <c r="U102" s="3"/>
      <c r="V102" s="3"/>
      <c r="W102" s="3" t="str">
        <f t="shared" si="32"/>
        <v/>
      </c>
      <c r="X102" s="9" t="str">
        <f t="shared" si="33"/>
        <v/>
      </c>
      <c r="Y102" s="9" t="str">
        <f t="shared" si="34"/>
        <v/>
      </c>
      <c r="Z102" s="3" t="e">
        <f>INDEX('справочная информация'!$U$6:$AK$29,MATCH('Расчет грейда'!$Y102,'справочная информация'!$T$6:$T$29,0),MATCH('Расчет грейда'!$X102,'справочная информация'!$U$5:$AK$5,0))</f>
        <v>#N/A</v>
      </c>
      <c r="AA102" s="9" t="str">
        <f t="shared" si="35"/>
        <v/>
      </c>
      <c r="AB102" s="3" t="e">
        <f>INDEX('справочная информация'!$B$68:$H$83,MATCH('Расчет грейда'!$AA102,'справочная информация'!$A$68:$A$83,0),MATCH('Расчет грейда'!$N102,'справочная информация'!$B$67:$H$67,0))</f>
        <v>#N/A</v>
      </c>
      <c r="AC102" s="3" t="e">
        <f>INDEX('справочная информация'!$D$130:$AD$145,MATCH('Расчет грейда'!$AW102,'справочная информация'!$C$130:$C$145,0),MATCH('Расчет грейда'!$AV102,'справочная информация'!$D$129:$AD$129,0))</f>
        <v>#N/A</v>
      </c>
      <c r="AD102" s="9" t="str">
        <f t="shared" si="36"/>
        <v/>
      </c>
      <c r="AE102" s="9" t="str">
        <f t="shared" si="37"/>
        <v/>
      </c>
      <c r="AF102" s="3" t="str">
        <f>IFERROR(IF(AND(AD102="",AE102=""),"",INDEX('справочная информация'!$B$188:$Y$211,MATCH('Расчет грейда'!$AE102,'справочная информация'!$A$188:$A$211,0),MATCH('Расчет грейда'!$AD102,'справочная информация'!$B$187:$Y$187,0))),"НЕТ")</f>
        <v/>
      </c>
      <c r="AG102" s="3" t="e">
        <f>VLOOKUP(J102,'справочная информация'!$D$267:$E$274,2,0)</f>
        <v>#N/A</v>
      </c>
      <c r="AH102" s="3" t="e">
        <f>VLOOKUP(K102,'справочная информация'!$D$279:$E$283,2,0)</f>
        <v>#N/A</v>
      </c>
      <c r="AI102" s="3" t="e">
        <f>VLOOKUP(L102,'справочная информация'!$D$288:$E$290,2,0)</f>
        <v>#N/A</v>
      </c>
      <c r="AJ102" s="3" t="str">
        <f t="shared" si="38"/>
        <v/>
      </c>
      <c r="AK102" s="169" t="e">
        <f>VLOOKUP(M102,'справочная информация'!$D$294:$E$301,2,0)</f>
        <v>#N/A</v>
      </c>
      <c r="AL102" s="3" t="e">
        <f>VLOOKUP(N102,'справочная информация'!$D$306:$E$310,2,0)</f>
        <v>#N/A</v>
      </c>
      <c r="AM102" s="169" t="str">
        <f t="shared" si="39"/>
        <v>()</v>
      </c>
      <c r="AN102" s="3" t="str">
        <f t="shared" si="40"/>
        <v/>
      </c>
      <c r="AO102" s="3" t="e">
        <f>VLOOKUP(O102,'справочная информация'!$D$329:$E$336,2,0)</f>
        <v>#N/A</v>
      </c>
      <c r="AP102" s="3" t="e">
        <f>VLOOKUP(P102,'справочная информация'!$D$342:$E$349,2,0)</f>
        <v>#N/A</v>
      </c>
      <c r="AQ102" s="3" t="e">
        <f>VLOOKUP(Q102,'справочная информация'!$D$316:$E$325,2,0)</f>
        <v>#N/A</v>
      </c>
      <c r="AR102" s="3" t="str">
        <f t="shared" si="41"/>
        <v/>
      </c>
      <c r="AS102" s="170" t="str">
        <f t="shared" si="42"/>
        <v/>
      </c>
      <c r="AT102" s="3" t="str">
        <f t="shared" si="43"/>
        <v/>
      </c>
      <c r="AU102" s="3" t="e">
        <f>ABS(MATCH($AX102,'справочная информация'!$A$354:$A$391,0)-MATCH($AY102,'справочная информация'!$A$354:$A$391,0))</f>
        <v>#N/A</v>
      </c>
      <c r="AV102" s="3" t="str">
        <f>IFERROR(INDEX('справочная информация'!$B$6:$R$29,MATCH('Расчет грейда'!$Y102,'справочная информация'!$A$6:$A$29,0),MATCH('Расчет грейда'!$X102,'справочная информация'!$B$5:$R$5,0)),"")</f>
        <v/>
      </c>
      <c r="AW102" s="171" t="str">
        <f>IFERROR(INDEX('справочная информация'!$B$37:$H$52,MATCH('Расчет грейда'!$AA102,'справочная информация'!$A$37:$A$52,0),MATCH('Расчет грейда'!$N102,'справочная информация'!$B$36:$H$36,0)),"")</f>
        <v/>
      </c>
      <c r="AX102" s="122" t="str">
        <f>IFERROR(INDEX('справочная информация'!$D$108:$AD$123,MATCH('Расчет грейда'!$AW102,'справочная информация'!$C$108:$C$123,0),MATCH('Расчет грейда'!$AV102,'справочная информация'!$D$107:$AD$107,0)),"")</f>
        <v/>
      </c>
      <c r="AY102" s="133" t="str">
        <f>IFERROR(INDEX('справочная информация'!$B$158:$Y$181,MATCH('Расчет грейда'!$AE102,'справочная информация'!$A$158:$A$181,0),MATCH('Расчет грейда'!$AD102,'справочная информация'!$B$157:$Y$157,0)),"")</f>
        <v/>
      </c>
      <c r="AZ102" s="170" t="str">
        <f t="shared" si="44"/>
        <v/>
      </c>
      <c r="BA102" s="172" t="str">
        <f>IFERROR(CONCATENATE(TEXT(AZ102/INDEX('справочная информация'!$D$223:$D$261,MATCH('Расчет грейда'!$AZ102,'справочная информация'!$C$223:$C$261,1)),"0%")," - процент относительно медианы 100%. ","MIN балл на грейде ",INDEX('справочная информация'!$C$223:$C$261,MATCH('Расчет грейда'!$AZ102,'справочная информация'!$C$223:$C$261,1)),", "," MAX балл на грейде ",INDEX('справочная информация'!$E$223:$E$261,MATCH('Расчет грейда'!$AZ102,'справочная информация'!$C$223:$C$261,1))),"")</f>
        <v/>
      </c>
      <c r="BB102" s="120" t="str">
        <f t="shared" si="45"/>
        <v/>
      </c>
      <c r="BC102" s="3" t="str">
        <f t="shared" si="46"/>
        <v/>
      </c>
      <c r="BD102" s="121" t="str">
        <f>IFERROR(VLOOKUP(BC102,'справочная информация'!$B$416:$C$424,2,0),"Проверить данные, нетипичная должность")</f>
        <v>Проверить данные, нетипичная должность</v>
      </c>
      <c r="BE102" s="3" t="str">
        <f t="shared" si="47"/>
        <v/>
      </c>
      <c r="BF102" s="3" t="str">
        <f>IFERROR(INDEX('справочная информация'!$F$223:$F$261,MATCH('Расчет грейда'!$AZ102,'справочная информация'!$C$223:$C$261,1)),"")</f>
        <v/>
      </c>
    </row>
    <row r="103" spans="1:58" s="9" customFormat="1" x14ac:dyDescent="0.35">
      <c r="A103" s="120"/>
      <c r="B103" s="122"/>
      <c r="C103" s="140"/>
      <c r="D103" s="120"/>
      <c r="E103" s="120"/>
      <c r="F103" s="120"/>
      <c r="G103" s="120"/>
      <c r="H103" s="120"/>
      <c r="J103" s="142"/>
      <c r="K103" s="142"/>
      <c r="L103" s="142"/>
      <c r="R103" s="3"/>
      <c r="S103" s="138"/>
      <c r="T103" s="3"/>
      <c r="U103" s="3"/>
      <c r="V103" s="3"/>
      <c r="W103" s="3" t="str">
        <f t="shared" si="32"/>
        <v/>
      </c>
      <c r="X103" s="9" t="str">
        <f t="shared" si="33"/>
        <v/>
      </c>
      <c r="Y103" s="9" t="str">
        <f t="shared" si="34"/>
        <v/>
      </c>
      <c r="Z103" s="3" t="e">
        <f>INDEX('справочная информация'!$U$6:$AK$29,MATCH('Расчет грейда'!$Y103,'справочная информация'!$T$6:$T$29,0),MATCH('Расчет грейда'!$X103,'справочная информация'!$U$5:$AK$5,0))</f>
        <v>#N/A</v>
      </c>
      <c r="AA103" s="9" t="str">
        <f t="shared" si="35"/>
        <v/>
      </c>
      <c r="AB103" s="3" t="e">
        <f>INDEX('справочная информация'!$B$68:$H$83,MATCH('Расчет грейда'!$AA103,'справочная информация'!$A$68:$A$83,0),MATCH('Расчет грейда'!$N103,'справочная информация'!$B$67:$H$67,0))</f>
        <v>#N/A</v>
      </c>
      <c r="AC103" s="3" t="e">
        <f>INDEX('справочная информация'!$D$130:$AD$145,MATCH('Расчет грейда'!$AW103,'справочная информация'!$C$130:$C$145,0),MATCH('Расчет грейда'!$AV103,'справочная информация'!$D$129:$AD$129,0))</f>
        <v>#N/A</v>
      </c>
      <c r="AD103" s="9" t="str">
        <f t="shared" si="36"/>
        <v/>
      </c>
      <c r="AE103" s="9" t="str">
        <f t="shared" si="37"/>
        <v/>
      </c>
      <c r="AF103" s="3" t="str">
        <f>IFERROR(IF(AND(AD103="",AE103=""),"",INDEX('справочная информация'!$B$188:$Y$211,MATCH('Расчет грейда'!$AE103,'справочная информация'!$A$188:$A$211,0),MATCH('Расчет грейда'!$AD103,'справочная информация'!$B$187:$Y$187,0))),"НЕТ")</f>
        <v/>
      </c>
      <c r="AG103" s="3" t="e">
        <f>VLOOKUP(J103,'справочная информация'!$D$267:$E$274,2,0)</f>
        <v>#N/A</v>
      </c>
      <c r="AH103" s="3" t="e">
        <f>VLOOKUP(K103,'справочная информация'!$D$279:$E$283,2,0)</f>
        <v>#N/A</v>
      </c>
      <c r="AI103" s="3" t="e">
        <f>VLOOKUP(L103,'справочная информация'!$D$288:$E$290,2,0)</f>
        <v>#N/A</v>
      </c>
      <c r="AJ103" s="3" t="str">
        <f t="shared" si="38"/>
        <v/>
      </c>
      <c r="AK103" s="169" t="e">
        <f>VLOOKUP(M103,'справочная информация'!$D$294:$E$301,2,0)</f>
        <v>#N/A</v>
      </c>
      <c r="AL103" s="3" t="e">
        <f>VLOOKUP(N103,'справочная информация'!$D$306:$E$310,2,0)</f>
        <v>#N/A</v>
      </c>
      <c r="AM103" s="169" t="str">
        <f t="shared" si="39"/>
        <v>()</v>
      </c>
      <c r="AN103" s="3" t="str">
        <f t="shared" si="40"/>
        <v/>
      </c>
      <c r="AO103" s="3" t="e">
        <f>VLOOKUP(O103,'справочная информация'!$D$329:$E$336,2,0)</f>
        <v>#N/A</v>
      </c>
      <c r="AP103" s="3" t="e">
        <f>VLOOKUP(P103,'справочная информация'!$D$342:$E$349,2,0)</f>
        <v>#N/A</v>
      </c>
      <c r="AQ103" s="3" t="e">
        <f>VLOOKUP(Q103,'справочная информация'!$D$316:$E$325,2,0)</f>
        <v>#N/A</v>
      </c>
      <c r="AR103" s="3" t="str">
        <f t="shared" si="41"/>
        <v/>
      </c>
      <c r="AS103" s="170" t="str">
        <f t="shared" si="42"/>
        <v/>
      </c>
      <c r="AT103" s="3" t="str">
        <f t="shared" si="43"/>
        <v/>
      </c>
      <c r="AU103" s="3" t="e">
        <f>ABS(MATCH($AX103,'справочная информация'!$A$354:$A$391,0)-MATCH($AY103,'справочная информация'!$A$354:$A$391,0))</f>
        <v>#N/A</v>
      </c>
      <c r="AV103" s="3" t="str">
        <f>IFERROR(INDEX('справочная информация'!$B$6:$R$29,MATCH('Расчет грейда'!$Y103,'справочная информация'!$A$6:$A$29,0),MATCH('Расчет грейда'!$X103,'справочная информация'!$B$5:$R$5,0)),"")</f>
        <v/>
      </c>
      <c r="AW103" s="171" t="str">
        <f>IFERROR(INDEX('справочная информация'!$B$37:$H$52,MATCH('Расчет грейда'!$AA103,'справочная информация'!$A$37:$A$52,0),MATCH('Расчет грейда'!$N103,'справочная информация'!$B$36:$H$36,0)),"")</f>
        <v/>
      </c>
      <c r="AX103" s="122" t="str">
        <f>IFERROR(INDEX('справочная информация'!$D$108:$AD$123,MATCH('Расчет грейда'!$AW103,'справочная информация'!$C$108:$C$123,0),MATCH('Расчет грейда'!$AV103,'справочная информация'!$D$107:$AD$107,0)),"")</f>
        <v/>
      </c>
      <c r="AY103" s="133" t="str">
        <f>IFERROR(INDEX('справочная информация'!$B$158:$Y$181,MATCH('Расчет грейда'!$AE103,'справочная информация'!$A$158:$A$181,0),MATCH('Расчет грейда'!$AD103,'справочная информация'!$B$157:$Y$157,0)),"")</f>
        <v/>
      </c>
      <c r="AZ103" s="170" t="str">
        <f t="shared" si="44"/>
        <v/>
      </c>
      <c r="BA103" s="172" t="str">
        <f>IFERROR(CONCATENATE(TEXT(AZ103/INDEX('справочная информация'!$D$223:$D$261,MATCH('Расчет грейда'!$AZ103,'справочная информация'!$C$223:$C$261,1)),"0%")," - процент относительно медианы 100%. ","MIN балл на грейде ",INDEX('справочная информация'!$C$223:$C$261,MATCH('Расчет грейда'!$AZ103,'справочная информация'!$C$223:$C$261,1)),", "," MAX балл на грейде ",INDEX('справочная информация'!$E$223:$E$261,MATCH('Расчет грейда'!$AZ103,'справочная информация'!$C$223:$C$261,1))),"")</f>
        <v/>
      </c>
      <c r="BB103" s="120" t="str">
        <f t="shared" si="45"/>
        <v/>
      </c>
      <c r="BC103" s="3" t="str">
        <f t="shared" si="46"/>
        <v/>
      </c>
      <c r="BD103" s="121" t="str">
        <f>IFERROR(VLOOKUP(BC103,'справочная информация'!$B$416:$C$424,2,0),"Проверить данные, нетипичная должность")</f>
        <v>Проверить данные, нетипичная должность</v>
      </c>
      <c r="BE103" s="3" t="str">
        <f t="shared" si="47"/>
        <v/>
      </c>
      <c r="BF103" s="3" t="str">
        <f>IFERROR(INDEX('справочная информация'!$F$223:$F$261,MATCH('Расчет грейда'!$AZ103,'справочная информация'!$C$223:$C$261,1)),"")</f>
        <v/>
      </c>
    </row>
    <row r="104" spans="1:58" s="9" customFormat="1" x14ac:dyDescent="0.35">
      <c r="A104" s="120"/>
      <c r="B104" s="122"/>
      <c r="C104" s="140"/>
      <c r="D104" s="120"/>
      <c r="E104" s="120"/>
      <c r="F104" s="120"/>
      <c r="G104" s="120"/>
      <c r="H104" s="120"/>
      <c r="J104" s="142"/>
      <c r="K104" s="142"/>
      <c r="L104" s="142"/>
      <c r="R104" s="3"/>
      <c r="S104" s="138"/>
      <c r="T104" s="3"/>
      <c r="U104" s="3"/>
      <c r="V104" s="3"/>
      <c r="W104" s="3" t="str">
        <f t="shared" si="32"/>
        <v/>
      </c>
      <c r="X104" s="9" t="str">
        <f t="shared" si="33"/>
        <v/>
      </c>
      <c r="Y104" s="9" t="str">
        <f t="shared" si="34"/>
        <v/>
      </c>
      <c r="Z104" s="3" t="e">
        <f>INDEX('справочная информация'!$U$6:$AK$29,MATCH('Расчет грейда'!$Y104,'справочная информация'!$T$6:$T$29,0),MATCH('Расчет грейда'!$X104,'справочная информация'!$U$5:$AK$5,0))</f>
        <v>#N/A</v>
      </c>
      <c r="AA104" s="9" t="str">
        <f t="shared" si="35"/>
        <v/>
      </c>
      <c r="AB104" s="3" t="e">
        <f>INDEX('справочная информация'!$B$68:$H$83,MATCH('Расчет грейда'!$AA104,'справочная информация'!$A$68:$A$83,0),MATCH('Расчет грейда'!$N104,'справочная информация'!$B$67:$H$67,0))</f>
        <v>#N/A</v>
      </c>
      <c r="AC104" s="3" t="e">
        <f>INDEX('справочная информация'!$D$130:$AD$145,MATCH('Расчет грейда'!$AW104,'справочная информация'!$C$130:$C$145,0),MATCH('Расчет грейда'!$AV104,'справочная информация'!$D$129:$AD$129,0))</f>
        <v>#N/A</v>
      </c>
      <c r="AD104" s="9" t="str">
        <f t="shared" si="36"/>
        <v/>
      </c>
      <c r="AE104" s="9" t="str">
        <f t="shared" si="37"/>
        <v/>
      </c>
      <c r="AF104" s="3" t="str">
        <f>IFERROR(IF(AND(AD104="",AE104=""),"",INDEX('справочная информация'!$B$188:$Y$211,MATCH('Расчет грейда'!$AE104,'справочная информация'!$A$188:$A$211,0),MATCH('Расчет грейда'!$AD104,'справочная информация'!$B$187:$Y$187,0))),"НЕТ")</f>
        <v/>
      </c>
      <c r="AG104" s="3" t="e">
        <f>VLOOKUP(J104,'справочная информация'!$D$267:$E$274,2,0)</f>
        <v>#N/A</v>
      </c>
      <c r="AH104" s="3" t="e">
        <f>VLOOKUP(K104,'справочная информация'!$D$279:$E$283,2,0)</f>
        <v>#N/A</v>
      </c>
      <c r="AI104" s="3" t="e">
        <f>VLOOKUP(L104,'справочная информация'!$D$288:$E$290,2,0)</f>
        <v>#N/A</v>
      </c>
      <c r="AJ104" s="3" t="str">
        <f t="shared" si="38"/>
        <v/>
      </c>
      <c r="AK104" s="169" t="e">
        <f>VLOOKUP(M104,'справочная информация'!$D$294:$E$301,2,0)</f>
        <v>#N/A</v>
      </c>
      <c r="AL104" s="3" t="e">
        <f>VLOOKUP(N104,'справочная информация'!$D$306:$E$310,2,0)</f>
        <v>#N/A</v>
      </c>
      <c r="AM104" s="169" t="str">
        <f t="shared" si="39"/>
        <v>()</v>
      </c>
      <c r="AN104" s="3" t="str">
        <f t="shared" si="40"/>
        <v/>
      </c>
      <c r="AO104" s="3" t="e">
        <f>VLOOKUP(O104,'справочная информация'!$D$329:$E$336,2,0)</f>
        <v>#N/A</v>
      </c>
      <c r="AP104" s="3" t="e">
        <f>VLOOKUP(P104,'справочная информация'!$D$342:$E$349,2,0)</f>
        <v>#N/A</v>
      </c>
      <c r="AQ104" s="3" t="e">
        <f>VLOOKUP(Q104,'справочная информация'!$D$316:$E$325,2,0)</f>
        <v>#N/A</v>
      </c>
      <c r="AR104" s="3" t="str">
        <f t="shared" si="41"/>
        <v/>
      </c>
      <c r="AS104" s="170" t="str">
        <f t="shared" si="42"/>
        <v/>
      </c>
      <c r="AT104" s="3" t="str">
        <f t="shared" si="43"/>
        <v/>
      </c>
      <c r="AU104" s="3" t="e">
        <f>ABS(MATCH($AX104,'справочная информация'!$A$354:$A$391,0)-MATCH($AY104,'справочная информация'!$A$354:$A$391,0))</f>
        <v>#N/A</v>
      </c>
      <c r="AV104" s="3" t="str">
        <f>IFERROR(INDEX('справочная информация'!$B$6:$R$29,MATCH('Расчет грейда'!$Y104,'справочная информация'!$A$6:$A$29,0),MATCH('Расчет грейда'!$X104,'справочная информация'!$B$5:$R$5,0)),"")</f>
        <v/>
      </c>
      <c r="AW104" s="171" t="str">
        <f>IFERROR(INDEX('справочная информация'!$B$37:$H$52,MATCH('Расчет грейда'!$AA104,'справочная информация'!$A$37:$A$52,0),MATCH('Расчет грейда'!$N104,'справочная информация'!$B$36:$H$36,0)),"")</f>
        <v/>
      </c>
      <c r="AX104" s="122" t="str">
        <f>IFERROR(INDEX('справочная информация'!$D$108:$AD$123,MATCH('Расчет грейда'!$AW104,'справочная информация'!$C$108:$C$123,0),MATCH('Расчет грейда'!$AV104,'справочная информация'!$D$107:$AD$107,0)),"")</f>
        <v/>
      </c>
      <c r="AY104" s="133" t="str">
        <f>IFERROR(INDEX('справочная информация'!$B$158:$Y$181,MATCH('Расчет грейда'!$AE104,'справочная информация'!$A$158:$A$181,0),MATCH('Расчет грейда'!$AD104,'справочная информация'!$B$157:$Y$157,0)),"")</f>
        <v/>
      </c>
      <c r="AZ104" s="170" t="str">
        <f t="shared" si="44"/>
        <v/>
      </c>
      <c r="BA104" s="172" t="str">
        <f>IFERROR(CONCATENATE(TEXT(AZ104/INDEX('справочная информация'!$D$223:$D$261,MATCH('Расчет грейда'!$AZ104,'справочная информация'!$C$223:$C$261,1)),"0%")," - процент относительно медианы 100%. ","MIN балл на грейде ",INDEX('справочная информация'!$C$223:$C$261,MATCH('Расчет грейда'!$AZ104,'справочная информация'!$C$223:$C$261,1)),", "," MAX балл на грейде ",INDEX('справочная информация'!$E$223:$E$261,MATCH('Расчет грейда'!$AZ104,'справочная информация'!$C$223:$C$261,1))),"")</f>
        <v/>
      </c>
      <c r="BB104" s="120" t="str">
        <f t="shared" si="45"/>
        <v/>
      </c>
      <c r="BC104" s="3" t="str">
        <f t="shared" si="46"/>
        <v/>
      </c>
      <c r="BD104" s="121" t="str">
        <f>IFERROR(VLOOKUP(BC104,'справочная информация'!$B$416:$C$424,2,0),"Проверить данные, нетипичная должность")</f>
        <v>Проверить данные, нетипичная должность</v>
      </c>
      <c r="BE104" s="3" t="str">
        <f t="shared" si="47"/>
        <v/>
      </c>
      <c r="BF104" s="3" t="str">
        <f>IFERROR(INDEX('справочная информация'!$F$223:$F$261,MATCH('Расчет грейда'!$AZ104,'справочная информация'!$C$223:$C$261,1)),"")</f>
        <v/>
      </c>
    </row>
    <row r="105" spans="1:58" s="9" customFormat="1" x14ac:dyDescent="0.35">
      <c r="A105" s="120"/>
      <c r="B105" s="122"/>
      <c r="C105" s="140"/>
      <c r="D105" s="120"/>
      <c r="E105" s="120"/>
      <c r="F105" s="120"/>
      <c r="G105" s="120"/>
      <c r="H105" s="120"/>
      <c r="J105" s="142"/>
      <c r="K105" s="142"/>
      <c r="L105" s="142"/>
      <c r="R105" s="3"/>
      <c r="S105" s="138"/>
      <c r="T105" s="3"/>
      <c r="U105" s="3"/>
      <c r="V105" s="3"/>
      <c r="W105" s="3" t="str">
        <f t="shared" si="32"/>
        <v/>
      </c>
      <c r="X105" s="9" t="str">
        <f t="shared" si="33"/>
        <v/>
      </c>
      <c r="Y105" s="9" t="str">
        <f t="shared" si="34"/>
        <v/>
      </c>
      <c r="Z105" s="3" t="e">
        <f>INDEX('справочная информация'!$U$6:$AK$29,MATCH('Расчет грейда'!$Y105,'справочная информация'!$T$6:$T$29,0),MATCH('Расчет грейда'!$X105,'справочная информация'!$U$5:$AK$5,0))</f>
        <v>#N/A</v>
      </c>
      <c r="AA105" s="9" t="str">
        <f t="shared" si="35"/>
        <v/>
      </c>
      <c r="AB105" s="3" t="e">
        <f>INDEX('справочная информация'!$B$68:$H$83,MATCH('Расчет грейда'!$AA105,'справочная информация'!$A$68:$A$83,0),MATCH('Расчет грейда'!$N105,'справочная информация'!$B$67:$H$67,0))</f>
        <v>#N/A</v>
      </c>
      <c r="AC105" s="3" t="e">
        <f>INDEX('справочная информация'!$D$130:$AD$145,MATCH('Расчет грейда'!$AW105,'справочная информация'!$C$130:$C$145,0),MATCH('Расчет грейда'!$AV105,'справочная информация'!$D$129:$AD$129,0))</f>
        <v>#N/A</v>
      </c>
      <c r="AD105" s="9" t="str">
        <f t="shared" si="36"/>
        <v/>
      </c>
      <c r="AE105" s="9" t="str">
        <f t="shared" si="37"/>
        <v/>
      </c>
      <c r="AF105" s="3" t="str">
        <f>IFERROR(IF(AND(AD105="",AE105=""),"",INDEX('справочная информация'!$B$188:$Y$211,MATCH('Расчет грейда'!$AE105,'справочная информация'!$A$188:$A$211,0),MATCH('Расчет грейда'!$AD105,'справочная информация'!$B$187:$Y$187,0))),"НЕТ")</f>
        <v/>
      </c>
      <c r="AG105" s="3" t="e">
        <f>VLOOKUP(J105,'справочная информация'!$D$267:$E$274,2,0)</f>
        <v>#N/A</v>
      </c>
      <c r="AH105" s="3" t="e">
        <f>VLOOKUP(K105,'справочная информация'!$D$279:$E$283,2,0)</f>
        <v>#N/A</v>
      </c>
      <c r="AI105" s="3" t="e">
        <f>VLOOKUP(L105,'справочная информация'!$D$288:$E$290,2,0)</f>
        <v>#N/A</v>
      </c>
      <c r="AJ105" s="3" t="str">
        <f t="shared" si="38"/>
        <v/>
      </c>
      <c r="AK105" s="169" t="e">
        <f>VLOOKUP(M105,'справочная информация'!$D$294:$E$301,2,0)</f>
        <v>#N/A</v>
      </c>
      <c r="AL105" s="3" t="e">
        <f>VLOOKUP(N105,'справочная информация'!$D$306:$E$310,2,0)</f>
        <v>#N/A</v>
      </c>
      <c r="AM105" s="169" t="str">
        <f t="shared" si="39"/>
        <v>()</v>
      </c>
      <c r="AN105" s="3" t="str">
        <f t="shared" si="40"/>
        <v/>
      </c>
      <c r="AO105" s="3" t="e">
        <f>VLOOKUP(O105,'справочная информация'!$D$329:$E$336,2,0)</f>
        <v>#N/A</v>
      </c>
      <c r="AP105" s="3" t="e">
        <f>VLOOKUP(P105,'справочная информация'!$D$342:$E$349,2,0)</f>
        <v>#N/A</v>
      </c>
      <c r="AQ105" s="3" t="e">
        <f>VLOOKUP(Q105,'справочная информация'!$D$316:$E$325,2,0)</f>
        <v>#N/A</v>
      </c>
      <c r="AR105" s="3" t="str">
        <f t="shared" si="41"/>
        <v/>
      </c>
      <c r="AS105" s="170" t="str">
        <f t="shared" si="42"/>
        <v/>
      </c>
      <c r="AT105" s="3" t="str">
        <f t="shared" si="43"/>
        <v/>
      </c>
      <c r="AU105" s="3" t="e">
        <f>ABS(MATCH($AX105,'справочная информация'!$A$354:$A$391,0)-MATCH($AY105,'справочная информация'!$A$354:$A$391,0))</f>
        <v>#N/A</v>
      </c>
      <c r="AV105" s="3" t="str">
        <f>IFERROR(INDEX('справочная информация'!$B$6:$R$29,MATCH('Расчет грейда'!$Y105,'справочная информация'!$A$6:$A$29,0),MATCH('Расчет грейда'!$X105,'справочная информация'!$B$5:$R$5,0)),"")</f>
        <v/>
      </c>
      <c r="AW105" s="171" t="str">
        <f>IFERROR(INDEX('справочная информация'!$B$37:$H$52,MATCH('Расчет грейда'!$AA105,'справочная информация'!$A$37:$A$52,0),MATCH('Расчет грейда'!$N105,'справочная информация'!$B$36:$H$36,0)),"")</f>
        <v/>
      </c>
      <c r="AX105" s="122" t="str">
        <f>IFERROR(INDEX('справочная информация'!$D$108:$AD$123,MATCH('Расчет грейда'!$AW105,'справочная информация'!$C$108:$C$123,0),MATCH('Расчет грейда'!$AV105,'справочная информация'!$D$107:$AD$107,0)),"")</f>
        <v/>
      </c>
      <c r="AY105" s="133" t="str">
        <f>IFERROR(INDEX('справочная информация'!$B$158:$Y$181,MATCH('Расчет грейда'!$AE105,'справочная информация'!$A$158:$A$181,0),MATCH('Расчет грейда'!$AD105,'справочная информация'!$B$157:$Y$157,0)),"")</f>
        <v/>
      </c>
      <c r="AZ105" s="170" t="str">
        <f t="shared" si="44"/>
        <v/>
      </c>
      <c r="BA105" s="172" t="str">
        <f>IFERROR(CONCATENATE(TEXT(AZ105/INDEX('справочная информация'!$D$223:$D$261,MATCH('Расчет грейда'!$AZ105,'справочная информация'!$C$223:$C$261,1)),"0%")," - процент относительно медианы 100%. ","MIN балл на грейде ",INDEX('справочная информация'!$C$223:$C$261,MATCH('Расчет грейда'!$AZ105,'справочная информация'!$C$223:$C$261,1)),", "," MAX балл на грейде ",INDEX('справочная информация'!$E$223:$E$261,MATCH('Расчет грейда'!$AZ105,'справочная информация'!$C$223:$C$261,1))),"")</f>
        <v/>
      </c>
      <c r="BB105" s="120" t="str">
        <f t="shared" si="45"/>
        <v/>
      </c>
      <c r="BC105" s="3" t="str">
        <f t="shared" si="46"/>
        <v/>
      </c>
      <c r="BD105" s="121" t="str">
        <f>IFERROR(VLOOKUP(BC105,'справочная информация'!$B$416:$C$424,2,0),"Проверить данные, нетипичная должность")</f>
        <v>Проверить данные, нетипичная должность</v>
      </c>
      <c r="BE105" s="3" t="str">
        <f t="shared" si="47"/>
        <v/>
      </c>
      <c r="BF105" s="3" t="str">
        <f>IFERROR(INDEX('справочная информация'!$F$223:$F$261,MATCH('Расчет грейда'!$AZ105,'справочная информация'!$C$223:$C$261,1)),"")</f>
        <v/>
      </c>
    </row>
    <row r="106" spans="1:58" s="9" customFormat="1" x14ac:dyDescent="0.35">
      <c r="A106" s="120"/>
      <c r="B106" s="122"/>
      <c r="C106" s="140"/>
      <c r="D106" s="120"/>
      <c r="E106" s="120"/>
      <c r="F106" s="120"/>
      <c r="G106" s="120"/>
      <c r="H106" s="120"/>
      <c r="J106" s="142"/>
      <c r="K106" s="142"/>
      <c r="L106" s="142"/>
      <c r="R106" s="3"/>
      <c r="S106" s="138"/>
      <c r="T106" s="3"/>
      <c r="U106" s="3"/>
      <c r="V106" s="3"/>
      <c r="W106" s="3" t="str">
        <f t="shared" si="32"/>
        <v/>
      </c>
      <c r="X106" s="9" t="str">
        <f t="shared" si="33"/>
        <v/>
      </c>
      <c r="Y106" s="9" t="str">
        <f t="shared" si="34"/>
        <v/>
      </c>
      <c r="Z106" s="3" t="e">
        <f>INDEX('справочная информация'!$U$6:$AK$29,MATCH('Расчет грейда'!$Y106,'справочная информация'!$T$6:$T$29,0),MATCH('Расчет грейда'!$X106,'справочная информация'!$U$5:$AK$5,0))</f>
        <v>#N/A</v>
      </c>
      <c r="AA106" s="9" t="str">
        <f t="shared" si="35"/>
        <v/>
      </c>
      <c r="AB106" s="3" t="e">
        <f>INDEX('справочная информация'!$B$68:$H$83,MATCH('Расчет грейда'!$AA106,'справочная информация'!$A$68:$A$83,0),MATCH('Расчет грейда'!$N106,'справочная информация'!$B$67:$H$67,0))</f>
        <v>#N/A</v>
      </c>
      <c r="AC106" s="3" t="e">
        <f>INDEX('справочная информация'!$D$130:$AD$145,MATCH('Расчет грейда'!$AW106,'справочная информация'!$C$130:$C$145,0),MATCH('Расчет грейда'!$AV106,'справочная информация'!$D$129:$AD$129,0))</f>
        <v>#N/A</v>
      </c>
      <c r="AD106" s="9" t="str">
        <f t="shared" si="36"/>
        <v/>
      </c>
      <c r="AE106" s="9" t="str">
        <f t="shared" si="37"/>
        <v/>
      </c>
      <c r="AF106" s="3" t="str">
        <f>IFERROR(IF(AND(AD106="",AE106=""),"",INDEX('справочная информация'!$B$188:$Y$211,MATCH('Расчет грейда'!$AE106,'справочная информация'!$A$188:$A$211,0),MATCH('Расчет грейда'!$AD106,'справочная информация'!$B$187:$Y$187,0))),"НЕТ")</f>
        <v/>
      </c>
      <c r="AG106" s="3" t="e">
        <f>VLOOKUP(J106,'справочная информация'!$D$267:$E$274,2,0)</f>
        <v>#N/A</v>
      </c>
      <c r="AH106" s="3" t="e">
        <f>VLOOKUP(K106,'справочная информация'!$D$279:$E$283,2,0)</f>
        <v>#N/A</v>
      </c>
      <c r="AI106" s="3" t="e">
        <f>VLOOKUP(L106,'справочная информация'!$D$288:$E$290,2,0)</f>
        <v>#N/A</v>
      </c>
      <c r="AJ106" s="3" t="str">
        <f t="shared" si="38"/>
        <v/>
      </c>
      <c r="AK106" s="169" t="e">
        <f>VLOOKUP(M106,'справочная информация'!$D$294:$E$301,2,0)</f>
        <v>#N/A</v>
      </c>
      <c r="AL106" s="3" t="e">
        <f>VLOOKUP(N106,'справочная информация'!$D$306:$E$310,2,0)</f>
        <v>#N/A</v>
      </c>
      <c r="AM106" s="169" t="str">
        <f t="shared" si="39"/>
        <v>()</v>
      </c>
      <c r="AN106" s="3" t="str">
        <f t="shared" si="40"/>
        <v/>
      </c>
      <c r="AO106" s="3" t="e">
        <f>VLOOKUP(O106,'справочная информация'!$D$329:$E$336,2,0)</f>
        <v>#N/A</v>
      </c>
      <c r="AP106" s="3" t="e">
        <f>VLOOKUP(P106,'справочная информация'!$D$342:$E$349,2,0)</f>
        <v>#N/A</v>
      </c>
      <c r="AQ106" s="3" t="e">
        <f>VLOOKUP(Q106,'справочная информация'!$D$316:$E$325,2,0)</f>
        <v>#N/A</v>
      </c>
      <c r="AR106" s="3" t="str">
        <f t="shared" si="41"/>
        <v/>
      </c>
      <c r="AS106" s="170" t="str">
        <f t="shared" si="42"/>
        <v/>
      </c>
      <c r="AT106" s="3" t="str">
        <f t="shared" si="43"/>
        <v/>
      </c>
      <c r="AU106" s="3" t="e">
        <f>ABS(MATCH($AX106,'справочная информация'!$A$354:$A$391,0)-MATCH($AY106,'справочная информация'!$A$354:$A$391,0))</f>
        <v>#N/A</v>
      </c>
      <c r="AV106" s="3" t="str">
        <f>IFERROR(INDEX('справочная информация'!$B$6:$R$29,MATCH('Расчет грейда'!$Y106,'справочная информация'!$A$6:$A$29,0),MATCH('Расчет грейда'!$X106,'справочная информация'!$B$5:$R$5,0)),"")</f>
        <v/>
      </c>
      <c r="AW106" s="171" t="str">
        <f>IFERROR(INDEX('справочная информация'!$B$37:$H$52,MATCH('Расчет грейда'!$AA106,'справочная информация'!$A$37:$A$52,0),MATCH('Расчет грейда'!$N106,'справочная информация'!$B$36:$H$36,0)),"")</f>
        <v/>
      </c>
      <c r="AX106" s="122" t="str">
        <f>IFERROR(INDEX('справочная информация'!$D$108:$AD$123,MATCH('Расчет грейда'!$AW106,'справочная информация'!$C$108:$C$123,0),MATCH('Расчет грейда'!$AV106,'справочная информация'!$D$107:$AD$107,0)),"")</f>
        <v/>
      </c>
      <c r="AY106" s="133" t="str">
        <f>IFERROR(INDEX('справочная информация'!$B$158:$Y$181,MATCH('Расчет грейда'!$AE106,'справочная информация'!$A$158:$A$181,0),MATCH('Расчет грейда'!$AD106,'справочная информация'!$B$157:$Y$157,0)),"")</f>
        <v/>
      </c>
      <c r="AZ106" s="170" t="str">
        <f t="shared" si="44"/>
        <v/>
      </c>
      <c r="BA106" s="172" t="str">
        <f>IFERROR(CONCATENATE(TEXT(AZ106/INDEX('справочная информация'!$D$223:$D$261,MATCH('Расчет грейда'!$AZ106,'справочная информация'!$C$223:$C$261,1)),"0%")," - процент относительно медианы 100%. ","MIN балл на грейде ",INDEX('справочная информация'!$C$223:$C$261,MATCH('Расчет грейда'!$AZ106,'справочная информация'!$C$223:$C$261,1)),", "," MAX балл на грейде ",INDEX('справочная информация'!$E$223:$E$261,MATCH('Расчет грейда'!$AZ106,'справочная информация'!$C$223:$C$261,1))),"")</f>
        <v/>
      </c>
      <c r="BB106" s="120" t="str">
        <f t="shared" si="45"/>
        <v/>
      </c>
      <c r="BC106" s="3" t="str">
        <f t="shared" si="46"/>
        <v/>
      </c>
      <c r="BD106" s="121" t="str">
        <f>IFERROR(VLOOKUP(BC106,'справочная информация'!$B$416:$C$424,2,0),"Проверить данные, нетипичная должность")</f>
        <v>Проверить данные, нетипичная должность</v>
      </c>
      <c r="BE106" s="3" t="str">
        <f t="shared" si="47"/>
        <v/>
      </c>
      <c r="BF106" s="3" t="str">
        <f>IFERROR(INDEX('справочная информация'!$F$223:$F$261,MATCH('Расчет грейда'!$AZ106,'справочная информация'!$C$223:$C$261,1)),"")</f>
        <v/>
      </c>
    </row>
    <row r="107" spans="1:58" s="9" customFormat="1" x14ac:dyDescent="0.35">
      <c r="A107" s="120"/>
      <c r="B107" s="122"/>
      <c r="C107" s="140"/>
      <c r="D107" s="120"/>
      <c r="E107" s="120"/>
      <c r="F107" s="120"/>
      <c r="G107" s="120"/>
      <c r="H107" s="120"/>
      <c r="J107" s="142"/>
      <c r="K107" s="142"/>
      <c r="L107" s="142"/>
      <c r="R107" s="3"/>
      <c r="S107" s="138"/>
      <c r="T107" s="3"/>
      <c r="U107" s="3"/>
      <c r="V107" s="3"/>
      <c r="W107" s="3" t="str">
        <f t="shared" si="32"/>
        <v/>
      </c>
      <c r="X107" s="9" t="str">
        <f t="shared" si="33"/>
        <v/>
      </c>
      <c r="Y107" s="9" t="str">
        <f t="shared" si="34"/>
        <v/>
      </c>
      <c r="Z107" s="3" t="e">
        <f>INDEX('справочная информация'!$U$6:$AK$29,MATCH('Расчет грейда'!$Y107,'справочная информация'!$T$6:$T$29,0),MATCH('Расчет грейда'!$X107,'справочная информация'!$U$5:$AK$5,0))</f>
        <v>#N/A</v>
      </c>
      <c r="AA107" s="9" t="str">
        <f t="shared" si="35"/>
        <v/>
      </c>
      <c r="AB107" s="3" t="e">
        <f>INDEX('справочная информация'!$B$68:$H$83,MATCH('Расчет грейда'!$AA107,'справочная информация'!$A$68:$A$83,0),MATCH('Расчет грейда'!$N107,'справочная информация'!$B$67:$H$67,0))</f>
        <v>#N/A</v>
      </c>
      <c r="AC107" s="3" t="e">
        <f>INDEX('справочная информация'!$D$130:$AD$145,MATCH('Расчет грейда'!$AW107,'справочная информация'!$C$130:$C$145,0),MATCH('Расчет грейда'!$AV107,'справочная информация'!$D$129:$AD$129,0))</f>
        <v>#N/A</v>
      </c>
      <c r="AD107" s="9" t="str">
        <f t="shared" si="36"/>
        <v/>
      </c>
      <c r="AE107" s="9" t="str">
        <f t="shared" si="37"/>
        <v/>
      </c>
      <c r="AF107" s="3" t="str">
        <f>IFERROR(IF(AND(AD107="",AE107=""),"",INDEX('справочная информация'!$B$188:$Y$211,MATCH('Расчет грейда'!$AE107,'справочная информация'!$A$188:$A$211,0),MATCH('Расчет грейда'!$AD107,'справочная информация'!$B$187:$Y$187,0))),"НЕТ")</f>
        <v/>
      </c>
      <c r="AG107" s="3" t="e">
        <f>VLOOKUP(J107,'справочная информация'!$D$267:$E$274,2,0)</f>
        <v>#N/A</v>
      </c>
      <c r="AH107" s="3" t="e">
        <f>VLOOKUP(K107,'справочная информация'!$D$279:$E$283,2,0)</f>
        <v>#N/A</v>
      </c>
      <c r="AI107" s="3" t="e">
        <f>VLOOKUP(L107,'справочная информация'!$D$288:$E$290,2,0)</f>
        <v>#N/A</v>
      </c>
      <c r="AJ107" s="3" t="str">
        <f t="shared" si="38"/>
        <v/>
      </c>
      <c r="AK107" s="169" t="e">
        <f>VLOOKUP(M107,'справочная информация'!$D$294:$E$301,2,0)</f>
        <v>#N/A</v>
      </c>
      <c r="AL107" s="3" t="e">
        <f>VLOOKUP(N107,'справочная информация'!$D$306:$E$310,2,0)</f>
        <v>#N/A</v>
      </c>
      <c r="AM107" s="169" t="str">
        <f t="shared" si="39"/>
        <v>()</v>
      </c>
      <c r="AN107" s="3" t="str">
        <f t="shared" si="40"/>
        <v/>
      </c>
      <c r="AO107" s="3" t="e">
        <f>VLOOKUP(O107,'справочная информация'!$D$329:$E$336,2,0)</f>
        <v>#N/A</v>
      </c>
      <c r="AP107" s="3" t="e">
        <f>VLOOKUP(P107,'справочная информация'!$D$342:$E$349,2,0)</f>
        <v>#N/A</v>
      </c>
      <c r="AQ107" s="3" t="e">
        <f>VLOOKUP(Q107,'справочная информация'!$D$316:$E$325,2,0)</f>
        <v>#N/A</v>
      </c>
      <c r="AR107" s="3" t="str">
        <f t="shared" si="41"/>
        <v/>
      </c>
      <c r="AS107" s="170" t="str">
        <f t="shared" si="42"/>
        <v/>
      </c>
      <c r="AT107" s="3" t="str">
        <f t="shared" si="43"/>
        <v/>
      </c>
      <c r="AU107" s="3" t="e">
        <f>ABS(MATCH($AX107,'справочная информация'!$A$354:$A$391,0)-MATCH($AY107,'справочная информация'!$A$354:$A$391,0))</f>
        <v>#N/A</v>
      </c>
      <c r="AV107" s="3" t="str">
        <f>IFERROR(INDEX('справочная информация'!$B$6:$R$29,MATCH('Расчет грейда'!$Y107,'справочная информация'!$A$6:$A$29,0),MATCH('Расчет грейда'!$X107,'справочная информация'!$B$5:$R$5,0)),"")</f>
        <v/>
      </c>
      <c r="AW107" s="171" t="str">
        <f>IFERROR(INDEX('справочная информация'!$B$37:$H$52,MATCH('Расчет грейда'!$AA107,'справочная информация'!$A$37:$A$52,0),MATCH('Расчет грейда'!$N107,'справочная информация'!$B$36:$H$36,0)),"")</f>
        <v/>
      </c>
      <c r="AX107" s="122" t="str">
        <f>IFERROR(INDEX('справочная информация'!$D$108:$AD$123,MATCH('Расчет грейда'!$AW107,'справочная информация'!$C$108:$C$123,0),MATCH('Расчет грейда'!$AV107,'справочная информация'!$D$107:$AD$107,0)),"")</f>
        <v/>
      </c>
      <c r="AY107" s="133" t="str">
        <f>IFERROR(INDEX('справочная информация'!$B$158:$Y$181,MATCH('Расчет грейда'!$AE107,'справочная информация'!$A$158:$A$181,0),MATCH('Расчет грейда'!$AD107,'справочная информация'!$B$157:$Y$157,0)),"")</f>
        <v/>
      </c>
      <c r="AZ107" s="170" t="str">
        <f t="shared" si="44"/>
        <v/>
      </c>
      <c r="BA107" s="172" t="str">
        <f>IFERROR(CONCATENATE(TEXT(AZ107/INDEX('справочная информация'!$D$223:$D$261,MATCH('Расчет грейда'!$AZ107,'справочная информация'!$C$223:$C$261,1)),"0%")," - процент относительно медианы 100%. ","MIN балл на грейде ",INDEX('справочная информация'!$C$223:$C$261,MATCH('Расчет грейда'!$AZ107,'справочная информация'!$C$223:$C$261,1)),", "," MAX балл на грейде ",INDEX('справочная информация'!$E$223:$E$261,MATCH('Расчет грейда'!$AZ107,'справочная информация'!$C$223:$C$261,1))),"")</f>
        <v/>
      </c>
      <c r="BB107" s="120" t="str">
        <f t="shared" si="45"/>
        <v/>
      </c>
      <c r="BC107" s="3" t="str">
        <f t="shared" si="46"/>
        <v/>
      </c>
      <c r="BD107" s="121" t="str">
        <f>IFERROR(VLOOKUP(BC107,'справочная информация'!$B$416:$C$424,2,0),"Проверить данные, нетипичная должность")</f>
        <v>Проверить данные, нетипичная должность</v>
      </c>
      <c r="BE107" s="3" t="str">
        <f t="shared" si="47"/>
        <v/>
      </c>
      <c r="BF107" s="3" t="str">
        <f>IFERROR(INDEX('справочная информация'!$F$223:$F$261,MATCH('Расчет грейда'!$AZ107,'справочная информация'!$C$223:$C$261,1)),"")</f>
        <v/>
      </c>
    </row>
    <row r="108" spans="1:58" s="9" customFormat="1" x14ac:dyDescent="0.35">
      <c r="A108" s="120"/>
      <c r="B108" s="122"/>
      <c r="C108" s="140"/>
      <c r="D108" s="120"/>
      <c r="E108" s="120"/>
      <c r="F108" s="120"/>
      <c r="G108" s="120"/>
      <c r="H108" s="120"/>
      <c r="J108" s="142"/>
      <c r="K108" s="142"/>
      <c r="L108" s="142"/>
      <c r="R108" s="3"/>
      <c r="S108" s="138"/>
      <c r="T108" s="3"/>
      <c r="U108" s="3"/>
      <c r="V108" s="3"/>
      <c r="W108" s="3" t="str">
        <f t="shared" si="32"/>
        <v/>
      </c>
      <c r="X108" s="9" t="str">
        <f t="shared" si="33"/>
        <v/>
      </c>
      <c r="Y108" s="9" t="str">
        <f t="shared" si="34"/>
        <v/>
      </c>
      <c r="Z108" s="3" t="e">
        <f>INDEX('справочная информация'!$U$6:$AK$29,MATCH('Расчет грейда'!$Y108,'справочная информация'!$T$6:$T$29,0),MATCH('Расчет грейда'!$X108,'справочная информация'!$U$5:$AK$5,0))</f>
        <v>#N/A</v>
      </c>
      <c r="AA108" s="9" t="str">
        <f t="shared" si="35"/>
        <v/>
      </c>
      <c r="AB108" s="3" t="e">
        <f>INDEX('справочная информация'!$B$68:$H$83,MATCH('Расчет грейда'!$AA108,'справочная информация'!$A$68:$A$83,0),MATCH('Расчет грейда'!$N108,'справочная информация'!$B$67:$H$67,0))</f>
        <v>#N/A</v>
      </c>
      <c r="AC108" s="3" t="e">
        <f>INDEX('справочная информация'!$D$130:$AD$145,MATCH('Расчет грейда'!$AW108,'справочная информация'!$C$130:$C$145,0),MATCH('Расчет грейда'!$AV108,'справочная информация'!$D$129:$AD$129,0))</f>
        <v>#N/A</v>
      </c>
      <c r="AD108" s="9" t="str">
        <f t="shared" si="36"/>
        <v/>
      </c>
      <c r="AE108" s="9" t="str">
        <f t="shared" si="37"/>
        <v/>
      </c>
      <c r="AF108" s="3" t="str">
        <f>IFERROR(IF(AND(AD108="",AE108=""),"",INDEX('справочная информация'!$B$188:$Y$211,MATCH('Расчет грейда'!$AE108,'справочная информация'!$A$188:$A$211,0),MATCH('Расчет грейда'!$AD108,'справочная информация'!$B$187:$Y$187,0))),"НЕТ")</f>
        <v/>
      </c>
      <c r="AG108" s="3" t="e">
        <f>VLOOKUP(J108,'справочная информация'!$D$267:$E$274,2,0)</f>
        <v>#N/A</v>
      </c>
      <c r="AH108" s="3" t="e">
        <f>VLOOKUP(K108,'справочная информация'!$D$279:$E$283,2,0)</f>
        <v>#N/A</v>
      </c>
      <c r="AI108" s="3" t="e">
        <f>VLOOKUP(L108,'справочная информация'!$D$288:$E$290,2,0)</f>
        <v>#N/A</v>
      </c>
      <c r="AJ108" s="3" t="str">
        <f t="shared" si="38"/>
        <v/>
      </c>
      <c r="AK108" s="169" t="e">
        <f>VLOOKUP(M108,'справочная информация'!$D$294:$E$301,2,0)</f>
        <v>#N/A</v>
      </c>
      <c r="AL108" s="3" t="e">
        <f>VLOOKUP(N108,'справочная информация'!$D$306:$E$310,2,0)</f>
        <v>#N/A</v>
      </c>
      <c r="AM108" s="169" t="str">
        <f t="shared" si="39"/>
        <v>()</v>
      </c>
      <c r="AN108" s="3" t="str">
        <f t="shared" si="40"/>
        <v/>
      </c>
      <c r="AO108" s="3" t="e">
        <f>VLOOKUP(O108,'справочная информация'!$D$329:$E$336,2,0)</f>
        <v>#N/A</v>
      </c>
      <c r="AP108" s="3" t="e">
        <f>VLOOKUP(P108,'справочная информация'!$D$342:$E$349,2,0)</f>
        <v>#N/A</v>
      </c>
      <c r="AQ108" s="3" t="e">
        <f>VLOOKUP(Q108,'справочная информация'!$D$316:$E$325,2,0)</f>
        <v>#N/A</v>
      </c>
      <c r="AR108" s="3" t="str">
        <f t="shared" si="41"/>
        <v/>
      </c>
      <c r="AS108" s="170" t="str">
        <f t="shared" si="42"/>
        <v/>
      </c>
      <c r="AT108" s="3" t="str">
        <f t="shared" si="43"/>
        <v/>
      </c>
      <c r="AU108" s="3" t="e">
        <f>ABS(MATCH($AX108,'справочная информация'!$A$354:$A$391,0)-MATCH($AY108,'справочная информация'!$A$354:$A$391,0))</f>
        <v>#N/A</v>
      </c>
      <c r="AV108" s="3" t="str">
        <f>IFERROR(INDEX('справочная информация'!$B$6:$R$29,MATCH('Расчет грейда'!$Y108,'справочная информация'!$A$6:$A$29,0),MATCH('Расчет грейда'!$X108,'справочная информация'!$B$5:$R$5,0)),"")</f>
        <v/>
      </c>
      <c r="AW108" s="171" t="str">
        <f>IFERROR(INDEX('справочная информация'!$B$37:$H$52,MATCH('Расчет грейда'!$AA108,'справочная информация'!$A$37:$A$52,0),MATCH('Расчет грейда'!$N108,'справочная информация'!$B$36:$H$36,0)),"")</f>
        <v/>
      </c>
      <c r="AX108" s="122" t="str">
        <f>IFERROR(INDEX('справочная информация'!$D$108:$AD$123,MATCH('Расчет грейда'!$AW108,'справочная информация'!$C$108:$C$123,0),MATCH('Расчет грейда'!$AV108,'справочная информация'!$D$107:$AD$107,0)),"")</f>
        <v/>
      </c>
      <c r="AY108" s="133" t="str">
        <f>IFERROR(INDEX('справочная информация'!$B$158:$Y$181,MATCH('Расчет грейда'!$AE108,'справочная информация'!$A$158:$A$181,0),MATCH('Расчет грейда'!$AD108,'справочная информация'!$B$157:$Y$157,0)),"")</f>
        <v/>
      </c>
      <c r="AZ108" s="170" t="str">
        <f t="shared" si="44"/>
        <v/>
      </c>
      <c r="BA108" s="172" t="str">
        <f>IFERROR(CONCATENATE(TEXT(AZ108/INDEX('справочная информация'!$D$223:$D$261,MATCH('Расчет грейда'!$AZ108,'справочная информация'!$C$223:$C$261,1)),"0%")," - процент относительно медианы 100%. ","MIN балл на грейде ",INDEX('справочная информация'!$C$223:$C$261,MATCH('Расчет грейда'!$AZ108,'справочная информация'!$C$223:$C$261,1)),", "," MAX балл на грейде ",INDEX('справочная информация'!$E$223:$E$261,MATCH('Расчет грейда'!$AZ108,'справочная информация'!$C$223:$C$261,1))),"")</f>
        <v/>
      </c>
      <c r="BB108" s="120" t="str">
        <f t="shared" si="45"/>
        <v/>
      </c>
      <c r="BC108" s="3" t="str">
        <f t="shared" si="46"/>
        <v/>
      </c>
      <c r="BD108" s="121" t="str">
        <f>IFERROR(VLOOKUP(BC108,'справочная информация'!$B$416:$C$424,2,0),"Проверить данные, нетипичная должность")</f>
        <v>Проверить данные, нетипичная должность</v>
      </c>
      <c r="BE108" s="3" t="str">
        <f t="shared" si="47"/>
        <v/>
      </c>
      <c r="BF108" s="3" t="str">
        <f>IFERROR(INDEX('справочная информация'!$F$223:$F$261,MATCH('Расчет грейда'!$AZ108,'справочная информация'!$C$223:$C$261,1)),"")</f>
        <v/>
      </c>
    </row>
    <row r="109" spans="1:58" s="9" customFormat="1" x14ac:dyDescent="0.35">
      <c r="A109" s="120"/>
      <c r="B109" s="122"/>
      <c r="C109" s="140"/>
      <c r="D109" s="120"/>
      <c r="E109" s="120"/>
      <c r="F109" s="120"/>
      <c r="G109" s="120"/>
      <c r="H109" s="120"/>
      <c r="J109" s="142"/>
      <c r="K109" s="142"/>
      <c r="L109" s="142"/>
      <c r="R109" s="3"/>
      <c r="S109" s="138"/>
      <c r="T109" s="3"/>
      <c r="U109" s="3"/>
      <c r="V109" s="3"/>
      <c r="W109" s="3" t="str">
        <f t="shared" si="32"/>
        <v/>
      </c>
      <c r="X109" s="9" t="str">
        <f t="shared" si="33"/>
        <v/>
      </c>
      <c r="Y109" s="9" t="str">
        <f t="shared" si="34"/>
        <v/>
      </c>
      <c r="Z109" s="3" t="e">
        <f>INDEX('справочная информация'!$U$6:$AK$29,MATCH('Расчет грейда'!$Y109,'справочная информация'!$T$6:$T$29,0),MATCH('Расчет грейда'!$X109,'справочная информация'!$U$5:$AK$5,0))</f>
        <v>#N/A</v>
      </c>
      <c r="AA109" s="9" t="str">
        <f t="shared" si="35"/>
        <v/>
      </c>
      <c r="AB109" s="3" t="e">
        <f>INDEX('справочная информация'!$B$68:$H$83,MATCH('Расчет грейда'!$AA109,'справочная информация'!$A$68:$A$83,0),MATCH('Расчет грейда'!$N109,'справочная информация'!$B$67:$H$67,0))</f>
        <v>#N/A</v>
      </c>
      <c r="AC109" s="3" t="e">
        <f>INDEX('справочная информация'!$D$130:$AD$145,MATCH('Расчет грейда'!$AW109,'справочная информация'!$C$130:$C$145,0),MATCH('Расчет грейда'!$AV109,'справочная информация'!$D$129:$AD$129,0))</f>
        <v>#N/A</v>
      </c>
      <c r="AD109" s="9" t="str">
        <f t="shared" si="36"/>
        <v/>
      </c>
      <c r="AE109" s="9" t="str">
        <f t="shared" si="37"/>
        <v/>
      </c>
      <c r="AF109" s="3" t="str">
        <f>IFERROR(IF(AND(AD109="",AE109=""),"",INDEX('справочная информация'!$B$188:$Y$211,MATCH('Расчет грейда'!$AE109,'справочная информация'!$A$188:$A$211,0),MATCH('Расчет грейда'!$AD109,'справочная информация'!$B$187:$Y$187,0))),"НЕТ")</f>
        <v/>
      </c>
      <c r="AG109" s="3" t="e">
        <f>VLOOKUP(J109,'справочная информация'!$D$267:$E$274,2,0)</f>
        <v>#N/A</v>
      </c>
      <c r="AH109" s="3" t="e">
        <f>VLOOKUP(K109,'справочная информация'!$D$279:$E$283,2,0)</f>
        <v>#N/A</v>
      </c>
      <c r="AI109" s="3" t="e">
        <f>VLOOKUP(L109,'справочная информация'!$D$288:$E$290,2,0)</f>
        <v>#N/A</v>
      </c>
      <c r="AJ109" s="3" t="str">
        <f t="shared" si="38"/>
        <v/>
      </c>
      <c r="AK109" s="169" t="e">
        <f>VLOOKUP(M109,'справочная информация'!$D$294:$E$301,2,0)</f>
        <v>#N/A</v>
      </c>
      <c r="AL109" s="3" t="e">
        <f>VLOOKUP(N109,'справочная информация'!$D$306:$E$310,2,0)</f>
        <v>#N/A</v>
      </c>
      <c r="AM109" s="169" t="str">
        <f t="shared" si="39"/>
        <v>()</v>
      </c>
      <c r="AN109" s="3" t="str">
        <f t="shared" si="40"/>
        <v/>
      </c>
      <c r="AO109" s="3" t="e">
        <f>VLOOKUP(O109,'справочная информация'!$D$329:$E$336,2,0)</f>
        <v>#N/A</v>
      </c>
      <c r="AP109" s="3" t="e">
        <f>VLOOKUP(P109,'справочная информация'!$D$342:$E$349,2,0)</f>
        <v>#N/A</v>
      </c>
      <c r="AQ109" s="3" t="e">
        <f>VLOOKUP(Q109,'справочная информация'!$D$316:$E$325,2,0)</f>
        <v>#N/A</v>
      </c>
      <c r="AR109" s="3" t="str">
        <f t="shared" si="41"/>
        <v/>
      </c>
      <c r="AS109" s="170" t="str">
        <f t="shared" si="42"/>
        <v/>
      </c>
      <c r="AT109" s="3" t="str">
        <f t="shared" si="43"/>
        <v/>
      </c>
      <c r="AU109" s="3" t="e">
        <f>ABS(MATCH($AX109,'справочная информация'!$A$354:$A$391,0)-MATCH($AY109,'справочная информация'!$A$354:$A$391,0))</f>
        <v>#N/A</v>
      </c>
      <c r="AV109" s="3" t="str">
        <f>IFERROR(INDEX('справочная информация'!$B$6:$R$29,MATCH('Расчет грейда'!$Y109,'справочная информация'!$A$6:$A$29,0),MATCH('Расчет грейда'!$X109,'справочная информация'!$B$5:$R$5,0)),"")</f>
        <v/>
      </c>
      <c r="AW109" s="171" t="str">
        <f>IFERROR(INDEX('справочная информация'!$B$37:$H$52,MATCH('Расчет грейда'!$AA109,'справочная информация'!$A$37:$A$52,0),MATCH('Расчет грейда'!$N109,'справочная информация'!$B$36:$H$36,0)),"")</f>
        <v/>
      </c>
      <c r="AX109" s="122" t="str">
        <f>IFERROR(INDEX('справочная информация'!$D$108:$AD$123,MATCH('Расчет грейда'!$AW109,'справочная информация'!$C$108:$C$123,0),MATCH('Расчет грейда'!$AV109,'справочная информация'!$D$107:$AD$107,0)),"")</f>
        <v/>
      </c>
      <c r="AY109" s="133" t="str">
        <f>IFERROR(INDEX('справочная информация'!$B$158:$Y$181,MATCH('Расчет грейда'!$AE109,'справочная информация'!$A$158:$A$181,0),MATCH('Расчет грейда'!$AD109,'справочная информация'!$B$157:$Y$157,0)),"")</f>
        <v/>
      </c>
      <c r="AZ109" s="170" t="str">
        <f t="shared" si="44"/>
        <v/>
      </c>
      <c r="BA109" s="172" t="str">
        <f>IFERROR(CONCATENATE(TEXT(AZ109/INDEX('справочная информация'!$D$223:$D$261,MATCH('Расчет грейда'!$AZ109,'справочная информация'!$C$223:$C$261,1)),"0%")," - процент относительно медианы 100%. ","MIN балл на грейде ",INDEX('справочная информация'!$C$223:$C$261,MATCH('Расчет грейда'!$AZ109,'справочная информация'!$C$223:$C$261,1)),", "," MAX балл на грейде ",INDEX('справочная информация'!$E$223:$E$261,MATCH('Расчет грейда'!$AZ109,'справочная информация'!$C$223:$C$261,1))),"")</f>
        <v/>
      </c>
      <c r="BB109" s="120" t="str">
        <f t="shared" si="45"/>
        <v/>
      </c>
      <c r="BC109" s="3" t="str">
        <f t="shared" si="46"/>
        <v/>
      </c>
      <c r="BD109" s="121" t="str">
        <f>IFERROR(VLOOKUP(BC109,'справочная информация'!$B$416:$C$424,2,0),"Проверить данные, нетипичная должность")</f>
        <v>Проверить данные, нетипичная должность</v>
      </c>
      <c r="BE109" s="3" t="str">
        <f t="shared" si="47"/>
        <v/>
      </c>
      <c r="BF109" s="3" t="str">
        <f>IFERROR(INDEX('справочная информация'!$F$223:$F$261,MATCH('Расчет грейда'!$AZ109,'справочная информация'!$C$223:$C$261,1)),"")</f>
        <v/>
      </c>
    </row>
    <row r="110" spans="1:58" s="9" customFormat="1" x14ac:dyDescent="0.35">
      <c r="A110" s="120"/>
      <c r="B110" s="122"/>
      <c r="C110" s="140"/>
      <c r="D110" s="120"/>
      <c r="E110" s="120"/>
      <c r="F110" s="120"/>
      <c r="G110" s="120"/>
      <c r="H110" s="120"/>
      <c r="J110" s="142"/>
      <c r="K110" s="142"/>
      <c r="L110" s="142"/>
      <c r="R110" s="3"/>
      <c r="S110" s="138"/>
      <c r="T110" s="3"/>
      <c r="U110" s="3"/>
      <c r="V110" s="3"/>
      <c r="W110" s="3" t="str">
        <f t="shared" si="32"/>
        <v/>
      </c>
      <c r="X110" s="9" t="str">
        <f t="shared" si="33"/>
        <v/>
      </c>
      <c r="Y110" s="9" t="str">
        <f t="shared" si="34"/>
        <v/>
      </c>
      <c r="Z110" s="3" t="e">
        <f>INDEX('справочная информация'!$U$6:$AK$29,MATCH('Расчет грейда'!$Y110,'справочная информация'!$T$6:$T$29,0),MATCH('Расчет грейда'!$X110,'справочная информация'!$U$5:$AK$5,0))</f>
        <v>#N/A</v>
      </c>
      <c r="AA110" s="9" t="str">
        <f t="shared" si="35"/>
        <v/>
      </c>
      <c r="AB110" s="3" t="e">
        <f>INDEX('справочная информация'!$B$68:$H$83,MATCH('Расчет грейда'!$AA110,'справочная информация'!$A$68:$A$83,0),MATCH('Расчет грейда'!$N110,'справочная информация'!$B$67:$H$67,0))</f>
        <v>#N/A</v>
      </c>
      <c r="AC110" s="3" t="e">
        <f>INDEX('справочная информация'!$D$130:$AD$145,MATCH('Расчет грейда'!$AW110,'справочная информация'!$C$130:$C$145,0),MATCH('Расчет грейда'!$AV110,'справочная информация'!$D$129:$AD$129,0))</f>
        <v>#N/A</v>
      </c>
      <c r="AD110" s="9" t="str">
        <f t="shared" si="36"/>
        <v/>
      </c>
      <c r="AE110" s="9" t="str">
        <f t="shared" si="37"/>
        <v/>
      </c>
      <c r="AF110" s="3" t="str">
        <f>IFERROR(IF(AND(AD110="",AE110=""),"",INDEX('справочная информация'!$B$188:$Y$211,MATCH('Расчет грейда'!$AE110,'справочная информация'!$A$188:$A$211,0),MATCH('Расчет грейда'!$AD110,'справочная информация'!$B$187:$Y$187,0))),"НЕТ")</f>
        <v/>
      </c>
      <c r="AG110" s="3" t="e">
        <f>VLOOKUP(J110,'справочная информация'!$D$267:$E$274,2,0)</f>
        <v>#N/A</v>
      </c>
      <c r="AH110" s="3" t="e">
        <f>VLOOKUP(K110,'справочная информация'!$D$279:$E$283,2,0)</f>
        <v>#N/A</v>
      </c>
      <c r="AI110" s="3" t="e">
        <f>VLOOKUP(L110,'справочная информация'!$D$288:$E$290,2,0)</f>
        <v>#N/A</v>
      </c>
      <c r="AJ110" s="3" t="str">
        <f t="shared" si="38"/>
        <v/>
      </c>
      <c r="AK110" s="169" t="e">
        <f>VLOOKUP(M110,'справочная информация'!$D$294:$E$301,2,0)</f>
        <v>#N/A</v>
      </c>
      <c r="AL110" s="3" t="e">
        <f>VLOOKUP(N110,'справочная информация'!$D$306:$E$310,2,0)</f>
        <v>#N/A</v>
      </c>
      <c r="AM110" s="169" t="str">
        <f t="shared" si="39"/>
        <v>()</v>
      </c>
      <c r="AN110" s="3" t="str">
        <f t="shared" si="40"/>
        <v/>
      </c>
      <c r="AO110" s="3" t="e">
        <f>VLOOKUP(O110,'справочная информация'!$D$329:$E$336,2,0)</f>
        <v>#N/A</v>
      </c>
      <c r="AP110" s="3" t="e">
        <f>VLOOKUP(P110,'справочная информация'!$D$342:$E$349,2,0)</f>
        <v>#N/A</v>
      </c>
      <c r="AQ110" s="3" t="e">
        <f>VLOOKUP(Q110,'справочная информация'!$D$316:$E$325,2,0)</f>
        <v>#N/A</v>
      </c>
      <c r="AR110" s="3" t="str">
        <f t="shared" si="41"/>
        <v/>
      </c>
      <c r="AS110" s="170" t="str">
        <f t="shared" si="42"/>
        <v/>
      </c>
      <c r="AT110" s="3" t="str">
        <f t="shared" si="43"/>
        <v/>
      </c>
      <c r="AU110" s="3" t="e">
        <f>ABS(MATCH($AX110,'справочная информация'!$A$354:$A$391,0)-MATCH($AY110,'справочная информация'!$A$354:$A$391,0))</f>
        <v>#N/A</v>
      </c>
      <c r="AV110" s="3" t="str">
        <f>IFERROR(INDEX('справочная информация'!$B$6:$R$29,MATCH('Расчет грейда'!$Y110,'справочная информация'!$A$6:$A$29,0),MATCH('Расчет грейда'!$X110,'справочная информация'!$B$5:$R$5,0)),"")</f>
        <v/>
      </c>
      <c r="AW110" s="171" t="str">
        <f>IFERROR(INDEX('справочная информация'!$B$37:$H$52,MATCH('Расчет грейда'!$AA110,'справочная информация'!$A$37:$A$52,0),MATCH('Расчет грейда'!$N110,'справочная информация'!$B$36:$H$36,0)),"")</f>
        <v/>
      </c>
      <c r="AX110" s="122" t="str">
        <f>IFERROR(INDEX('справочная информация'!$D$108:$AD$123,MATCH('Расчет грейда'!$AW110,'справочная информация'!$C$108:$C$123,0),MATCH('Расчет грейда'!$AV110,'справочная информация'!$D$107:$AD$107,0)),"")</f>
        <v/>
      </c>
      <c r="AY110" s="133" t="str">
        <f>IFERROR(INDEX('справочная информация'!$B$158:$Y$181,MATCH('Расчет грейда'!$AE110,'справочная информация'!$A$158:$A$181,0),MATCH('Расчет грейда'!$AD110,'справочная информация'!$B$157:$Y$157,0)),"")</f>
        <v/>
      </c>
      <c r="AZ110" s="170" t="str">
        <f t="shared" si="44"/>
        <v/>
      </c>
      <c r="BA110" s="172" t="str">
        <f>IFERROR(CONCATENATE(TEXT(AZ110/INDEX('справочная информация'!$D$223:$D$261,MATCH('Расчет грейда'!$AZ110,'справочная информация'!$C$223:$C$261,1)),"0%")," - процент относительно медианы 100%. ","MIN балл на грейде ",INDEX('справочная информация'!$C$223:$C$261,MATCH('Расчет грейда'!$AZ110,'справочная информация'!$C$223:$C$261,1)),", "," MAX балл на грейде ",INDEX('справочная информация'!$E$223:$E$261,MATCH('Расчет грейда'!$AZ110,'справочная информация'!$C$223:$C$261,1))),"")</f>
        <v/>
      </c>
      <c r="BB110" s="120" t="str">
        <f t="shared" si="45"/>
        <v/>
      </c>
      <c r="BC110" s="3" t="str">
        <f t="shared" si="46"/>
        <v/>
      </c>
      <c r="BD110" s="121" t="str">
        <f>IFERROR(VLOOKUP(BC110,'справочная информация'!$B$416:$C$424,2,0),"Проверить данные, нетипичная должность")</f>
        <v>Проверить данные, нетипичная должность</v>
      </c>
      <c r="BE110" s="3" t="str">
        <f t="shared" si="47"/>
        <v/>
      </c>
      <c r="BF110" s="3" t="str">
        <f>IFERROR(INDEX('справочная информация'!$F$223:$F$261,MATCH('Расчет грейда'!$AZ110,'справочная информация'!$C$223:$C$261,1)),"")</f>
        <v/>
      </c>
    </row>
    <row r="111" spans="1:58" s="9" customFormat="1" x14ac:dyDescent="0.35">
      <c r="A111" s="120"/>
      <c r="B111" s="122"/>
      <c r="C111" s="140"/>
      <c r="D111" s="120"/>
      <c r="E111" s="120"/>
      <c r="F111" s="120"/>
      <c r="G111" s="120"/>
      <c r="H111" s="120"/>
      <c r="J111" s="142"/>
      <c r="K111" s="142"/>
      <c r="L111" s="142"/>
      <c r="R111" s="3"/>
      <c r="S111" s="138"/>
      <c r="T111" s="3"/>
      <c r="U111" s="3"/>
      <c r="V111" s="3"/>
      <c r="W111" s="3" t="str">
        <f t="shared" si="32"/>
        <v/>
      </c>
      <c r="X111" s="9" t="str">
        <f t="shared" si="33"/>
        <v/>
      </c>
      <c r="Y111" s="9" t="str">
        <f t="shared" si="34"/>
        <v/>
      </c>
      <c r="Z111" s="3" t="e">
        <f>INDEX('справочная информация'!$U$6:$AK$29,MATCH('Расчет грейда'!$Y111,'справочная информация'!$T$6:$T$29,0),MATCH('Расчет грейда'!$X111,'справочная информация'!$U$5:$AK$5,0))</f>
        <v>#N/A</v>
      </c>
      <c r="AA111" s="9" t="str">
        <f t="shared" si="35"/>
        <v/>
      </c>
      <c r="AB111" s="3" t="e">
        <f>INDEX('справочная информация'!$B$68:$H$83,MATCH('Расчет грейда'!$AA111,'справочная информация'!$A$68:$A$83,0),MATCH('Расчет грейда'!$N111,'справочная информация'!$B$67:$H$67,0))</f>
        <v>#N/A</v>
      </c>
      <c r="AC111" s="3" t="e">
        <f>INDEX('справочная информация'!$D$130:$AD$145,MATCH('Расчет грейда'!$AW111,'справочная информация'!$C$130:$C$145,0),MATCH('Расчет грейда'!$AV111,'справочная информация'!$D$129:$AD$129,0))</f>
        <v>#N/A</v>
      </c>
      <c r="AD111" s="9" t="str">
        <f t="shared" si="36"/>
        <v/>
      </c>
      <c r="AE111" s="9" t="str">
        <f t="shared" si="37"/>
        <v/>
      </c>
      <c r="AF111" s="3" t="str">
        <f>IFERROR(IF(AND(AD111="",AE111=""),"",INDEX('справочная информация'!$B$188:$Y$211,MATCH('Расчет грейда'!$AE111,'справочная информация'!$A$188:$A$211,0),MATCH('Расчет грейда'!$AD111,'справочная информация'!$B$187:$Y$187,0))),"НЕТ")</f>
        <v/>
      </c>
      <c r="AG111" s="3" t="e">
        <f>VLOOKUP(J111,'справочная информация'!$D$267:$E$274,2,0)</f>
        <v>#N/A</v>
      </c>
      <c r="AH111" s="3" t="e">
        <f>VLOOKUP(K111,'справочная информация'!$D$279:$E$283,2,0)</f>
        <v>#N/A</v>
      </c>
      <c r="AI111" s="3" t="e">
        <f>VLOOKUP(L111,'справочная информация'!$D$288:$E$290,2,0)</f>
        <v>#N/A</v>
      </c>
      <c r="AJ111" s="3" t="str">
        <f t="shared" si="38"/>
        <v/>
      </c>
      <c r="AK111" s="169" t="e">
        <f>VLOOKUP(M111,'справочная информация'!$D$294:$E$301,2,0)</f>
        <v>#N/A</v>
      </c>
      <c r="AL111" s="3" t="e">
        <f>VLOOKUP(N111,'справочная информация'!$D$306:$E$310,2,0)</f>
        <v>#N/A</v>
      </c>
      <c r="AM111" s="169" t="str">
        <f t="shared" si="39"/>
        <v>()</v>
      </c>
      <c r="AN111" s="3" t="str">
        <f t="shared" si="40"/>
        <v/>
      </c>
      <c r="AO111" s="3" t="e">
        <f>VLOOKUP(O111,'справочная информация'!$D$329:$E$336,2,0)</f>
        <v>#N/A</v>
      </c>
      <c r="AP111" s="3" t="e">
        <f>VLOOKUP(P111,'справочная информация'!$D$342:$E$349,2,0)</f>
        <v>#N/A</v>
      </c>
      <c r="AQ111" s="3" t="e">
        <f>VLOOKUP(Q111,'справочная информация'!$D$316:$E$325,2,0)</f>
        <v>#N/A</v>
      </c>
      <c r="AR111" s="3" t="str">
        <f t="shared" si="41"/>
        <v/>
      </c>
      <c r="AS111" s="170" t="str">
        <f t="shared" si="42"/>
        <v/>
      </c>
      <c r="AT111" s="3" t="str">
        <f t="shared" si="43"/>
        <v/>
      </c>
      <c r="AU111" s="3" t="e">
        <f>ABS(MATCH($AX111,'справочная информация'!$A$354:$A$391,0)-MATCH($AY111,'справочная информация'!$A$354:$A$391,0))</f>
        <v>#N/A</v>
      </c>
      <c r="AV111" s="3" t="str">
        <f>IFERROR(INDEX('справочная информация'!$B$6:$R$29,MATCH('Расчет грейда'!$Y111,'справочная информация'!$A$6:$A$29,0),MATCH('Расчет грейда'!$X111,'справочная информация'!$B$5:$R$5,0)),"")</f>
        <v/>
      </c>
      <c r="AW111" s="171" t="str">
        <f>IFERROR(INDEX('справочная информация'!$B$37:$H$52,MATCH('Расчет грейда'!$AA111,'справочная информация'!$A$37:$A$52,0),MATCH('Расчет грейда'!$N111,'справочная информация'!$B$36:$H$36,0)),"")</f>
        <v/>
      </c>
      <c r="AX111" s="122" t="str">
        <f>IFERROR(INDEX('справочная информация'!$D$108:$AD$123,MATCH('Расчет грейда'!$AW111,'справочная информация'!$C$108:$C$123,0),MATCH('Расчет грейда'!$AV111,'справочная информация'!$D$107:$AD$107,0)),"")</f>
        <v/>
      </c>
      <c r="AY111" s="133" t="str">
        <f>IFERROR(INDEX('справочная информация'!$B$158:$Y$181,MATCH('Расчет грейда'!$AE111,'справочная информация'!$A$158:$A$181,0),MATCH('Расчет грейда'!$AD111,'справочная информация'!$B$157:$Y$157,0)),"")</f>
        <v/>
      </c>
      <c r="AZ111" s="170" t="str">
        <f t="shared" si="44"/>
        <v/>
      </c>
      <c r="BA111" s="172" t="str">
        <f>IFERROR(CONCATENATE(TEXT(AZ111/INDEX('справочная информация'!$D$223:$D$261,MATCH('Расчет грейда'!$AZ111,'справочная информация'!$C$223:$C$261,1)),"0%")," - процент относительно медианы 100%. ","MIN балл на грейде ",INDEX('справочная информация'!$C$223:$C$261,MATCH('Расчет грейда'!$AZ111,'справочная информация'!$C$223:$C$261,1)),", "," MAX балл на грейде ",INDEX('справочная информация'!$E$223:$E$261,MATCH('Расчет грейда'!$AZ111,'справочная информация'!$C$223:$C$261,1))),"")</f>
        <v/>
      </c>
      <c r="BB111" s="120" t="str">
        <f t="shared" si="45"/>
        <v/>
      </c>
      <c r="BC111" s="3" t="str">
        <f t="shared" si="46"/>
        <v/>
      </c>
      <c r="BD111" s="121" t="str">
        <f>IFERROR(VLOOKUP(BC111,'справочная информация'!$B$416:$C$424,2,0),"Проверить данные, нетипичная должность")</f>
        <v>Проверить данные, нетипичная должность</v>
      </c>
      <c r="BE111" s="3" t="str">
        <f t="shared" si="47"/>
        <v/>
      </c>
      <c r="BF111" s="3" t="str">
        <f>IFERROR(INDEX('справочная информация'!$F$223:$F$261,MATCH('Расчет грейда'!$AZ111,'справочная информация'!$C$223:$C$261,1)),"")</f>
        <v/>
      </c>
    </row>
    <row r="112" spans="1:58" s="9" customFormat="1" x14ac:dyDescent="0.35">
      <c r="A112" s="120"/>
      <c r="B112" s="122"/>
      <c r="C112" s="140"/>
      <c r="D112" s="120"/>
      <c r="E112" s="120"/>
      <c r="F112" s="120"/>
      <c r="G112" s="120"/>
      <c r="H112" s="120"/>
      <c r="J112" s="142"/>
      <c r="K112" s="142"/>
      <c r="L112" s="142"/>
      <c r="R112" s="3"/>
      <c r="S112" s="138"/>
      <c r="T112" s="3"/>
      <c r="U112" s="3"/>
      <c r="V112" s="3"/>
      <c r="W112" s="3" t="str">
        <f t="shared" si="32"/>
        <v/>
      </c>
      <c r="X112" s="9" t="str">
        <f t="shared" si="33"/>
        <v/>
      </c>
      <c r="Y112" s="9" t="str">
        <f t="shared" si="34"/>
        <v/>
      </c>
      <c r="Z112" s="3" t="e">
        <f>INDEX('справочная информация'!$U$6:$AK$29,MATCH('Расчет грейда'!$Y112,'справочная информация'!$T$6:$T$29,0),MATCH('Расчет грейда'!$X112,'справочная информация'!$U$5:$AK$5,0))</f>
        <v>#N/A</v>
      </c>
      <c r="AA112" s="9" t="str">
        <f t="shared" si="35"/>
        <v/>
      </c>
      <c r="AB112" s="3" t="e">
        <f>INDEX('справочная информация'!$B$68:$H$83,MATCH('Расчет грейда'!$AA112,'справочная информация'!$A$68:$A$83,0),MATCH('Расчет грейда'!$N112,'справочная информация'!$B$67:$H$67,0))</f>
        <v>#N/A</v>
      </c>
      <c r="AC112" s="3" t="e">
        <f>INDEX('справочная информация'!$D$130:$AD$145,MATCH('Расчет грейда'!$AW112,'справочная информация'!$C$130:$C$145,0),MATCH('Расчет грейда'!$AV112,'справочная информация'!$D$129:$AD$129,0))</f>
        <v>#N/A</v>
      </c>
      <c r="AD112" s="9" t="str">
        <f t="shared" si="36"/>
        <v/>
      </c>
      <c r="AE112" s="9" t="str">
        <f t="shared" si="37"/>
        <v/>
      </c>
      <c r="AF112" s="3" t="str">
        <f>IFERROR(IF(AND(AD112="",AE112=""),"",INDEX('справочная информация'!$B$188:$Y$211,MATCH('Расчет грейда'!$AE112,'справочная информация'!$A$188:$A$211,0),MATCH('Расчет грейда'!$AD112,'справочная информация'!$B$187:$Y$187,0))),"НЕТ")</f>
        <v/>
      </c>
      <c r="AG112" s="3" t="e">
        <f>VLOOKUP(J112,'справочная информация'!$D$267:$E$274,2,0)</f>
        <v>#N/A</v>
      </c>
      <c r="AH112" s="3" t="e">
        <f>VLOOKUP(K112,'справочная информация'!$D$279:$E$283,2,0)</f>
        <v>#N/A</v>
      </c>
      <c r="AI112" s="3" t="e">
        <f>VLOOKUP(L112,'справочная информация'!$D$288:$E$290,2,0)</f>
        <v>#N/A</v>
      </c>
      <c r="AJ112" s="3" t="str">
        <f t="shared" si="38"/>
        <v/>
      </c>
      <c r="AK112" s="169" t="e">
        <f>VLOOKUP(M112,'справочная информация'!$D$294:$E$301,2,0)</f>
        <v>#N/A</v>
      </c>
      <c r="AL112" s="3" t="e">
        <f>VLOOKUP(N112,'справочная информация'!$D$306:$E$310,2,0)</f>
        <v>#N/A</v>
      </c>
      <c r="AM112" s="169" t="str">
        <f t="shared" si="39"/>
        <v>()</v>
      </c>
      <c r="AN112" s="3" t="str">
        <f t="shared" si="40"/>
        <v/>
      </c>
      <c r="AO112" s="3" t="e">
        <f>VLOOKUP(O112,'справочная информация'!$D$329:$E$336,2,0)</f>
        <v>#N/A</v>
      </c>
      <c r="AP112" s="3" t="e">
        <f>VLOOKUP(P112,'справочная информация'!$D$342:$E$349,2,0)</f>
        <v>#N/A</v>
      </c>
      <c r="AQ112" s="3" t="e">
        <f>VLOOKUP(Q112,'справочная информация'!$D$316:$E$325,2,0)</f>
        <v>#N/A</v>
      </c>
      <c r="AR112" s="3" t="str">
        <f t="shared" si="41"/>
        <v/>
      </c>
      <c r="AS112" s="170" t="str">
        <f t="shared" si="42"/>
        <v/>
      </c>
      <c r="AT112" s="3" t="str">
        <f t="shared" si="43"/>
        <v/>
      </c>
      <c r="AU112" s="3" t="e">
        <f>ABS(MATCH($AX112,'справочная информация'!$A$354:$A$391,0)-MATCH($AY112,'справочная информация'!$A$354:$A$391,0))</f>
        <v>#N/A</v>
      </c>
      <c r="AV112" s="3" t="str">
        <f>IFERROR(INDEX('справочная информация'!$B$6:$R$29,MATCH('Расчет грейда'!$Y112,'справочная информация'!$A$6:$A$29,0),MATCH('Расчет грейда'!$X112,'справочная информация'!$B$5:$R$5,0)),"")</f>
        <v/>
      </c>
      <c r="AW112" s="171" t="str">
        <f>IFERROR(INDEX('справочная информация'!$B$37:$H$52,MATCH('Расчет грейда'!$AA112,'справочная информация'!$A$37:$A$52,0),MATCH('Расчет грейда'!$N112,'справочная информация'!$B$36:$H$36,0)),"")</f>
        <v/>
      </c>
      <c r="AX112" s="122" t="str">
        <f>IFERROR(INDEX('справочная информация'!$D$108:$AD$123,MATCH('Расчет грейда'!$AW112,'справочная информация'!$C$108:$C$123,0),MATCH('Расчет грейда'!$AV112,'справочная информация'!$D$107:$AD$107,0)),"")</f>
        <v/>
      </c>
      <c r="AY112" s="133" t="str">
        <f>IFERROR(INDEX('справочная информация'!$B$158:$Y$181,MATCH('Расчет грейда'!$AE112,'справочная информация'!$A$158:$A$181,0),MATCH('Расчет грейда'!$AD112,'справочная информация'!$B$157:$Y$157,0)),"")</f>
        <v/>
      </c>
      <c r="AZ112" s="170" t="str">
        <f t="shared" si="44"/>
        <v/>
      </c>
      <c r="BA112" s="172" t="str">
        <f>IFERROR(CONCATENATE(TEXT(AZ112/INDEX('справочная информация'!$D$223:$D$261,MATCH('Расчет грейда'!$AZ112,'справочная информация'!$C$223:$C$261,1)),"0%")," - процент относительно медианы 100%. ","MIN балл на грейде ",INDEX('справочная информация'!$C$223:$C$261,MATCH('Расчет грейда'!$AZ112,'справочная информация'!$C$223:$C$261,1)),", "," MAX балл на грейде ",INDEX('справочная информация'!$E$223:$E$261,MATCH('Расчет грейда'!$AZ112,'справочная информация'!$C$223:$C$261,1))),"")</f>
        <v/>
      </c>
      <c r="BB112" s="120" t="str">
        <f t="shared" si="45"/>
        <v/>
      </c>
      <c r="BC112" s="3" t="str">
        <f t="shared" si="46"/>
        <v/>
      </c>
      <c r="BD112" s="121" t="str">
        <f>IFERROR(VLOOKUP(BC112,'справочная информация'!$B$416:$C$424,2,0),"Проверить данные, нетипичная должность")</f>
        <v>Проверить данные, нетипичная должность</v>
      </c>
      <c r="BE112" s="3" t="str">
        <f t="shared" si="47"/>
        <v/>
      </c>
      <c r="BF112" s="3" t="str">
        <f>IFERROR(INDEX('справочная информация'!$F$223:$F$261,MATCH('Расчет грейда'!$AZ112,'справочная информация'!$C$223:$C$261,1)),"")</f>
        <v/>
      </c>
    </row>
    <row r="113" spans="1:58" s="9" customFormat="1" x14ac:dyDescent="0.35">
      <c r="A113" s="120"/>
      <c r="B113" s="122"/>
      <c r="C113" s="140"/>
      <c r="D113" s="120"/>
      <c r="E113" s="120"/>
      <c r="F113" s="120"/>
      <c r="G113" s="120"/>
      <c r="H113" s="120"/>
      <c r="J113" s="142"/>
      <c r="K113" s="142"/>
      <c r="L113" s="142"/>
      <c r="R113" s="3"/>
      <c r="S113" s="138"/>
      <c r="T113" s="3"/>
      <c r="U113" s="3"/>
      <c r="V113" s="3"/>
      <c r="W113" s="3" t="str">
        <f t="shared" si="32"/>
        <v/>
      </c>
      <c r="X113" s="9" t="str">
        <f t="shared" si="33"/>
        <v/>
      </c>
      <c r="Y113" s="9" t="str">
        <f t="shared" si="34"/>
        <v/>
      </c>
      <c r="Z113" s="3" t="e">
        <f>INDEX('справочная информация'!$U$6:$AK$29,MATCH('Расчет грейда'!$Y113,'справочная информация'!$T$6:$T$29,0),MATCH('Расчет грейда'!$X113,'справочная информация'!$U$5:$AK$5,0))</f>
        <v>#N/A</v>
      </c>
      <c r="AA113" s="9" t="str">
        <f t="shared" si="35"/>
        <v/>
      </c>
      <c r="AB113" s="3" t="e">
        <f>INDEX('справочная информация'!$B$68:$H$83,MATCH('Расчет грейда'!$AA113,'справочная информация'!$A$68:$A$83,0),MATCH('Расчет грейда'!$N113,'справочная информация'!$B$67:$H$67,0))</f>
        <v>#N/A</v>
      </c>
      <c r="AC113" s="3" t="e">
        <f>INDEX('справочная информация'!$D$130:$AD$145,MATCH('Расчет грейда'!$AW113,'справочная информация'!$C$130:$C$145,0),MATCH('Расчет грейда'!$AV113,'справочная информация'!$D$129:$AD$129,0))</f>
        <v>#N/A</v>
      </c>
      <c r="AD113" s="9" t="str">
        <f t="shared" si="36"/>
        <v/>
      </c>
      <c r="AE113" s="9" t="str">
        <f t="shared" si="37"/>
        <v/>
      </c>
      <c r="AF113" s="3" t="str">
        <f>IFERROR(IF(AND(AD113="",AE113=""),"",INDEX('справочная информация'!$B$188:$Y$211,MATCH('Расчет грейда'!$AE113,'справочная информация'!$A$188:$A$211,0),MATCH('Расчет грейда'!$AD113,'справочная информация'!$B$187:$Y$187,0))),"НЕТ")</f>
        <v/>
      </c>
      <c r="AG113" s="3" t="e">
        <f>VLOOKUP(J113,'справочная информация'!$D$267:$E$274,2,0)</f>
        <v>#N/A</v>
      </c>
      <c r="AH113" s="3" t="e">
        <f>VLOOKUP(K113,'справочная информация'!$D$279:$E$283,2,0)</f>
        <v>#N/A</v>
      </c>
      <c r="AI113" s="3" t="e">
        <f>VLOOKUP(L113,'справочная информация'!$D$288:$E$290,2,0)</f>
        <v>#N/A</v>
      </c>
      <c r="AJ113" s="3" t="str">
        <f t="shared" si="38"/>
        <v/>
      </c>
      <c r="AK113" s="169" t="e">
        <f>VLOOKUP(M113,'справочная информация'!$D$294:$E$301,2,0)</f>
        <v>#N/A</v>
      </c>
      <c r="AL113" s="3" t="e">
        <f>VLOOKUP(N113,'справочная информация'!$D$306:$E$310,2,0)</f>
        <v>#N/A</v>
      </c>
      <c r="AM113" s="169" t="str">
        <f t="shared" si="39"/>
        <v>()</v>
      </c>
      <c r="AN113" s="3" t="str">
        <f t="shared" si="40"/>
        <v/>
      </c>
      <c r="AO113" s="3" t="e">
        <f>VLOOKUP(O113,'справочная информация'!$D$329:$E$336,2,0)</f>
        <v>#N/A</v>
      </c>
      <c r="AP113" s="3" t="e">
        <f>VLOOKUP(P113,'справочная информация'!$D$342:$E$349,2,0)</f>
        <v>#N/A</v>
      </c>
      <c r="AQ113" s="3" t="e">
        <f>VLOOKUP(Q113,'справочная информация'!$D$316:$E$325,2,0)</f>
        <v>#N/A</v>
      </c>
      <c r="AR113" s="3" t="str">
        <f t="shared" si="41"/>
        <v/>
      </c>
      <c r="AS113" s="170" t="str">
        <f t="shared" si="42"/>
        <v/>
      </c>
      <c r="AT113" s="3" t="str">
        <f t="shared" si="43"/>
        <v/>
      </c>
      <c r="AU113" s="3" t="e">
        <f>ABS(MATCH($AX113,'справочная информация'!$A$354:$A$391,0)-MATCH($AY113,'справочная информация'!$A$354:$A$391,0))</f>
        <v>#N/A</v>
      </c>
      <c r="AV113" s="3" t="str">
        <f>IFERROR(INDEX('справочная информация'!$B$6:$R$29,MATCH('Расчет грейда'!$Y113,'справочная информация'!$A$6:$A$29,0),MATCH('Расчет грейда'!$X113,'справочная информация'!$B$5:$R$5,0)),"")</f>
        <v/>
      </c>
      <c r="AW113" s="171" t="str">
        <f>IFERROR(INDEX('справочная информация'!$B$37:$H$52,MATCH('Расчет грейда'!$AA113,'справочная информация'!$A$37:$A$52,0),MATCH('Расчет грейда'!$N113,'справочная информация'!$B$36:$H$36,0)),"")</f>
        <v/>
      </c>
      <c r="AX113" s="122" t="str">
        <f>IFERROR(INDEX('справочная информация'!$D$108:$AD$123,MATCH('Расчет грейда'!$AW113,'справочная информация'!$C$108:$C$123,0),MATCH('Расчет грейда'!$AV113,'справочная информация'!$D$107:$AD$107,0)),"")</f>
        <v/>
      </c>
      <c r="AY113" s="133" t="str">
        <f>IFERROR(INDEX('справочная информация'!$B$158:$Y$181,MATCH('Расчет грейда'!$AE113,'справочная информация'!$A$158:$A$181,0),MATCH('Расчет грейда'!$AD113,'справочная информация'!$B$157:$Y$157,0)),"")</f>
        <v/>
      </c>
      <c r="AZ113" s="170" t="str">
        <f t="shared" si="44"/>
        <v/>
      </c>
      <c r="BA113" s="172" t="str">
        <f>IFERROR(CONCATENATE(TEXT(AZ113/INDEX('справочная информация'!$D$223:$D$261,MATCH('Расчет грейда'!$AZ113,'справочная информация'!$C$223:$C$261,1)),"0%")," - процент относительно медианы 100%. ","MIN балл на грейде ",INDEX('справочная информация'!$C$223:$C$261,MATCH('Расчет грейда'!$AZ113,'справочная информация'!$C$223:$C$261,1)),", "," MAX балл на грейде ",INDEX('справочная информация'!$E$223:$E$261,MATCH('Расчет грейда'!$AZ113,'справочная информация'!$C$223:$C$261,1))),"")</f>
        <v/>
      </c>
      <c r="BB113" s="120" t="str">
        <f t="shared" si="45"/>
        <v/>
      </c>
      <c r="BC113" s="3" t="str">
        <f t="shared" si="46"/>
        <v/>
      </c>
      <c r="BD113" s="121" t="str">
        <f>IFERROR(VLOOKUP(BC113,'справочная информация'!$B$416:$C$424,2,0),"Проверить данные, нетипичная должность")</f>
        <v>Проверить данные, нетипичная должность</v>
      </c>
      <c r="BE113" s="3" t="str">
        <f t="shared" si="47"/>
        <v/>
      </c>
      <c r="BF113" s="3" t="str">
        <f>IFERROR(INDEX('справочная информация'!$F$223:$F$261,MATCH('Расчет грейда'!$AZ113,'справочная информация'!$C$223:$C$261,1)),"")</f>
        <v/>
      </c>
    </row>
    <row r="114" spans="1:58" s="9" customFormat="1" x14ac:dyDescent="0.35">
      <c r="A114" s="120"/>
      <c r="B114" s="122"/>
      <c r="C114" s="140"/>
      <c r="D114" s="120"/>
      <c r="E114" s="120"/>
      <c r="F114" s="120"/>
      <c r="G114" s="120"/>
      <c r="H114" s="120"/>
      <c r="J114" s="142"/>
      <c r="K114" s="142"/>
      <c r="L114" s="142"/>
      <c r="R114" s="3"/>
      <c r="S114" s="138"/>
      <c r="T114" s="3"/>
      <c r="U114" s="3"/>
      <c r="V114" s="3"/>
      <c r="W114" s="3" t="str">
        <f t="shared" si="32"/>
        <v/>
      </c>
      <c r="X114" s="9" t="str">
        <f t="shared" si="33"/>
        <v/>
      </c>
      <c r="Y114" s="9" t="str">
        <f t="shared" si="34"/>
        <v/>
      </c>
      <c r="Z114" s="3" t="e">
        <f>INDEX('справочная информация'!$U$6:$AK$29,MATCH('Расчет грейда'!$Y114,'справочная информация'!$T$6:$T$29,0),MATCH('Расчет грейда'!$X114,'справочная информация'!$U$5:$AK$5,0))</f>
        <v>#N/A</v>
      </c>
      <c r="AA114" s="9" t="str">
        <f t="shared" si="35"/>
        <v/>
      </c>
      <c r="AB114" s="3" t="e">
        <f>INDEX('справочная информация'!$B$68:$H$83,MATCH('Расчет грейда'!$AA114,'справочная информация'!$A$68:$A$83,0),MATCH('Расчет грейда'!$N114,'справочная информация'!$B$67:$H$67,0))</f>
        <v>#N/A</v>
      </c>
      <c r="AC114" s="3" t="e">
        <f>INDEX('справочная информация'!$D$130:$AD$145,MATCH('Расчет грейда'!$AW114,'справочная информация'!$C$130:$C$145,0),MATCH('Расчет грейда'!$AV114,'справочная информация'!$D$129:$AD$129,0))</f>
        <v>#N/A</v>
      </c>
      <c r="AD114" s="9" t="str">
        <f t="shared" si="36"/>
        <v/>
      </c>
      <c r="AE114" s="9" t="str">
        <f t="shared" si="37"/>
        <v/>
      </c>
      <c r="AF114" s="3" t="str">
        <f>IFERROR(IF(AND(AD114="",AE114=""),"",INDEX('справочная информация'!$B$188:$Y$211,MATCH('Расчет грейда'!$AE114,'справочная информация'!$A$188:$A$211,0),MATCH('Расчет грейда'!$AD114,'справочная информация'!$B$187:$Y$187,0))),"НЕТ")</f>
        <v/>
      </c>
      <c r="AG114" s="3" t="e">
        <f>VLOOKUP(J114,'справочная информация'!$D$267:$E$274,2,0)</f>
        <v>#N/A</v>
      </c>
      <c r="AH114" s="3" t="e">
        <f>VLOOKUP(K114,'справочная информация'!$D$279:$E$283,2,0)</f>
        <v>#N/A</v>
      </c>
      <c r="AI114" s="3" t="e">
        <f>VLOOKUP(L114,'справочная информация'!$D$288:$E$290,2,0)</f>
        <v>#N/A</v>
      </c>
      <c r="AJ114" s="3" t="str">
        <f t="shared" si="38"/>
        <v/>
      </c>
      <c r="AK114" s="169" t="e">
        <f>VLOOKUP(M114,'справочная информация'!$D$294:$E$301,2,0)</f>
        <v>#N/A</v>
      </c>
      <c r="AL114" s="3" t="e">
        <f>VLOOKUP(N114,'справочная информация'!$D$306:$E$310,2,0)</f>
        <v>#N/A</v>
      </c>
      <c r="AM114" s="169" t="str">
        <f t="shared" si="39"/>
        <v>()</v>
      </c>
      <c r="AN114" s="3" t="str">
        <f t="shared" si="40"/>
        <v/>
      </c>
      <c r="AO114" s="3" t="e">
        <f>VLOOKUP(O114,'справочная информация'!$D$329:$E$336,2,0)</f>
        <v>#N/A</v>
      </c>
      <c r="AP114" s="3" t="e">
        <f>VLOOKUP(P114,'справочная информация'!$D$342:$E$349,2,0)</f>
        <v>#N/A</v>
      </c>
      <c r="AQ114" s="3" t="e">
        <f>VLOOKUP(Q114,'справочная информация'!$D$316:$E$325,2,0)</f>
        <v>#N/A</v>
      </c>
      <c r="AR114" s="3" t="str">
        <f t="shared" si="41"/>
        <v/>
      </c>
      <c r="AS114" s="170" t="str">
        <f t="shared" si="42"/>
        <v/>
      </c>
      <c r="AT114" s="3" t="str">
        <f t="shared" si="43"/>
        <v/>
      </c>
      <c r="AU114" s="3" t="e">
        <f>ABS(MATCH($AX114,'справочная информация'!$A$354:$A$391,0)-MATCH($AY114,'справочная информация'!$A$354:$A$391,0))</f>
        <v>#N/A</v>
      </c>
      <c r="AV114" s="3" t="str">
        <f>IFERROR(INDEX('справочная информация'!$B$6:$R$29,MATCH('Расчет грейда'!$Y114,'справочная информация'!$A$6:$A$29,0),MATCH('Расчет грейда'!$X114,'справочная информация'!$B$5:$R$5,0)),"")</f>
        <v/>
      </c>
      <c r="AW114" s="171" t="str">
        <f>IFERROR(INDEX('справочная информация'!$B$37:$H$52,MATCH('Расчет грейда'!$AA114,'справочная информация'!$A$37:$A$52,0),MATCH('Расчет грейда'!$N114,'справочная информация'!$B$36:$H$36,0)),"")</f>
        <v/>
      </c>
      <c r="AX114" s="122" t="str">
        <f>IFERROR(INDEX('справочная информация'!$D$108:$AD$123,MATCH('Расчет грейда'!$AW114,'справочная информация'!$C$108:$C$123,0),MATCH('Расчет грейда'!$AV114,'справочная информация'!$D$107:$AD$107,0)),"")</f>
        <v/>
      </c>
      <c r="AY114" s="133" t="str">
        <f>IFERROR(INDEX('справочная информация'!$B$158:$Y$181,MATCH('Расчет грейда'!$AE114,'справочная информация'!$A$158:$A$181,0),MATCH('Расчет грейда'!$AD114,'справочная информация'!$B$157:$Y$157,0)),"")</f>
        <v/>
      </c>
      <c r="AZ114" s="170" t="str">
        <f t="shared" si="44"/>
        <v/>
      </c>
      <c r="BA114" s="172" t="str">
        <f>IFERROR(CONCATENATE(TEXT(AZ114/INDEX('справочная информация'!$D$223:$D$261,MATCH('Расчет грейда'!$AZ114,'справочная информация'!$C$223:$C$261,1)),"0%")," - процент относительно медианы 100%. ","MIN балл на грейде ",INDEX('справочная информация'!$C$223:$C$261,MATCH('Расчет грейда'!$AZ114,'справочная информация'!$C$223:$C$261,1)),", "," MAX балл на грейде ",INDEX('справочная информация'!$E$223:$E$261,MATCH('Расчет грейда'!$AZ114,'справочная информация'!$C$223:$C$261,1))),"")</f>
        <v/>
      </c>
      <c r="BB114" s="120" t="str">
        <f t="shared" si="45"/>
        <v/>
      </c>
      <c r="BC114" s="3" t="str">
        <f t="shared" si="46"/>
        <v/>
      </c>
      <c r="BD114" s="121" t="str">
        <f>IFERROR(VLOOKUP(BC114,'справочная информация'!$B$416:$C$424,2,0),"Проверить данные, нетипичная должность")</f>
        <v>Проверить данные, нетипичная должность</v>
      </c>
      <c r="BE114" s="3" t="str">
        <f t="shared" si="47"/>
        <v/>
      </c>
      <c r="BF114" s="3" t="str">
        <f>IFERROR(INDEX('справочная информация'!$F$223:$F$261,MATCH('Расчет грейда'!$AZ114,'справочная информация'!$C$223:$C$261,1)),"")</f>
        <v/>
      </c>
    </row>
    <row r="115" spans="1:58" s="9" customFormat="1" x14ac:dyDescent="0.35">
      <c r="A115" s="120"/>
      <c r="B115" s="122"/>
      <c r="C115" s="140"/>
      <c r="D115" s="120"/>
      <c r="E115" s="120"/>
      <c r="F115" s="120"/>
      <c r="G115" s="120"/>
      <c r="H115" s="120"/>
      <c r="J115" s="142"/>
      <c r="K115" s="142"/>
      <c r="L115" s="142"/>
      <c r="R115" s="3"/>
      <c r="S115" s="138"/>
      <c r="T115" s="3"/>
      <c r="U115" s="3"/>
      <c r="V115" s="3"/>
      <c r="W115" s="3" t="str">
        <f t="shared" ref="W115:W146" si="48">IF(IFERROR(BF115-6,"")&lt;0,0,IFERROR(BF115-6,""))</f>
        <v/>
      </c>
      <c r="X115" s="9" t="str">
        <f t="shared" ref="X115:X146" si="49">CONCATENATE(K115,L115)</f>
        <v/>
      </c>
      <c r="Y115" s="9" t="str">
        <f t="shared" ref="Y115:Y146" si="50">CONCATENATE(J115,T115)</f>
        <v/>
      </c>
      <c r="Z115" s="3" t="e">
        <f>INDEX('справочная информация'!$U$6:$AK$29,MATCH('Расчет грейда'!$Y115,'справочная информация'!$T$6:$T$29,0),MATCH('Расчет грейда'!$X115,'справочная информация'!$U$5:$AK$5,0))</f>
        <v>#N/A</v>
      </c>
      <c r="AA115" s="9" t="str">
        <f t="shared" ref="AA115:AA146" si="51">CONCATENATE(M115,U115)</f>
        <v/>
      </c>
      <c r="AB115" s="3" t="e">
        <f>INDEX('справочная информация'!$B$68:$H$83,MATCH('Расчет грейда'!$AA115,'справочная информация'!$A$68:$A$83,0),MATCH('Расчет грейда'!$N115,'справочная информация'!$B$67:$H$67,0))</f>
        <v>#N/A</v>
      </c>
      <c r="AC115" s="3" t="e">
        <f>INDEX('справочная информация'!$D$130:$AD$145,MATCH('Расчет грейда'!$AW115,'справочная информация'!$C$130:$C$145,0),MATCH('Расчет грейда'!$AV115,'справочная информация'!$D$129:$AD$129,0))</f>
        <v>#N/A</v>
      </c>
      <c r="AD115" s="9" t="str">
        <f t="shared" ref="AD115:AD146" si="52">CONCATENATE(P115,Q115)</f>
        <v/>
      </c>
      <c r="AE115" s="9" t="str">
        <f t="shared" ref="AE115:AE146" si="53">CONCATENATE(O115,V115)</f>
        <v/>
      </c>
      <c r="AF115" s="3" t="str">
        <f>IFERROR(IF(AND(AD115="",AE115=""),"",INDEX('справочная информация'!$B$188:$Y$211,MATCH('Расчет грейда'!$AE115,'справочная информация'!$A$188:$A$211,0),MATCH('Расчет грейда'!$AD115,'справочная информация'!$B$187:$Y$187,0))),"НЕТ")</f>
        <v/>
      </c>
      <c r="AG115" s="3" t="e">
        <f>VLOOKUP(J115,'справочная информация'!$D$267:$E$274,2,0)</f>
        <v>#N/A</v>
      </c>
      <c r="AH115" s="3" t="e">
        <f>VLOOKUP(K115,'справочная информация'!$D$279:$E$283,2,0)</f>
        <v>#N/A</v>
      </c>
      <c r="AI115" s="3" t="e">
        <f>VLOOKUP(L115,'справочная информация'!$D$288:$E$290,2,0)</f>
        <v>#N/A</v>
      </c>
      <c r="AJ115" s="3" t="str">
        <f t="shared" ref="AJ115:AJ146" si="54">AV115</f>
        <v/>
      </c>
      <c r="AK115" s="169" t="e">
        <f>VLOOKUP(M115,'справочная информация'!$D$294:$E$301,2,0)</f>
        <v>#N/A</v>
      </c>
      <c r="AL115" s="3" t="e">
        <f>VLOOKUP(N115,'справочная информация'!$D$306:$E$310,2,0)</f>
        <v>#N/A</v>
      </c>
      <c r="AM115" s="169" t="str">
        <f t="shared" ref="AM115:AM146" si="55">CONCATENATE("(",AW115,")")</f>
        <v>()</v>
      </c>
      <c r="AN115" s="3" t="str">
        <f t="shared" ref="AN115:AN146" si="56">AX115</f>
        <v/>
      </c>
      <c r="AO115" s="3" t="e">
        <f>VLOOKUP(O115,'справочная информация'!$D$329:$E$336,2,0)</f>
        <v>#N/A</v>
      </c>
      <c r="AP115" s="3" t="e">
        <f>VLOOKUP(P115,'справочная информация'!$D$342:$E$349,2,0)</f>
        <v>#N/A</v>
      </c>
      <c r="AQ115" s="3" t="e">
        <f>VLOOKUP(Q115,'справочная информация'!$D$316:$E$325,2,0)</f>
        <v>#N/A</v>
      </c>
      <c r="AR115" s="3" t="str">
        <f t="shared" ref="AR115:AR146" si="57">AY115</f>
        <v/>
      </c>
      <c r="AS115" s="170" t="str">
        <f t="shared" ref="AS115:AS146" si="58">AZ115</f>
        <v/>
      </c>
      <c r="AT115" s="3" t="str">
        <f t="shared" ref="AT115:AT146" si="59">IF(AND(AX115="",AY115=""),"",IF(AY115&gt;AX115,"A",IF(AX115=AY115,"L","P")))</f>
        <v/>
      </c>
      <c r="AU115" s="3" t="e">
        <f>ABS(MATCH($AX115,'справочная информация'!$A$354:$A$391,0)-MATCH($AY115,'справочная информация'!$A$354:$A$391,0))</f>
        <v>#N/A</v>
      </c>
      <c r="AV115" s="3" t="str">
        <f>IFERROR(INDEX('справочная информация'!$B$6:$R$29,MATCH('Расчет грейда'!$Y115,'справочная информация'!$A$6:$A$29,0),MATCH('Расчет грейда'!$X115,'справочная информация'!$B$5:$R$5,0)),"")</f>
        <v/>
      </c>
      <c r="AW115" s="171" t="str">
        <f>IFERROR(INDEX('справочная информация'!$B$37:$H$52,MATCH('Расчет грейда'!$AA115,'справочная информация'!$A$37:$A$52,0),MATCH('Расчет грейда'!$N115,'справочная информация'!$B$36:$H$36,0)),"")</f>
        <v/>
      </c>
      <c r="AX115" s="122" t="str">
        <f>IFERROR(INDEX('справочная информация'!$D$108:$AD$123,MATCH('Расчет грейда'!$AW115,'справочная информация'!$C$108:$C$123,0),MATCH('Расчет грейда'!$AV115,'справочная информация'!$D$107:$AD$107,0)),"")</f>
        <v/>
      </c>
      <c r="AY115" s="133" t="str">
        <f>IFERROR(INDEX('справочная информация'!$B$158:$Y$181,MATCH('Расчет грейда'!$AE115,'справочная информация'!$A$158:$A$181,0),MATCH('Расчет грейда'!$AD115,'справочная информация'!$B$157:$Y$157,0)),"")</f>
        <v/>
      </c>
      <c r="AZ115" s="170" t="str">
        <f t="shared" ref="AZ115:AZ146" si="60">IFERROR(AV115+AX115+AY115,"")</f>
        <v/>
      </c>
      <c r="BA115" s="172" t="str">
        <f>IFERROR(CONCATENATE(TEXT(AZ115/INDEX('справочная информация'!$D$223:$D$261,MATCH('Расчет грейда'!$AZ115,'справочная информация'!$C$223:$C$261,1)),"0%")," - процент относительно медианы 100%. ","MIN балл на грейде ",INDEX('справочная информация'!$C$223:$C$261,MATCH('Расчет грейда'!$AZ115,'справочная информация'!$C$223:$C$261,1)),", "," MAX балл на грейде ",INDEX('справочная информация'!$E$223:$E$261,MATCH('Расчет грейда'!$AZ115,'справочная информация'!$C$223:$C$261,1))),"")</f>
        <v/>
      </c>
      <c r="BB115" s="120" t="str">
        <f t="shared" ref="BB115:BB146" si="61">IFERROR(IF(AND(AX115="",AY115=""),"",IF(AY115&gt;AX115,"Ответственный профиль (ACC)",IF(AY115=AX115,"Профиль равный (L)","Профиль решения вопросов (PS)"))),"")</f>
        <v/>
      </c>
      <c r="BC115" s="3" t="str">
        <f t="shared" ref="BC115:BC146" si="62">IFERROR(CONCATENATE(AT115,AU115),"")</f>
        <v/>
      </c>
      <c r="BD115" s="121" t="str">
        <f>IFERROR(VLOOKUP(BC115,'справочная информация'!$B$416:$C$424,2,0),"Проверить данные, нетипичная должность")</f>
        <v>Проверить данные, нетипичная должность</v>
      </c>
      <c r="BE115" s="3" t="str">
        <f t="shared" ref="BE115:BE146" si="63">IFERROR(CONCATENATE(AG115,AH115,AI115,"  ",AJ115,"  ",AK115,AL115,"  ",AM115,"  ",AN115,"  ",AO115,AP115,AQ115,"  ",AR115,"  ",AS115,"  ",BC115),"")</f>
        <v/>
      </c>
      <c r="BF115" s="3" t="str">
        <f>IFERROR(INDEX('справочная информация'!$F$223:$F$261,MATCH('Расчет грейда'!$AZ115,'справочная информация'!$C$223:$C$261,1)),"")</f>
        <v/>
      </c>
    </row>
    <row r="116" spans="1:58" s="9" customFormat="1" x14ac:dyDescent="0.35">
      <c r="A116" s="120"/>
      <c r="B116" s="122"/>
      <c r="C116" s="140"/>
      <c r="D116" s="120"/>
      <c r="E116" s="120"/>
      <c r="F116" s="120"/>
      <c r="G116" s="120"/>
      <c r="H116" s="120"/>
      <c r="J116" s="142"/>
      <c r="K116" s="142"/>
      <c r="L116" s="142"/>
      <c r="R116" s="3"/>
      <c r="S116" s="138"/>
      <c r="T116" s="3"/>
      <c r="U116" s="3"/>
      <c r="V116" s="3"/>
      <c r="W116" s="3" t="str">
        <f t="shared" si="48"/>
        <v/>
      </c>
      <c r="X116" s="9" t="str">
        <f t="shared" si="49"/>
        <v/>
      </c>
      <c r="Y116" s="9" t="str">
        <f t="shared" si="50"/>
        <v/>
      </c>
      <c r="Z116" s="3" t="e">
        <f>INDEX('справочная информация'!$U$6:$AK$29,MATCH('Расчет грейда'!$Y116,'справочная информация'!$T$6:$T$29,0),MATCH('Расчет грейда'!$X116,'справочная информация'!$U$5:$AK$5,0))</f>
        <v>#N/A</v>
      </c>
      <c r="AA116" s="9" t="str">
        <f t="shared" si="51"/>
        <v/>
      </c>
      <c r="AB116" s="3" t="e">
        <f>INDEX('справочная информация'!$B$68:$H$83,MATCH('Расчет грейда'!$AA116,'справочная информация'!$A$68:$A$83,0),MATCH('Расчет грейда'!$N116,'справочная информация'!$B$67:$H$67,0))</f>
        <v>#N/A</v>
      </c>
      <c r="AC116" s="3" t="e">
        <f>INDEX('справочная информация'!$D$130:$AD$145,MATCH('Расчет грейда'!$AW116,'справочная информация'!$C$130:$C$145,0),MATCH('Расчет грейда'!$AV116,'справочная информация'!$D$129:$AD$129,0))</f>
        <v>#N/A</v>
      </c>
      <c r="AD116" s="9" t="str">
        <f t="shared" si="52"/>
        <v/>
      </c>
      <c r="AE116" s="9" t="str">
        <f t="shared" si="53"/>
        <v/>
      </c>
      <c r="AF116" s="3" t="str">
        <f>IFERROR(IF(AND(AD116="",AE116=""),"",INDEX('справочная информация'!$B$188:$Y$211,MATCH('Расчет грейда'!$AE116,'справочная информация'!$A$188:$A$211,0),MATCH('Расчет грейда'!$AD116,'справочная информация'!$B$187:$Y$187,0))),"НЕТ")</f>
        <v/>
      </c>
      <c r="AG116" s="3" t="e">
        <f>VLOOKUP(J116,'справочная информация'!$D$267:$E$274,2,0)</f>
        <v>#N/A</v>
      </c>
      <c r="AH116" s="3" t="e">
        <f>VLOOKUP(K116,'справочная информация'!$D$279:$E$283,2,0)</f>
        <v>#N/A</v>
      </c>
      <c r="AI116" s="3" t="e">
        <f>VLOOKUP(L116,'справочная информация'!$D$288:$E$290,2,0)</f>
        <v>#N/A</v>
      </c>
      <c r="AJ116" s="3" t="str">
        <f t="shared" si="54"/>
        <v/>
      </c>
      <c r="AK116" s="169" t="e">
        <f>VLOOKUP(M116,'справочная информация'!$D$294:$E$301,2,0)</f>
        <v>#N/A</v>
      </c>
      <c r="AL116" s="3" t="e">
        <f>VLOOKUP(N116,'справочная информация'!$D$306:$E$310,2,0)</f>
        <v>#N/A</v>
      </c>
      <c r="AM116" s="169" t="str">
        <f t="shared" si="55"/>
        <v>()</v>
      </c>
      <c r="AN116" s="3" t="str">
        <f t="shared" si="56"/>
        <v/>
      </c>
      <c r="AO116" s="3" t="e">
        <f>VLOOKUP(O116,'справочная информация'!$D$329:$E$336,2,0)</f>
        <v>#N/A</v>
      </c>
      <c r="AP116" s="3" t="e">
        <f>VLOOKUP(P116,'справочная информация'!$D$342:$E$349,2,0)</f>
        <v>#N/A</v>
      </c>
      <c r="AQ116" s="3" t="e">
        <f>VLOOKUP(Q116,'справочная информация'!$D$316:$E$325,2,0)</f>
        <v>#N/A</v>
      </c>
      <c r="AR116" s="3" t="str">
        <f t="shared" si="57"/>
        <v/>
      </c>
      <c r="AS116" s="170" t="str">
        <f t="shared" si="58"/>
        <v/>
      </c>
      <c r="AT116" s="3" t="str">
        <f t="shared" si="59"/>
        <v/>
      </c>
      <c r="AU116" s="3" t="e">
        <f>ABS(MATCH($AX116,'справочная информация'!$A$354:$A$391,0)-MATCH($AY116,'справочная информация'!$A$354:$A$391,0))</f>
        <v>#N/A</v>
      </c>
      <c r="AV116" s="3" t="str">
        <f>IFERROR(INDEX('справочная информация'!$B$6:$R$29,MATCH('Расчет грейда'!$Y116,'справочная информация'!$A$6:$A$29,0),MATCH('Расчет грейда'!$X116,'справочная информация'!$B$5:$R$5,0)),"")</f>
        <v/>
      </c>
      <c r="AW116" s="171" t="str">
        <f>IFERROR(INDEX('справочная информация'!$B$37:$H$52,MATCH('Расчет грейда'!$AA116,'справочная информация'!$A$37:$A$52,0),MATCH('Расчет грейда'!$N116,'справочная информация'!$B$36:$H$36,0)),"")</f>
        <v/>
      </c>
      <c r="AX116" s="122" t="str">
        <f>IFERROR(INDEX('справочная информация'!$D$108:$AD$123,MATCH('Расчет грейда'!$AW116,'справочная информация'!$C$108:$C$123,0),MATCH('Расчет грейда'!$AV116,'справочная информация'!$D$107:$AD$107,0)),"")</f>
        <v/>
      </c>
      <c r="AY116" s="133" t="str">
        <f>IFERROR(INDEX('справочная информация'!$B$158:$Y$181,MATCH('Расчет грейда'!$AE116,'справочная информация'!$A$158:$A$181,0),MATCH('Расчет грейда'!$AD116,'справочная информация'!$B$157:$Y$157,0)),"")</f>
        <v/>
      </c>
      <c r="AZ116" s="170" t="str">
        <f t="shared" si="60"/>
        <v/>
      </c>
      <c r="BA116" s="172" t="str">
        <f>IFERROR(CONCATENATE(TEXT(AZ116/INDEX('справочная информация'!$D$223:$D$261,MATCH('Расчет грейда'!$AZ116,'справочная информация'!$C$223:$C$261,1)),"0%")," - процент относительно медианы 100%. ","MIN балл на грейде ",INDEX('справочная информация'!$C$223:$C$261,MATCH('Расчет грейда'!$AZ116,'справочная информация'!$C$223:$C$261,1)),", "," MAX балл на грейде ",INDEX('справочная информация'!$E$223:$E$261,MATCH('Расчет грейда'!$AZ116,'справочная информация'!$C$223:$C$261,1))),"")</f>
        <v/>
      </c>
      <c r="BB116" s="120" t="str">
        <f t="shared" si="61"/>
        <v/>
      </c>
      <c r="BC116" s="3" t="str">
        <f t="shared" si="62"/>
        <v/>
      </c>
      <c r="BD116" s="121" t="str">
        <f>IFERROR(VLOOKUP(BC116,'справочная информация'!$B$416:$C$424,2,0),"Проверить данные, нетипичная должность")</f>
        <v>Проверить данные, нетипичная должность</v>
      </c>
      <c r="BE116" s="3" t="str">
        <f t="shared" si="63"/>
        <v/>
      </c>
      <c r="BF116" s="3" t="str">
        <f>IFERROR(INDEX('справочная информация'!$F$223:$F$261,MATCH('Расчет грейда'!$AZ116,'справочная информация'!$C$223:$C$261,1)),"")</f>
        <v/>
      </c>
    </row>
    <row r="117" spans="1:58" s="9" customFormat="1" x14ac:dyDescent="0.35">
      <c r="A117" s="120"/>
      <c r="B117" s="122"/>
      <c r="C117" s="140"/>
      <c r="D117" s="120"/>
      <c r="E117" s="120"/>
      <c r="F117" s="120"/>
      <c r="G117" s="120"/>
      <c r="H117" s="120"/>
      <c r="J117" s="142"/>
      <c r="K117" s="142"/>
      <c r="L117" s="142"/>
      <c r="R117" s="3"/>
      <c r="S117" s="138"/>
      <c r="T117" s="3"/>
      <c r="U117" s="3"/>
      <c r="V117" s="3"/>
      <c r="W117" s="3" t="str">
        <f t="shared" si="48"/>
        <v/>
      </c>
      <c r="X117" s="9" t="str">
        <f t="shared" si="49"/>
        <v/>
      </c>
      <c r="Y117" s="9" t="str">
        <f t="shared" si="50"/>
        <v/>
      </c>
      <c r="Z117" s="3" t="e">
        <f>INDEX('справочная информация'!$U$6:$AK$29,MATCH('Расчет грейда'!$Y117,'справочная информация'!$T$6:$T$29,0),MATCH('Расчет грейда'!$X117,'справочная информация'!$U$5:$AK$5,0))</f>
        <v>#N/A</v>
      </c>
      <c r="AA117" s="9" t="str">
        <f t="shared" si="51"/>
        <v/>
      </c>
      <c r="AB117" s="3" t="e">
        <f>INDEX('справочная информация'!$B$68:$H$83,MATCH('Расчет грейда'!$AA117,'справочная информация'!$A$68:$A$83,0),MATCH('Расчет грейда'!$N117,'справочная информация'!$B$67:$H$67,0))</f>
        <v>#N/A</v>
      </c>
      <c r="AC117" s="3" t="e">
        <f>INDEX('справочная информация'!$D$130:$AD$145,MATCH('Расчет грейда'!$AW117,'справочная информация'!$C$130:$C$145,0),MATCH('Расчет грейда'!$AV117,'справочная информация'!$D$129:$AD$129,0))</f>
        <v>#N/A</v>
      </c>
      <c r="AD117" s="9" t="str">
        <f t="shared" si="52"/>
        <v/>
      </c>
      <c r="AE117" s="9" t="str">
        <f t="shared" si="53"/>
        <v/>
      </c>
      <c r="AF117" s="3" t="str">
        <f>IFERROR(IF(AND(AD117="",AE117=""),"",INDEX('справочная информация'!$B$188:$Y$211,MATCH('Расчет грейда'!$AE117,'справочная информация'!$A$188:$A$211,0),MATCH('Расчет грейда'!$AD117,'справочная информация'!$B$187:$Y$187,0))),"НЕТ")</f>
        <v/>
      </c>
      <c r="AG117" s="3" t="e">
        <f>VLOOKUP(J117,'справочная информация'!$D$267:$E$274,2,0)</f>
        <v>#N/A</v>
      </c>
      <c r="AH117" s="3" t="e">
        <f>VLOOKUP(K117,'справочная информация'!$D$279:$E$283,2,0)</f>
        <v>#N/A</v>
      </c>
      <c r="AI117" s="3" t="e">
        <f>VLOOKUP(L117,'справочная информация'!$D$288:$E$290,2,0)</f>
        <v>#N/A</v>
      </c>
      <c r="AJ117" s="3" t="str">
        <f t="shared" si="54"/>
        <v/>
      </c>
      <c r="AK117" s="169" t="e">
        <f>VLOOKUP(M117,'справочная информация'!$D$294:$E$301,2,0)</f>
        <v>#N/A</v>
      </c>
      <c r="AL117" s="3" t="e">
        <f>VLOOKUP(N117,'справочная информация'!$D$306:$E$310,2,0)</f>
        <v>#N/A</v>
      </c>
      <c r="AM117" s="169" t="str">
        <f t="shared" si="55"/>
        <v>()</v>
      </c>
      <c r="AN117" s="3" t="str">
        <f t="shared" si="56"/>
        <v/>
      </c>
      <c r="AO117" s="3" t="e">
        <f>VLOOKUP(O117,'справочная информация'!$D$329:$E$336,2,0)</f>
        <v>#N/A</v>
      </c>
      <c r="AP117" s="3" t="e">
        <f>VLOOKUP(P117,'справочная информация'!$D$342:$E$349,2,0)</f>
        <v>#N/A</v>
      </c>
      <c r="AQ117" s="3" t="e">
        <f>VLOOKUP(Q117,'справочная информация'!$D$316:$E$325,2,0)</f>
        <v>#N/A</v>
      </c>
      <c r="AR117" s="3" t="str">
        <f t="shared" si="57"/>
        <v/>
      </c>
      <c r="AS117" s="170" t="str">
        <f t="shared" si="58"/>
        <v/>
      </c>
      <c r="AT117" s="3" t="str">
        <f t="shared" si="59"/>
        <v/>
      </c>
      <c r="AU117" s="3" t="e">
        <f>ABS(MATCH($AX117,'справочная информация'!$A$354:$A$391,0)-MATCH($AY117,'справочная информация'!$A$354:$A$391,0))</f>
        <v>#N/A</v>
      </c>
      <c r="AV117" s="3" t="str">
        <f>IFERROR(INDEX('справочная информация'!$B$6:$R$29,MATCH('Расчет грейда'!$Y117,'справочная информация'!$A$6:$A$29,0),MATCH('Расчет грейда'!$X117,'справочная информация'!$B$5:$R$5,0)),"")</f>
        <v/>
      </c>
      <c r="AW117" s="171" t="str">
        <f>IFERROR(INDEX('справочная информация'!$B$37:$H$52,MATCH('Расчет грейда'!$AA117,'справочная информация'!$A$37:$A$52,0),MATCH('Расчет грейда'!$N117,'справочная информация'!$B$36:$H$36,0)),"")</f>
        <v/>
      </c>
      <c r="AX117" s="122" t="str">
        <f>IFERROR(INDEX('справочная информация'!$D$108:$AD$123,MATCH('Расчет грейда'!$AW117,'справочная информация'!$C$108:$C$123,0),MATCH('Расчет грейда'!$AV117,'справочная информация'!$D$107:$AD$107,0)),"")</f>
        <v/>
      </c>
      <c r="AY117" s="133" t="str">
        <f>IFERROR(INDEX('справочная информация'!$B$158:$Y$181,MATCH('Расчет грейда'!$AE117,'справочная информация'!$A$158:$A$181,0),MATCH('Расчет грейда'!$AD117,'справочная информация'!$B$157:$Y$157,0)),"")</f>
        <v/>
      </c>
      <c r="AZ117" s="170" t="str">
        <f t="shared" si="60"/>
        <v/>
      </c>
      <c r="BA117" s="172" t="str">
        <f>IFERROR(CONCATENATE(TEXT(AZ117/INDEX('справочная информация'!$D$223:$D$261,MATCH('Расчет грейда'!$AZ117,'справочная информация'!$C$223:$C$261,1)),"0%")," - процент относительно медианы 100%. ","MIN балл на грейде ",INDEX('справочная информация'!$C$223:$C$261,MATCH('Расчет грейда'!$AZ117,'справочная информация'!$C$223:$C$261,1)),", "," MAX балл на грейде ",INDEX('справочная информация'!$E$223:$E$261,MATCH('Расчет грейда'!$AZ117,'справочная информация'!$C$223:$C$261,1))),"")</f>
        <v/>
      </c>
      <c r="BB117" s="120" t="str">
        <f t="shared" si="61"/>
        <v/>
      </c>
      <c r="BC117" s="3" t="str">
        <f t="shared" si="62"/>
        <v/>
      </c>
      <c r="BD117" s="121" t="str">
        <f>IFERROR(VLOOKUP(BC117,'справочная информация'!$B$416:$C$424,2,0),"Проверить данные, нетипичная должность")</f>
        <v>Проверить данные, нетипичная должность</v>
      </c>
      <c r="BE117" s="3" t="str">
        <f t="shared" si="63"/>
        <v/>
      </c>
      <c r="BF117" s="3" t="str">
        <f>IFERROR(INDEX('справочная информация'!$F$223:$F$261,MATCH('Расчет грейда'!$AZ117,'справочная информация'!$C$223:$C$261,1)),"")</f>
        <v/>
      </c>
    </row>
    <row r="118" spans="1:58" s="9" customFormat="1" x14ac:dyDescent="0.35">
      <c r="A118" s="120"/>
      <c r="B118" s="122"/>
      <c r="C118" s="140"/>
      <c r="D118" s="120"/>
      <c r="E118" s="120"/>
      <c r="F118" s="120"/>
      <c r="G118" s="120"/>
      <c r="H118" s="120"/>
      <c r="J118" s="142"/>
      <c r="K118" s="142"/>
      <c r="L118" s="142"/>
      <c r="R118" s="3"/>
      <c r="S118" s="138"/>
      <c r="T118" s="3"/>
      <c r="U118" s="3"/>
      <c r="V118" s="3"/>
      <c r="W118" s="3" t="str">
        <f t="shared" si="48"/>
        <v/>
      </c>
      <c r="X118" s="9" t="str">
        <f t="shared" si="49"/>
        <v/>
      </c>
      <c r="Y118" s="9" t="str">
        <f t="shared" si="50"/>
        <v/>
      </c>
      <c r="Z118" s="3" t="e">
        <f>INDEX('справочная информация'!$U$6:$AK$29,MATCH('Расчет грейда'!$Y118,'справочная информация'!$T$6:$T$29,0),MATCH('Расчет грейда'!$X118,'справочная информация'!$U$5:$AK$5,0))</f>
        <v>#N/A</v>
      </c>
      <c r="AA118" s="9" t="str">
        <f t="shared" si="51"/>
        <v/>
      </c>
      <c r="AB118" s="3" t="e">
        <f>INDEX('справочная информация'!$B$68:$H$83,MATCH('Расчет грейда'!$AA118,'справочная информация'!$A$68:$A$83,0),MATCH('Расчет грейда'!$N118,'справочная информация'!$B$67:$H$67,0))</f>
        <v>#N/A</v>
      </c>
      <c r="AC118" s="3" t="e">
        <f>INDEX('справочная информация'!$D$130:$AD$145,MATCH('Расчет грейда'!$AW118,'справочная информация'!$C$130:$C$145,0),MATCH('Расчет грейда'!$AV118,'справочная информация'!$D$129:$AD$129,0))</f>
        <v>#N/A</v>
      </c>
      <c r="AD118" s="9" t="str">
        <f t="shared" si="52"/>
        <v/>
      </c>
      <c r="AE118" s="9" t="str">
        <f t="shared" si="53"/>
        <v/>
      </c>
      <c r="AF118" s="3" t="str">
        <f>IFERROR(IF(AND(AD118="",AE118=""),"",INDEX('справочная информация'!$B$188:$Y$211,MATCH('Расчет грейда'!$AE118,'справочная информация'!$A$188:$A$211,0),MATCH('Расчет грейда'!$AD118,'справочная информация'!$B$187:$Y$187,0))),"НЕТ")</f>
        <v/>
      </c>
      <c r="AG118" s="3" t="e">
        <f>VLOOKUP(J118,'справочная информация'!$D$267:$E$274,2,0)</f>
        <v>#N/A</v>
      </c>
      <c r="AH118" s="3" t="e">
        <f>VLOOKUP(K118,'справочная информация'!$D$279:$E$283,2,0)</f>
        <v>#N/A</v>
      </c>
      <c r="AI118" s="3" t="e">
        <f>VLOOKUP(L118,'справочная информация'!$D$288:$E$290,2,0)</f>
        <v>#N/A</v>
      </c>
      <c r="AJ118" s="3" t="str">
        <f t="shared" si="54"/>
        <v/>
      </c>
      <c r="AK118" s="169" t="e">
        <f>VLOOKUP(M118,'справочная информация'!$D$294:$E$301,2,0)</f>
        <v>#N/A</v>
      </c>
      <c r="AL118" s="3" t="e">
        <f>VLOOKUP(N118,'справочная информация'!$D$306:$E$310,2,0)</f>
        <v>#N/A</v>
      </c>
      <c r="AM118" s="169" t="str">
        <f t="shared" si="55"/>
        <v>()</v>
      </c>
      <c r="AN118" s="3" t="str">
        <f t="shared" si="56"/>
        <v/>
      </c>
      <c r="AO118" s="3" t="e">
        <f>VLOOKUP(O118,'справочная информация'!$D$329:$E$336,2,0)</f>
        <v>#N/A</v>
      </c>
      <c r="AP118" s="3" t="e">
        <f>VLOOKUP(P118,'справочная информация'!$D$342:$E$349,2,0)</f>
        <v>#N/A</v>
      </c>
      <c r="AQ118" s="3" t="e">
        <f>VLOOKUP(Q118,'справочная информация'!$D$316:$E$325,2,0)</f>
        <v>#N/A</v>
      </c>
      <c r="AR118" s="3" t="str">
        <f t="shared" si="57"/>
        <v/>
      </c>
      <c r="AS118" s="170" t="str">
        <f t="shared" si="58"/>
        <v/>
      </c>
      <c r="AT118" s="3" t="str">
        <f t="shared" si="59"/>
        <v/>
      </c>
      <c r="AU118" s="3" t="e">
        <f>ABS(MATCH($AX118,'справочная информация'!$A$354:$A$391,0)-MATCH($AY118,'справочная информация'!$A$354:$A$391,0))</f>
        <v>#N/A</v>
      </c>
      <c r="AV118" s="3" t="str">
        <f>IFERROR(INDEX('справочная информация'!$B$6:$R$29,MATCH('Расчет грейда'!$Y118,'справочная информация'!$A$6:$A$29,0),MATCH('Расчет грейда'!$X118,'справочная информация'!$B$5:$R$5,0)),"")</f>
        <v/>
      </c>
      <c r="AW118" s="171" t="str">
        <f>IFERROR(INDEX('справочная информация'!$B$37:$H$52,MATCH('Расчет грейда'!$AA118,'справочная информация'!$A$37:$A$52,0),MATCH('Расчет грейда'!$N118,'справочная информация'!$B$36:$H$36,0)),"")</f>
        <v/>
      </c>
      <c r="AX118" s="122" t="str">
        <f>IFERROR(INDEX('справочная информация'!$D$108:$AD$123,MATCH('Расчет грейда'!$AW118,'справочная информация'!$C$108:$C$123,0),MATCH('Расчет грейда'!$AV118,'справочная информация'!$D$107:$AD$107,0)),"")</f>
        <v/>
      </c>
      <c r="AY118" s="133" t="str">
        <f>IFERROR(INDEX('справочная информация'!$B$158:$Y$181,MATCH('Расчет грейда'!$AE118,'справочная информация'!$A$158:$A$181,0),MATCH('Расчет грейда'!$AD118,'справочная информация'!$B$157:$Y$157,0)),"")</f>
        <v/>
      </c>
      <c r="AZ118" s="170" t="str">
        <f t="shared" si="60"/>
        <v/>
      </c>
      <c r="BA118" s="172" t="str">
        <f>IFERROR(CONCATENATE(TEXT(AZ118/INDEX('справочная информация'!$D$223:$D$261,MATCH('Расчет грейда'!$AZ118,'справочная информация'!$C$223:$C$261,1)),"0%")," - процент относительно медианы 100%. ","MIN балл на грейде ",INDEX('справочная информация'!$C$223:$C$261,MATCH('Расчет грейда'!$AZ118,'справочная информация'!$C$223:$C$261,1)),", "," MAX балл на грейде ",INDEX('справочная информация'!$E$223:$E$261,MATCH('Расчет грейда'!$AZ118,'справочная информация'!$C$223:$C$261,1))),"")</f>
        <v/>
      </c>
      <c r="BB118" s="120" t="str">
        <f t="shared" si="61"/>
        <v/>
      </c>
      <c r="BC118" s="3" t="str">
        <f t="shared" si="62"/>
        <v/>
      </c>
      <c r="BD118" s="121" t="str">
        <f>IFERROR(VLOOKUP(BC118,'справочная информация'!$B$416:$C$424,2,0),"Проверить данные, нетипичная должность")</f>
        <v>Проверить данные, нетипичная должность</v>
      </c>
      <c r="BE118" s="3" t="str">
        <f t="shared" si="63"/>
        <v/>
      </c>
      <c r="BF118" s="3" t="str">
        <f>IFERROR(INDEX('справочная информация'!$F$223:$F$261,MATCH('Расчет грейда'!$AZ118,'справочная информация'!$C$223:$C$261,1)),"")</f>
        <v/>
      </c>
    </row>
    <row r="119" spans="1:58" s="9" customFormat="1" x14ac:dyDescent="0.35">
      <c r="A119" s="120"/>
      <c r="B119" s="122"/>
      <c r="C119" s="140"/>
      <c r="D119" s="120"/>
      <c r="E119" s="120"/>
      <c r="F119" s="120"/>
      <c r="G119" s="120"/>
      <c r="H119" s="120"/>
      <c r="J119" s="142"/>
      <c r="K119" s="142"/>
      <c r="L119" s="142"/>
      <c r="R119" s="3"/>
      <c r="S119" s="138"/>
      <c r="T119" s="3"/>
      <c r="U119" s="3"/>
      <c r="V119" s="3"/>
      <c r="W119" s="3" t="str">
        <f t="shared" si="48"/>
        <v/>
      </c>
      <c r="X119" s="9" t="str">
        <f t="shared" si="49"/>
        <v/>
      </c>
      <c r="Y119" s="9" t="str">
        <f t="shared" si="50"/>
        <v/>
      </c>
      <c r="Z119" s="3" t="e">
        <f>INDEX('справочная информация'!$U$6:$AK$29,MATCH('Расчет грейда'!$Y119,'справочная информация'!$T$6:$T$29,0),MATCH('Расчет грейда'!$X119,'справочная информация'!$U$5:$AK$5,0))</f>
        <v>#N/A</v>
      </c>
      <c r="AA119" s="9" t="str">
        <f t="shared" si="51"/>
        <v/>
      </c>
      <c r="AB119" s="3" t="e">
        <f>INDEX('справочная информация'!$B$68:$H$83,MATCH('Расчет грейда'!$AA119,'справочная информация'!$A$68:$A$83,0),MATCH('Расчет грейда'!$N119,'справочная информация'!$B$67:$H$67,0))</f>
        <v>#N/A</v>
      </c>
      <c r="AC119" s="3" t="e">
        <f>INDEX('справочная информация'!$D$130:$AD$145,MATCH('Расчет грейда'!$AW119,'справочная информация'!$C$130:$C$145,0),MATCH('Расчет грейда'!$AV119,'справочная информация'!$D$129:$AD$129,0))</f>
        <v>#N/A</v>
      </c>
      <c r="AD119" s="9" t="str">
        <f t="shared" si="52"/>
        <v/>
      </c>
      <c r="AE119" s="9" t="str">
        <f t="shared" si="53"/>
        <v/>
      </c>
      <c r="AF119" s="3" t="str">
        <f>IFERROR(IF(AND(AD119="",AE119=""),"",INDEX('справочная информация'!$B$188:$Y$211,MATCH('Расчет грейда'!$AE119,'справочная информация'!$A$188:$A$211,0),MATCH('Расчет грейда'!$AD119,'справочная информация'!$B$187:$Y$187,0))),"НЕТ")</f>
        <v/>
      </c>
      <c r="AG119" s="3" t="e">
        <f>VLOOKUP(J119,'справочная информация'!$D$267:$E$274,2,0)</f>
        <v>#N/A</v>
      </c>
      <c r="AH119" s="3" t="e">
        <f>VLOOKUP(K119,'справочная информация'!$D$279:$E$283,2,0)</f>
        <v>#N/A</v>
      </c>
      <c r="AI119" s="3" t="e">
        <f>VLOOKUP(L119,'справочная информация'!$D$288:$E$290,2,0)</f>
        <v>#N/A</v>
      </c>
      <c r="AJ119" s="3" t="str">
        <f t="shared" si="54"/>
        <v/>
      </c>
      <c r="AK119" s="169" t="e">
        <f>VLOOKUP(M119,'справочная информация'!$D$294:$E$301,2,0)</f>
        <v>#N/A</v>
      </c>
      <c r="AL119" s="3" t="e">
        <f>VLOOKUP(N119,'справочная информация'!$D$306:$E$310,2,0)</f>
        <v>#N/A</v>
      </c>
      <c r="AM119" s="169" t="str">
        <f t="shared" si="55"/>
        <v>()</v>
      </c>
      <c r="AN119" s="3" t="str">
        <f t="shared" si="56"/>
        <v/>
      </c>
      <c r="AO119" s="3" t="e">
        <f>VLOOKUP(O119,'справочная информация'!$D$329:$E$336,2,0)</f>
        <v>#N/A</v>
      </c>
      <c r="AP119" s="3" t="e">
        <f>VLOOKUP(P119,'справочная информация'!$D$342:$E$349,2,0)</f>
        <v>#N/A</v>
      </c>
      <c r="AQ119" s="3" t="e">
        <f>VLOOKUP(Q119,'справочная информация'!$D$316:$E$325,2,0)</f>
        <v>#N/A</v>
      </c>
      <c r="AR119" s="3" t="str">
        <f t="shared" si="57"/>
        <v/>
      </c>
      <c r="AS119" s="170" t="str">
        <f t="shared" si="58"/>
        <v/>
      </c>
      <c r="AT119" s="3" t="str">
        <f t="shared" si="59"/>
        <v/>
      </c>
      <c r="AU119" s="3" t="e">
        <f>ABS(MATCH($AX119,'справочная информация'!$A$354:$A$391,0)-MATCH($AY119,'справочная информация'!$A$354:$A$391,0))</f>
        <v>#N/A</v>
      </c>
      <c r="AV119" s="3" t="str">
        <f>IFERROR(INDEX('справочная информация'!$B$6:$R$29,MATCH('Расчет грейда'!$Y119,'справочная информация'!$A$6:$A$29,0),MATCH('Расчет грейда'!$X119,'справочная информация'!$B$5:$R$5,0)),"")</f>
        <v/>
      </c>
      <c r="AW119" s="171" t="str">
        <f>IFERROR(INDEX('справочная информация'!$B$37:$H$52,MATCH('Расчет грейда'!$AA119,'справочная информация'!$A$37:$A$52,0),MATCH('Расчет грейда'!$N119,'справочная информация'!$B$36:$H$36,0)),"")</f>
        <v/>
      </c>
      <c r="AX119" s="122" t="str">
        <f>IFERROR(INDEX('справочная информация'!$D$108:$AD$123,MATCH('Расчет грейда'!$AW119,'справочная информация'!$C$108:$C$123,0),MATCH('Расчет грейда'!$AV119,'справочная информация'!$D$107:$AD$107,0)),"")</f>
        <v/>
      </c>
      <c r="AY119" s="133" t="str">
        <f>IFERROR(INDEX('справочная информация'!$B$158:$Y$181,MATCH('Расчет грейда'!$AE119,'справочная информация'!$A$158:$A$181,0),MATCH('Расчет грейда'!$AD119,'справочная информация'!$B$157:$Y$157,0)),"")</f>
        <v/>
      </c>
      <c r="AZ119" s="170" t="str">
        <f t="shared" si="60"/>
        <v/>
      </c>
      <c r="BA119" s="172" t="str">
        <f>IFERROR(CONCATENATE(TEXT(AZ119/INDEX('справочная информация'!$D$223:$D$261,MATCH('Расчет грейда'!$AZ119,'справочная информация'!$C$223:$C$261,1)),"0%")," - процент относительно медианы 100%. ","MIN балл на грейде ",INDEX('справочная информация'!$C$223:$C$261,MATCH('Расчет грейда'!$AZ119,'справочная информация'!$C$223:$C$261,1)),", "," MAX балл на грейде ",INDEX('справочная информация'!$E$223:$E$261,MATCH('Расчет грейда'!$AZ119,'справочная информация'!$C$223:$C$261,1))),"")</f>
        <v/>
      </c>
      <c r="BB119" s="120" t="str">
        <f t="shared" si="61"/>
        <v/>
      </c>
      <c r="BC119" s="3" t="str">
        <f t="shared" si="62"/>
        <v/>
      </c>
      <c r="BD119" s="121" t="str">
        <f>IFERROR(VLOOKUP(BC119,'справочная информация'!$B$416:$C$424,2,0),"Проверить данные, нетипичная должность")</f>
        <v>Проверить данные, нетипичная должность</v>
      </c>
      <c r="BE119" s="3" t="str">
        <f t="shared" si="63"/>
        <v/>
      </c>
      <c r="BF119" s="3" t="str">
        <f>IFERROR(INDEX('справочная информация'!$F$223:$F$261,MATCH('Расчет грейда'!$AZ119,'справочная информация'!$C$223:$C$261,1)),"")</f>
        <v/>
      </c>
    </row>
    <row r="120" spans="1:58" s="9" customFormat="1" x14ac:dyDescent="0.35">
      <c r="A120" s="120"/>
      <c r="B120" s="122"/>
      <c r="C120" s="140"/>
      <c r="D120" s="120"/>
      <c r="E120" s="120"/>
      <c r="F120" s="120"/>
      <c r="G120" s="120"/>
      <c r="H120" s="120"/>
      <c r="J120" s="142"/>
      <c r="K120" s="142"/>
      <c r="L120" s="142"/>
      <c r="R120" s="3"/>
      <c r="S120" s="138"/>
      <c r="T120" s="3"/>
      <c r="U120" s="3"/>
      <c r="V120" s="3"/>
      <c r="W120" s="3" t="str">
        <f t="shared" si="48"/>
        <v/>
      </c>
      <c r="X120" s="9" t="str">
        <f t="shared" si="49"/>
        <v/>
      </c>
      <c r="Y120" s="9" t="str">
        <f t="shared" si="50"/>
        <v/>
      </c>
      <c r="Z120" s="3" t="e">
        <f>INDEX('справочная информация'!$U$6:$AK$29,MATCH('Расчет грейда'!$Y120,'справочная информация'!$T$6:$T$29,0),MATCH('Расчет грейда'!$X120,'справочная информация'!$U$5:$AK$5,0))</f>
        <v>#N/A</v>
      </c>
      <c r="AA120" s="9" t="str">
        <f t="shared" si="51"/>
        <v/>
      </c>
      <c r="AB120" s="3" t="e">
        <f>INDEX('справочная информация'!$B$68:$H$83,MATCH('Расчет грейда'!$AA120,'справочная информация'!$A$68:$A$83,0),MATCH('Расчет грейда'!$N120,'справочная информация'!$B$67:$H$67,0))</f>
        <v>#N/A</v>
      </c>
      <c r="AC120" s="3" t="e">
        <f>INDEX('справочная информация'!$D$130:$AD$145,MATCH('Расчет грейда'!$AW120,'справочная информация'!$C$130:$C$145,0),MATCH('Расчет грейда'!$AV120,'справочная информация'!$D$129:$AD$129,0))</f>
        <v>#N/A</v>
      </c>
      <c r="AD120" s="9" t="str">
        <f t="shared" si="52"/>
        <v/>
      </c>
      <c r="AE120" s="9" t="str">
        <f t="shared" si="53"/>
        <v/>
      </c>
      <c r="AF120" s="3" t="str">
        <f>IFERROR(IF(AND(AD120="",AE120=""),"",INDEX('справочная информация'!$B$188:$Y$211,MATCH('Расчет грейда'!$AE120,'справочная информация'!$A$188:$A$211,0),MATCH('Расчет грейда'!$AD120,'справочная информация'!$B$187:$Y$187,0))),"НЕТ")</f>
        <v/>
      </c>
      <c r="AG120" s="3" t="e">
        <f>VLOOKUP(J120,'справочная информация'!$D$267:$E$274,2,0)</f>
        <v>#N/A</v>
      </c>
      <c r="AH120" s="3" t="e">
        <f>VLOOKUP(K120,'справочная информация'!$D$279:$E$283,2,0)</f>
        <v>#N/A</v>
      </c>
      <c r="AI120" s="3" t="e">
        <f>VLOOKUP(L120,'справочная информация'!$D$288:$E$290,2,0)</f>
        <v>#N/A</v>
      </c>
      <c r="AJ120" s="3" t="str">
        <f t="shared" si="54"/>
        <v/>
      </c>
      <c r="AK120" s="169" t="e">
        <f>VLOOKUP(M120,'справочная информация'!$D$294:$E$301,2,0)</f>
        <v>#N/A</v>
      </c>
      <c r="AL120" s="3" t="e">
        <f>VLOOKUP(N120,'справочная информация'!$D$306:$E$310,2,0)</f>
        <v>#N/A</v>
      </c>
      <c r="AM120" s="169" t="str">
        <f t="shared" si="55"/>
        <v>()</v>
      </c>
      <c r="AN120" s="3" t="str">
        <f t="shared" si="56"/>
        <v/>
      </c>
      <c r="AO120" s="3" t="e">
        <f>VLOOKUP(O120,'справочная информация'!$D$329:$E$336,2,0)</f>
        <v>#N/A</v>
      </c>
      <c r="AP120" s="3" t="e">
        <f>VLOOKUP(P120,'справочная информация'!$D$342:$E$349,2,0)</f>
        <v>#N/A</v>
      </c>
      <c r="AQ120" s="3" t="e">
        <f>VLOOKUP(Q120,'справочная информация'!$D$316:$E$325,2,0)</f>
        <v>#N/A</v>
      </c>
      <c r="AR120" s="3" t="str">
        <f t="shared" si="57"/>
        <v/>
      </c>
      <c r="AS120" s="170" t="str">
        <f t="shared" si="58"/>
        <v/>
      </c>
      <c r="AT120" s="3" t="str">
        <f t="shared" si="59"/>
        <v/>
      </c>
      <c r="AU120" s="3" t="e">
        <f>ABS(MATCH($AX120,'справочная информация'!$A$354:$A$391,0)-MATCH($AY120,'справочная информация'!$A$354:$A$391,0))</f>
        <v>#N/A</v>
      </c>
      <c r="AV120" s="3" t="str">
        <f>IFERROR(INDEX('справочная информация'!$B$6:$R$29,MATCH('Расчет грейда'!$Y120,'справочная информация'!$A$6:$A$29,0),MATCH('Расчет грейда'!$X120,'справочная информация'!$B$5:$R$5,0)),"")</f>
        <v/>
      </c>
      <c r="AW120" s="171" t="str">
        <f>IFERROR(INDEX('справочная информация'!$B$37:$H$52,MATCH('Расчет грейда'!$AA120,'справочная информация'!$A$37:$A$52,0),MATCH('Расчет грейда'!$N120,'справочная информация'!$B$36:$H$36,0)),"")</f>
        <v/>
      </c>
      <c r="AX120" s="122" t="str">
        <f>IFERROR(INDEX('справочная информация'!$D$108:$AD$123,MATCH('Расчет грейда'!$AW120,'справочная информация'!$C$108:$C$123,0),MATCH('Расчет грейда'!$AV120,'справочная информация'!$D$107:$AD$107,0)),"")</f>
        <v/>
      </c>
      <c r="AY120" s="133" t="str">
        <f>IFERROR(INDEX('справочная информация'!$B$158:$Y$181,MATCH('Расчет грейда'!$AE120,'справочная информация'!$A$158:$A$181,0),MATCH('Расчет грейда'!$AD120,'справочная информация'!$B$157:$Y$157,0)),"")</f>
        <v/>
      </c>
      <c r="AZ120" s="170" t="str">
        <f t="shared" si="60"/>
        <v/>
      </c>
      <c r="BA120" s="172" t="str">
        <f>IFERROR(CONCATENATE(TEXT(AZ120/INDEX('справочная информация'!$D$223:$D$261,MATCH('Расчет грейда'!$AZ120,'справочная информация'!$C$223:$C$261,1)),"0%")," - процент относительно медианы 100%. ","MIN балл на грейде ",INDEX('справочная информация'!$C$223:$C$261,MATCH('Расчет грейда'!$AZ120,'справочная информация'!$C$223:$C$261,1)),", "," MAX балл на грейде ",INDEX('справочная информация'!$E$223:$E$261,MATCH('Расчет грейда'!$AZ120,'справочная информация'!$C$223:$C$261,1))),"")</f>
        <v/>
      </c>
      <c r="BB120" s="120" t="str">
        <f t="shared" si="61"/>
        <v/>
      </c>
      <c r="BC120" s="3" t="str">
        <f t="shared" si="62"/>
        <v/>
      </c>
      <c r="BD120" s="121" t="str">
        <f>IFERROR(VLOOKUP(BC120,'справочная информация'!$B$416:$C$424,2,0),"Проверить данные, нетипичная должность")</f>
        <v>Проверить данные, нетипичная должность</v>
      </c>
      <c r="BE120" s="3" t="str">
        <f t="shared" si="63"/>
        <v/>
      </c>
      <c r="BF120" s="3" t="str">
        <f>IFERROR(INDEX('справочная информация'!$F$223:$F$261,MATCH('Расчет грейда'!$AZ120,'справочная информация'!$C$223:$C$261,1)),"")</f>
        <v/>
      </c>
    </row>
    <row r="121" spans="1:58" s="9" customFormat="1" x14ac:dyDescent="0.35">
      <c r="A121" s="120"/>
      <c r="B121" s="122"/>
      <c r="C121" s="140"/>
      <c r="D121" s="120"/>
      <c r="E121" s="120"/>
      <c r="F121" s="120"/>
      <c r="G121" s="120"/>
      <c r="H121" s="120"/>
      <c r="J121" s="142"/>
      <c r="K121" s="142"/>
      <c r="L121" s="142"/>
      <c r="R121" s="3"/>
      <c r="S121" s="138"/>
      <c r="T121" s="3"/>
      <c r="U121" s="3"/>
      <c r="V121" s="3"/>
      <c r="W121" s="3" t="str">
        <f t="shared" si="48"/>
        <v/>
      </c>
      <c r="X121" s="9" t="str">
        <f t="shared" si="49"/>
        <v/>
      </c>
      <c r="Y121" s="9" t="str">
        <f t="shared" si="50"/>
        <v/>
      </c>
      <c r="Z121" s="3" t="e">
        <f>INDEX('справочная информация'!$U$6:$AK$29,MATCH('Расчет грейда'!$Y121,'справочная информация'!$T$6:$T$29,0),MATCH('Расчет грейда'!$X121,'справочная информация'!$U$5:$AK$5,0))</f>
        <v>#N/A</v>
      </c>
      <c r="AA121" s="9" t="str">
        <f t="shared" si="51"/>
        <v/>
      </c>
      <c r="AB121" s="3" t="e">
        <f>INDEX('справочная информация'!$B$68:$H$83,MATCH('Расчет грейда'!$AA121,'справочная информация'!$A$68:$A$83,0),MATCH('Расчет грейда'!$N121,'справочная информация'!$B$67:$H$67,0))</f>
        <v>#N/A</v>
      </c>
      <c r="AC121" s="3" t="e">
        <f>INDEX('справочная информация'!$D$130:$AD$145,MATCH('Расчет грейда'!$AW121,'справочная информация'!$C$130:$C$145,0),MATCH('Расчет грейда'!$AV121,'справочная информация'!$D$129:$AD$129,0))</f>
        <v>#N/A</v>
      </c>
      <c r="AD121" s="9" t="str">
        <f t="shared" si="52"/>
        <v/>
      </c>
      <c r="AE121" s="9" t="str">
        <f t="shared" si="53"/>
        <v/>
      </c>
      <c r="AF121" s="3" t="str">
        <f>IFERROR(IF(AND(AD121="",AE121=""),"",INDEX('справочная информация'!$B$188:$Y$211,MATCH('Расчет грейда'!$AE121,'справочная информация'!$A$188:$A$211,0),MATCH('Расчет грейда'!$AD121,'справочная информация'!$B$187:$Y$187,0))),"НЕТ")</f>
        <v/>
      </c>
      <c r="AG121" s="3" t="e">
        <f>VLOOKUP(J121,'справочная информация'!$D$267:$E$274,2,0)</f>
        <v>#N/A</v>
      </c>
      <c r="AH121" s="3" t="e">
        <f>VLOOKUP(K121,'справочная информация'!$D$279:$E$283,2,0)</f>
        <v>#N/A</v>
      </c>
      <c r="AI121" s="3" t="e">
        <f>VLOOKUP(L121,'справочная информация'!$D$288:$E$290,2,0)</f>
        <v>#N/A</v>
      </c>
      <c r="AJ121" s="3" t="str">
        <f t="shared" si="54"/>
        <v/>
      </c>
      <c r="AK121" s="169" t="e">
        <f>VLOOKUP(M121,'справочная информация'!$D$294:$E$301,2,0)</f>
        <v>#N/A</v>
      </c>
      <c r="AL121" s="3" t="e">
        <f>VLOOKUP(N121,'справочная информация'!$D$306:$E$310,2,0)</f>
        <v>#N/A</v>
      </c>
      <c r="AM121" s="169" t="str">
        <f t="shared" si="55"/>
        <v>()</v>
      </c>
      <c r="AN121" s="3" t="str">
        <f t="shared" si="56"/>
        <v/>
      </c>
      <c r="AO121" s="3" t="e">
        <f>VLOOKUP(O121,'справочная информация'!$D$329:$E$336,2,0)</f>
        <v>#N/A</v>
      </c>
      <c r="AP121" s="3" t="e">
        <f>VLOOKUP(P121,'справочная информация'!$D$342:$E$349,2,0)</f>
        <v>#N/A</v>
      </c>
      <c r="AQ121" s="3" t="e">
        <f>VLOOKUP(Q121,'справочная информация'!$D$316:$E$325,2,0)</f>
        <v>#N/A</v>
      </c>
      <c r="AR121" s="3" t="str">
        <f t="shared" si="57"/>
        <v/>
      </c>
      <c r="AS121" s="170" t="str">
        <f t="shared" si="58"/>
        <v/>
      </c>
      <c r="AT121" s="3" t="str">
        <f t="shared" si="59"/>
        <v/>
      </c>
      <c r="AU121" s="3" t="e">
        <f>ABS(MATCH($AX121,'справочная информация'!$A$354:$A$391,0)-MATCH($AY121,'справочная информация'!$A$354:$A$391,0))</f>
        <v>#N/A</v>
      </c>
      <c r="AV121" s="3" t="str">
        <f>IFERROR(INDEX('справочная информация'!$B$6:$R$29,MATCH('Расчет грейда'!$Y121,'справочная информация'!$A$6:$A$29,0),MATCH('Расчет грейда'!$X121,'справочная информация'!$B$5:$R$5,0)),"")</f>
        <v/>
      </c>
      <c r="AW121" s="171" t="str">
        <f>IFERROR(INDEX('справочная информация'!$B$37:$H$52,MATCH('Расчет грейда'!$AA121,'справочная информация'!$A$37:$A$52,0),MATCH('Расчет грейда'!$N121,'справочная информация'!$B$36:$H$36,0)),"")</f>
        <v/>
      </c>
      <c r="AX121" s="122" t="str">
        <f>IFERROR(INDEX('справочная информация'!$D$108:$AD$123,MATCH('Расчет грейда'!$AW121,'справочная информация'!$C$108:$C$123,0),MATCH('Расчет грейда'!$AV121,'справочная информация'!$D$107:$AD$107,0)),"")</f>
        <v/>
      </c>
      <c r="AY121" s="133" t="str">
        <f>IFERROR(INDEX('справочная информация'!$B$158:$Y$181,MATCH('Расчет грейда'!$AE121,'справочная информация'!$A$158:$A$181,0),MATCH('Расчет грейда'!$AD121,'справочная информация'!$B$157:$Y$157,0)),"")</f>
        <v/>
      </c>
      <c r="AZ121" s="170" t="str">
        <f t="shared" si="60"/>
        <v/>
      </c>
      <c r="BA121" s="172" t="str">
        <f>IFERROR(CONCATENATE(TEXT(AZ121/INDEX('справочная информация'!$D$223:$D$261,MATCH('Расчет грейда'!$AZ121,'справочная информация'!$C$223:$C$261,1)),"0%")," - процент относительно медианы 100%. ","MIN балл на грейде ",INDEX('справочная информация'!$C$223:$C$261,MATCH('Расчет грейда'!$AZ121,'справочная информация'!$C$223:$C$261,1)),", "," MAX балл на грейде ",INDEX('справочная информация'!$E$223:$E$261,MATCH('Расчет грейда'!$AZ121,'справочная информация'!$C$223:$C$261,1))),"")</f>
        <v/>
      </c>
      <c r="BB121" s="120" t="str">
        <f t="shared" si="61"/>
        <v/>
      </c>
      <c r="BC121" s="3" t="str">
        <f t="shared" si="62"/>
        <v/>
      </c>
      <c r="BD121" s="121" t="str">
        <f>IFERROR(VLOOKUP(BC121,'справочная информация'!$B$416:$C$424,2,0),"Проверить данные, нетипичная должность")</f>
        <v>Проверить данные, нетипичная должность</v>
      </c>
      <c r="BE121" s="3" t="str">
        <f t="shared" si="63"/>
        <v/>
      </c>
      <c r="BF121" s="3" t="str">
        <f>IFERROR(INDEX('справочная информация'!$F$223:$F$261,MATCH('Расчет грейда'!$AZ121,'справочная информация'!$C$223:$C$261,1)),"")</f>
        <v/>
      </c>
    </row>
    <row r="122" spans="1:58" s="9" customFormat="1" x14ac:dyDescent="0.35">
      <c r="A122" s="120"/>
      <c r="B122" s="122"/>
      <c r="C122" s="140"/>
      <c r="D122" s="120"/>
      <c r="E122" s="120"/>
      <c r="F122" s="120"/>
      <c r="G122" s="120"/>
      <c r="H122" s="120"/>
      <c r="J122" s="142"/>
      <c r="K122" s="142"/>
      <c r="L122" s="142"/>
      <c r="R122" s="3"/>
      <c r="S122" s="138"/>
      <c r="T122" s="3"/>
      <c r="U122" s="3"/>
      <c r="V122" s="3"/>
      <c r="W122" s="3" t="str">
        <f t="shared" si="48"/>
        <v/>
      </c>
      <c r="X122" s="9" t="str">
        <f t="shared" si="49"/>
        <v/>
      </c>
      <c r="Y122" s="9" t="str">
        <f t="shared" si="50"/>
        <v/>
      </c>
      <c r="Z122" s="3" t="e">
        <f>INDEX('справочная информация'!$U$6:$AK$29,MATCH('Расчет грейда'!$Y122,'справочная информация'!$T$6:$T$29,0),MATCH('Расчет грейда'!$X122,'справочная информация'!$U$5:$AK$5,0))</f>
        <v>#N/A</v>
      </c>
      <c r="AA122" s="9" t="str">
        <f t="shared" si="51"/>
        <v/>
      </c>
      <c r="AB122" s="3" t="e">
        <f>INDEX('справочная информация'!$B$68:$H$83,MATCH('Расчет грейда'!$AA122,'справочная информация'!$A$68:$A$83,0),MATCH('Расчет грейда'!$N122,'справочная информация'!$B$67:$H$67,0))</f>
        <v>#N/A</v>
      </c>
      <c r="AC122" s="3" t="e">
        <f>INDEX('справочная информация'!$D$130:$AD$145,MATCH('Расчет грейда'!$AW122,'справочная информация'!$C$130:$C$145,0),MATCH('Расчет грейда'!$AV122,'справочная информация'!$D$129:$AD$129,0))</f>
        <v>#N/A</v>
      </c>
      <c r="AD122" s="9" t="str">
        <f t="shared" si="52"/>
        <v/>
      </c>
      <c r="AE122" s="9" t="str">
        <f t="shared" si="53"/>
        <v/>
      </c>
      <c r="AF122" s="3" t="str">
        <f>IFERROR(IF(AND(AD122="",AE122=""),"",INDEX('справочная информация'!$B$188:$Y$211,MATCH('Расчет грейда'!$AE122,'справочная информация'!$A$188:$A$211,0),MATCH('Расчет грейда'!$AD122,'справочная информация'!$B$187:$Y$187,0))),"НЕТ")</f>
        <v/>
      </c>
      <c r="AG122" s="3" t="e">
        <f>VLOOKUP(J122,'справочная информация'!$D$267:$E$274,2,0)</f>
        <v>#N/A</v>
      </c>
      <c r="AH122" s="3" t="e">
        <f>VLOOKUP(K122,'справочная информация'!$D$279:$E$283,2,0)</f>
        <v>#N/A</v>
      </c>
      <c r="AI122" s="3" t="e">
        <f>VLOOKUP(L122,'справочная информация'!$D$288:$E$290,2,0)</f>
        <v>#N/A</v>
      </c>
      <c r="AJ122" s="3" t="str">
        <f t="shared" si="54"/>
        <v/>
      </c>
      <c r="AK122" s="169" t="e">
        <f>VLOOKUP(M122,'справочная информация'!$D$294:$E$301,2,0)</f>
        <v>#N/A</v>
      </c>
      <c r="AL122" s="3" t="e">
        <f>VLOOKUP(N122,'справочная информация'!$D$306:$E$310,2,0)</f>
        <v>#N/A</v>
      </c>
      <c r="AM122" s="169" t="str">
        <f t="shared" si="55"/>
        <v>()</v>
      </c>
      <c r="AN122" s="3" t="str">
        <f t="shared" si="56"/>
        <v/>
      </c>
      <c r="AO122" s="3" t="e">
        <f>VLOOKUP(O122,'справочная информация'!$D$329:$E$336,2,0)</f>
        <v>#N/A</v>
      </c>
      <c r="AP122" s="3" t="e">
        <f>VLOOKUP(P122,'справочная информация'!$D$342:$E$349,2,0)</f>
        <v>#N/A</v>
      </c>
      <c r="AQ122" s="3" t="e">
        <f>VLOOKUP(Q122,'справочная информация'!$D$316:$E$325,2,0)</f>
        <v>#N/A</v>
      </c>
      <c r="AR122" s="3" t="str">
        <f t="shared" si="57"/>
        <v/>
      </c>
      <c r="AS122" s="170" t="str">
        <f t="shared" si="58"/>
        <v/>
      </c>
      <c r="AT122" s="3" t="str">
        <f t="shared" si="59"/>
        <v/>
      </c>
      <c r="AU122" s="3" t="e">
        <f>ABS(MATCH($AX122,'справочная информация'!$A$354:$A$391,0)-MATCH($AY122,'справочная информация'!$A$354:$A$391,0))</f>
        <v>#N/A</v>
      </c>
      <c r="AV122" s="3" t="str">
        <f>IFERROR(INDEX('справочная информация'!$B$6:$R$29,MATCH('Расчет грейда'!$Y122,'справочная информация'!$A$6:$A$29,0),MATCH('Расчет грейда'!$X122,'справочная информация'!$B$5:$R$5,0)),"")</f>
        <v/>
      </c>
      <c r="AW122" s="171" t="str">
        <f>IFERROR(INDEX('справочная информация'!$B$37:$H$52,MATCH('Расчет грейда'!$AA122,'справочная информация'!$A$37:$A$52,0),MATCH('Расчет грейда'!$N122,'справочная информация'!$B$36:$H$36,0)),"")</f>
        <v/>
      </c>
      <c r="AX122" s="122" t="str">
        <f>IFERROR(INDEX('справочная информация'!$D$108:$AD$123,MATCH('Расчет грейда'!$AW122,'справочная информация'!$C$108:$C$123,0),MATCH('Расчет грейда'!$AV122,'справочная информация'!$D$107:$AD$107,0)),"")</f>
        <v/>
      </c>
      <c r="AY122" s="133" t="str">
        <f>IFERROR(INDEX('справочная информация'!$B$158:$Y$181,MATCH('Расчет грейда'!$AE122,'справочная информация'!$A$158:$A$181,0),MATCH('Расчет грейда'!$AD122,'справочная информация'!$B$157:$Y$157,0)),"")</f>
        <v/>
      </c>
      <c r="AZ122" s="170" t="str">
        <f t="shared" si="60"/>
        <v/>
      </c>
      <c r="BA122" s="172" t="str">
        <f>IFERROR(CONCATENATE(TEXT(AZ122/INDEX('справочная информация'!$D$223:$D$261,MATCH('Расчет грейда'!$AZ122,'справочная информация'!$C$223:$C$261,1)),"0%")," - процент относительно медианы 100%. ","MIN балл на грейде ",INDEX('справочная информация'!$C$223:$C$261,MATCH('Расчет грейда'!$AZ122,'справочная информация'!$C$223:$C$261,1)),", "," MAX балл на грейде ",INDEX('справочная информация'!$E$223:$E$261,MATCH('Расчет грейда'!$AZ122,'справочная информация'!$C$223:$C$261,1))),"")</f>
        <v/>
      </c>
      <c r="BB122" s="120" t="str">
        <f t="shared" si="61"/>
        <v/>
      </c>
      <c r="BC122" s="3" t="str">
        <f t="shared" si="62"/>
        <v/>
      </c>
      <c r="BD122" s="121" t="str">
        <f>IFERROR(VLOOKUP(BC122,'справочная информация'!$B$416:$C$424,2,0),"Проверить данные, нетипичная должность")</f>
        <v>Проверить данные, нетипичная должность</v>
      </c>
      <c r="BE122" s="3" t="str">
        <f t="shared" si="63"/>
        <v/>
      </c>
      <c r="BF122" s="3" t="str">
        <f>IFERROR(INDEX('справочная информация'!$F$223:$F$261,MATCH('Расчет грейда'!$AZ122,'справочная информация'!$C$223:$C$261,1)),"")</f>
        <v/>
      </c>
    </row>
    <row r="123" spans="1:58" s="9" customFormat="1" x14ac:dyDescent="0.35">
      <c r="A123" s="120"/>
      <c r="B123" s="122"/>
      <c r="C123" s="140"/>
      <c r="D123" s="120"/>
      <c r="E123" s="120"/>
      <c r="F123" s="120"/>
      <c r="G123" s="120"/>
      <c r="H123" s="120"/>
      <c r="J123" s="142"/>
      <c r="K123" s="142"/>
      <c r="L123" s="142"/>
      <c r="R123" s="3"/>
      <c r="S123" s="138"/>
      <c r="T123" s="3"/>
      <c r="U123" s="3"/>
      <c r="V123" s="3"/>
      <c r="W123" s="3" t="str">
        <f t="shared" si="48"/>
        <v/>
      </c>
      <c r="X123" s="9" t="str">
        <f t="shared" si="49"/>
        <v/>
      </c>
      <c r="Y123" s="9" t="str">
        <f t="shared" si="50"/>
        <v/>
      </c>
      <c r="Z123" s="3" t="e">
        <f>INDEX('справочная информация'!$U$6:$AK$29,MATCH('Расчет грейда'!$Y123,'справочная информация'!$T$6:$T$29,0),MATCH('Расчет грейда'!$X123,'справочная информация'!$U$5:$AK$5,0))</f>
        <v>#N/A</v>
      </c>
      <c r="AA123" s="9" t="str">
        <f t="shared" si="51"/>
        <v/>
      </c>
      <c r="AB123" s="3" t="e">
        <f>INDEX('справочная информация'!$B$68:$H$83,MATCH('Расчет грейда'!$AA123,'справочная информация'!$A$68:$A$83,0),MATCH('Расчет грейда'!$N123,'справочная информация'!$B$67:$H$67,0))</f>
        <v>#N/A</v>
      </c>
      <c r="AC123" s="3" t="e">
        <f>INDEX('справочная информация'!$D$130:$AD$145,MATCH('Расчет грейда'!$AW123,'справочная информация'!$C$130:$C$145,0),MATCH('Расчет грейда'!$AV123,'справочная информация'!$D$129:$AD$129,0))</f>
        <v>#N/A</v>
      </c>
      <c r="AD123" s="9" t="str">
        <f t="shared" si="52"/>
        <v/>
      </c>
      <c r="AE123" s="9" t="str">
        <f t="shared" si="53"/>
        <v/>
      </c>
      <c r="AF123" s="3" t="str">
        <f>IFERROR(IF(AND(AD123="",AE123=""),"",INDEX('справочная информация'!$B$188:$Y$211,MATCH('Расчет грейда'!$AE123,'справочная информация'!$A$188:$A$211,0),MATCH('Расчет грейда'!$AD123,'справочная информация'!$B$187:$Y$187,0))),"НЕТ")</f>
        <v/>
      </c>
      <c r="AG123" s="3" t="e">
        <f>VLOOKUP(J123,'справочная информация'!$D$267:$E$274,2,0)</f>
        <v>#N/A</v>
      </c>
      <c r="AH123" s="3" t="e">
        <f>VLOOKUP(K123,'справочная информация'!$D$279:$E$283,2,0)</f>
        <v>#N/A</v>
      </c>
      <c r="AI123" s="3" t="e">
        <f>VLOOKUP(L123,'справочная информация'!$D$288:$E$290,2,0)</f>
        <v>#N/A</v>
      </c>
      <c r="AJ123" s="3" t="str">
        <f t="shared" si="54"/>
        <v/>
      </c>
      <c r="AK123" s="169" t="e">
        <f>VLOOKUP(M123,'справочная информация'!$D$294:$E$301,2,0)</f>
        <v>#N/A</v>
      </c>
      <c r="AL123" s="3" t="e">
        <f>VLOOKUP(N123,'справочная информация'!$D$306:$E$310,2,0)</f>
        <v>#N/A</v>
      </c>
      <c r="AM123" s="169" t="str">
        <f t="shared" si="55"/>
        <v>()</v>
      </c>
      <c r="AN123" s="3" t="str">
        <f t="shared" si="56"/>
        <v/>
      </c>
      <c r="AO123" s="3" t="e">
        <f>VLOOKUP(O123,'справочная информация'!$D$329:$E$336,2,0)</f>
        <v>#N/A</v>
      </c>
      <c r="AP123" s="3" t="e">
        <f>VLOOKUP(P123,'справочная информация'!$D$342:$E$349,2,0)</f>
        <v>#N/A</v>
      </c>
      <c r="AQ123" s="3" t="e">
        <f>VLOOKUP(Q123,'справочная информация'!$D$316:$E$325,2,0)</f>
        <v>#N/A</v>
      </c>
      <c r="AR123" s="3" t="str">
        <f t="shared" si="57"/>
        <v/>
      </c>
      <c r="AS123" s="170" t="str">
        <f t="shared" si="58"/>
        <v/>
      </c>
      <c r="AT123" s="3" t="str">
        <f t="shared" si="59"/>
        <v/>
      </c>
      <c r="AU123" s="3" t="e">
        <f>ABS(MATCH($AX123,'справочная информация'!$A$354:$A$391,0)-MATCH($AY123,'справочная информация'!$A$354:$A$391,0))</f>
        <v>#N/A</v>
      </c>
      <c r="AV123" s="3" t="str">
        <f>IFERROR(INDEX('справочная информация'!$B$6:$R$29,MATCH('Расчет грейда'!$Y123,'справочная информация'!$A$6:$A$29,0),MATCH('Расчет грейда'!$X123,'справочная информация'!$B$5:$R$5,0)),"")</f>
        <v/>
      </c>
      <c r="AW123" s="171" t="str">
        <f>IFERROR(INDEX('справочная информация'!$B$37:$H$52,MATCH('Расчет грейда'!$AA123,'справочная информация'!$A$37:$A$52,0),MATCH('Расчет грейда'!$N123,'справочная информация'!$B$36:$H$36,0)),"")</f>
        <v/>
      </c>
      <c r="AX123" s="122" t="str">
        <f>IFERROR(INDEX('справочная информация'!$D$108:$AD$123,MATCH('Расчет грейда'!$AW123,'справочная информация'!$C$108:$C$123,0),MATCH('Расчет грейда'!$AV123,'справочная информация'!$D$107:$AD$107,0)),"")</f>
        <v/>
      </c>
      <c r="AY123" s="133" t="str">
        <f>IFERROR(INDEX('справочная информация'!$B$158:$Y$181,MATCH('Расчет грейда'!$AE123,'справочная информация'!$A$158:$A$181,0),MATCH('Расчет грейда'!$AD123,'справочная информация'!$B$157:$Y$157,0)),"")</f>
        <v/>
      </c>
      <c r="AZ123" s="170" t="str">
        <f t="shared" si="60"/>
        <v/>
      </c>
      <c r="BA123" s="172" t="str">
        <f>IFERROR(CONCATENATE(TEXT(AZ123/INDEX('справочная информация'!$D$223:$D$261,MATCH('Расчет грейда'!$AZ123,'справочная информация'!$C$223:$C$261,1)),"0%")," - процент относительно медианы 100%. ","MIN балл на грейде ",INDEX('справочная информация'!$C$223:$C$261,MATCH('Расчет грейда'!$AZ123,'справочная информация'!$C$223:$C$261,1)),", "," MAX балл на грейде ",INDEX('справочная информация'!$E$223:$E$261,MATCH('Расчет грейда'!$AZ123,'справочная информация'!$C$223:$C$261,1))),"")</f>
        <v/>
      </c>
      <c r="BB123" s="120" t="str">
        <f t="shared" si="61"/>
        <v/>
      </c>
      <c r="BC123" s="3" t="str">
        <f t="shared" si="62"/>
        <v/>
      </c>
      <c r="BD123" s="121" t="str">
        <f>IFERROR(VLOOKUP(BC123,'справочная информация'!$B$416:$C$424,2,0),"Проверить данные, нетипичная должность")</f>
        <v>Проверить данные, нетипичная должность</v>
      </c>
      <c r="BE123" s="3" t="str">
        <f t="shared" si="63"/>
        <v/>
      </c>
      <c r="BF123" s="3" t="str">
        <f>IFERROR(INDEX('справочная информация'!$F$223:$F$261,MATCH('Расчет грейда'!$AZ123,'справочная информация'!$C$223:$C$261,1)),"")</f>
        <v/>
      </c>
    </row>
    <row r="124" spans="1:58" s="9" customFormat="1" x14ac:dyDescent="0.35">
      <c r="A124" s="120"/>
      <c r="B124" s="122"/>
      <c r="C124" s="140"/>
      <c r="D124" s="120"/>
      <c r="E124" s="120"/>
      <c r="F124" s="120"/>
      <c r="G124" s="120"/>
      <c r="H124" s="120"/>
      <c r="J124" s="142"/>
      <c r="K124" s="142"/>
      <c r="L124" s="142"/>
      <c r="R124" s="3"/>
      <c r="S124" s="138"/>
      <c r="T124" s="3"/>
      <c r="U124" s="3"/>
      <c r="V124" s="3"/>
      <c r="W124" s="3" t="str">
        <f t="shared" si="48"/>
        <v/>
      </c>
      <c r="X124" s="9" t="str">
        <f t="shared" si="49"/>
        <v/>
      </c>
      <c r="Y124" s="9" t="str">
        <f t="shared" si="50"/>
        <v/>
      </c>
      <c r="Z124" s="3" t="e">
        <f>INDEX('справочная информация'!$U$6:$AK$29,MATCH('Расчет грейда'!$Y124,'справочная информация'!$T$6:$T$29,0),MATCH('Расчет грейда'!$X124,'справочная информация'!$U$5:$AK$5,0))</f>
        <v>#N/A</v>
      </c>
      <c r="AA124" s="9" t="str">
        <f t="shared" si="51"/>
        <v/>
      </c>
      <c r="AB124" s="3" t="e">
        <f>INDEX('справочная информация'!$B$68:$H$83,MATCH('Расчет грейда'!$AA124,'справочная информация'!$A$68:$A$83,0),MATCH('Расчет грейда'!$N124,'справочная информация'!$B$67:$H$67,0))</f>
        <v>#N/A</v>
      </c>
      <c r="AC124" s="3" t="e">
        <f>INDEX('справочная информация'!$D$130:$AD$145,MATCH('Расчет грейда'!$AW124,'справочная информация'!$C$130:$C$145,0),MATCH('Расчет грейда'!$AV124,'справочная информация'!$D$129:$AD$129,0))</f>
        <v>#N/A</v>
      </c>
      <c r="AD124" s="9" t="str">
        <f t="shared" si="52"/>
        <v/>
      </c>
      <c r="AE124" s="9" t="str">
        <f t="shared" si="53"/>
        <v/>
      </c>
      <c r="AF124" s="3" t="str">
        <f>IFERROR(IF(AND(AD124="",AE124=""),"",INDEX('справочная информация'!$B$188:$Y$211,MATCH('Расчет грейда'!$AE124,'справочная информация'!$A$188:$A$211,0),MATCH('Расчет грейда'!$AD124,'справочная информация'!$B$187:$Y$187,0))),"НЕТ")</f>
        <v/>
      </c>
      <c r="AG124" s="3" t="e">
        <f>VLOOKUP(J124,'справочная информация'!$D$267:$E$274,2,0)</f>
        <v>#N/A</v>
      </c>
      <c r="AH124" s="3" t="e">
        <f>VLOOKUP(K124,'справочная информация'!$D$279:$E$283,2,0)</f>
        <v>#N/A</v>
      </c>
      <c r="AI124" s="3" t="e">
        <f>VLOOKUP(L124,'справочная информация'!$D$288:$E$290,2,0)</f>
        <v>#N/A</v>
      </c>
      <c r="AJ124" s="3" t="str">
        <f t="shared" si="54"/>
        <v/>
      </c>
      <c r="AK124" s="169" t="e">
        <f>VLOOKUP(M124,'справочная информация'!$D$294:$E$301,2,0)</f>
        <v>#N/A</v>
      </c>
      <c r="AL124" s="3" t="e">
        <f>VLOOKUP(N124,'справочная информация'!$D$306:$E$310,2,0)</f>
        <v>#N/A</v>
      </c>
      <c r="AM124" s="169" t="str">
        <f t="shared" si="55"/>
        <v>()</v>
      </c>
      <c r="AN124" s="3" t="str">
        <f t="shared" si="56"/>
        <v/>
      </c>
      <c r="AO124" s="3" t="e">
        <f>VLOOKUP(O124,'справочная информация'!$D$329:$E$336,2,0)</f>
        <v>#N/A</v>
      </c>
      <c r="AP124" s="3" t="e">
        <f>VLOOKUP(P124,'справочная информация'!$D$342:$E$349,2,0)</f>
        <v>#N/A</v>
      </c>
      <c r="AQ124" s="3" t="e">
        <f>VLOOKUP(Q124,'справочная информация'!$D$316:$E$325,2,0)</f>
        <v>#N/A</v>
      </c>
      <c r="AR124" s="3" t="str">
        <f t="shared" si="57"/>
        <v/>
      </c>
      <c r="AS124" s="170" t="str">
        <f t="shared" si="58"/>
        <v/>
      </c>
      <c r="AT124" s="3" t="str">
        <f t="shared" si="59"/>
        <v/>
      </c>
      <c r="AU124" s="3" t="e">
        <f>ABS(MATCH($AX124,'справочная информация'!$A$354:$A$391,0)-MATCH($AY124,'справочная информация'!$A$354:$A$391,0))</f>
        <v>#N/A</v>
      </c>
      <c r="AV124" s="3" t="str">
        <f>IFERROR(INDEX('справочная информация'!$B$6:$R$29,MATCH('Расчет грейда'!$Y124,'справочная информация'!$A$6:$A$29,0),MATCH('Расчет грейда'!$X124,'справочная информация'!$B$5:$R$5,0)),"")</f>
        <v/>
      </c>
      <c r="AW124" s="171" t="str">
        <f>IFERROR(INDEX('справочная информация'!$B$37:$H$52,MATCH('Расчет грейда'!$AA124,'справочная информация'!$A$37:$A$52,0),MATCH('Расчет грейда'!$N124,'справочная информация'!$B$36:$H$36,0)),"")</f>
        <v/>
      </c>
      <c r="AX124" s="122" t="str">
        <f>IFERROR(INDEX('справочная информация'!$D$108:$AD$123,MATCH('Расчет грейда'!$AW124,'справочная информация'!$C$108:$C$123,0),MATCH('Расчет грейда'!$AV124,'справочная информация'!$D$107:$AD$107,0)),"")</f>
        <v/>
      </c>
      <c r="AY124" s="133" t="str">
        <f>IFERROR(INDEX('справочная информация'!$B$158:$Y$181,MATCH('Расчет грейда'!$AE124,'справочная информация'!$A$158:$A$181,0),MATCH('Расчет грейда'!$AD124,'справочная информация'!$B$157:$Y$157,0)),"")</f>
        <v/>
      </c>
      <c r="AZ124" s="170" t="str">
        <f t="shared" si="60"/>
        <v/>
      </c>
      <c r="BA124" s="172" t="str">
        <f>IFERROR(CONCATENATE(TEXT(AZ124/INDEX('справочная информация'!$D$223:$D$261,MATCH('Расчет грейда'!$AZ124,'справочная информация'!$C$223:$C$261,1)),"0%")," - процент относительно медианы 100%. ","MIN балл на грейде ",INDEX('справочная информация'!$C$223:$C$261,MATCH('Расчет грейда'!$AZ124,'справочная информация'!$C$223:$C$261,1)),", "," MAX балл на грейде ",INDEX('справочная информация'!$E$223:$E$261,MATCH('Расчет грейда'!$AZ124,'справочная информация'!$C$223:$C$261,1))),"")</f>
        <v/>
      </c>
      <c r="BB124" s="120" t="str">
        <f t="shared" si="61"/>
        <v/>
      </c>
      <c r="BC124" s="3" t="str">
        <f t="shared" si="62"/>
        <v/>
      </c>
      <c r="BD124" s="121" t="str">
        <f>IFERROR(VLOOKUP(BC124,'справочная информация'!$B$416:$C$424,2,0),"Проверить данные, нетипичная должность")</f>
        <v>Проверить данные, нетипичная должность</v>
      </c>
      <c r="BE124" s="3" t="str">
        <f t="shared" si="63"/>
        <v/>
      </c>
      <c r="BF124" s="3" t="str">
        <f>IFERROR(INDEX('справочная информация'!$F$223:$F$261,MATCH('Расчет грейда'!$AZ124,'справочная информация'!$C$223:$C$261,1)),"")</f>
        <v/>
      </c>
    </row>
    <row r="125" spans="1:58" s="9" customFormat="1" x14ac:dyDescent="0.35">
      <c r="A125" s="120"/>
      <c r="B125" s="122"/>
      <c r="C125" s="140"/>
      <c r="D125" s="120"/>
      <c r="E125" s="120"/>
      <c r="F125" s="120"/>
      <c r="G125" s="120"/>
      <c r="H125" s="120"/>
      <c r="J125" s="142"/>
      <c r="K125" s="142"/>
      <c r="L125" s="142"/>
      <c r="R125" s="3"/>
      <c r="S125" s="138"/>
      <c r="T125" s="3"/>
      <c r="U125" s="3"/>
      <c r="V125" s="3"/>
      <c r="W125" s="3" t="str">
        <f t="shared" si="48"/>
        <v/>
      </c>
      <c r="X125" s="9" t="str">
        <f t="shared" si="49"/>
        <v/>
      </c>
      <c r="Y125" s="9" t="str">
        <f t="shared" si="50"/>
        <v/>
      </c>
      <c r="Z125" s="3" t="e">
        <f>INDEX('справочная информация'!$U$6:$AK$29,MATCH('Расчет грейда'!$Y125,'справочная информация'!$T$6:$T$29,0),MATCH('Расчет грейда'!$X125,'справочная информация'!$U$5:$AK$5,0))</f>
        <v>#N/A</v>
      </c>
      <c r="AA125" s="9" t="str">
        <f t="shared" si="51"/>
        <v/>
      </c>
      <c r="AB125" s="3" t="e">
        <f>INDEX('справочная информация'!$B$68:$H$83,MATCH('Расчет грейда'!$AA125,'справочная информация'!$A$68:$A$83,0),MATCH('Расчет грейда'!$N125,'справочная информация'!$B$67:$H$67,0))</f>
        <v>#N/A</v>
      </c>
      <c r="AC125" s="3" t="e">
        <f>INDEX('справочная информация'!$D$130:$AD$145,MATCH('Расчет грейда'!$AW125,'справочная информация'!$C$130:$C$145,0),MATCH('Расчет грейда'!$AV125,'справочная информация'!$D$129:$AD$129,0))</f>
        <v>#N/A</v>
      </c>
      <c r="AD125" s="9" t="str">
        <f t="shared" si="52"/>
        <v/>
      </c>
      <c r="AE125" s="9" t="str">
        <f t="shared" si="53"/>
        <v/>
      </c>
      <c r="AF125" s="3" t="str">
        <f>IFERROR(IF(AND(AD125="",AE125=""),"",INDEX('справочная информация'!$B$188:$Y$211,MATCH('Расчет грейда'!$AE125,'справочная информация'!$A$188:$A$211,0),MATCH('Расчет грейда'!$AD125,'справочная информация'!$B$187:$Y$187,0))),"НЕТ")</f>
        <v/>
      </c>
      <c r="AG125" s="3" t="e">
        <f>VLOOKUP(J125,'справочная информация'!$D$267:$E$274,2,0)</f>
        <v>#N/A</v>
      </c>
      <c r="AH125" s="3" t="e">
        <f>VLOOKUP(K125,'справочная информация'!$D$279:$E$283,2,0)</f>
        <v>#N/A</v>
      </c>
      <c r="AI125" s="3" t="e">
        <f>VLOOKUP(L125,'справочная информация'!$D$288:$E$290,2,0)</f>
        <v>#N/A</v>
      </c>
      <c r="AJ125" s="3" t="str">
        <f t="shared" si="54"/>
        <v/>
      </c>
      <c r="AK125" s="169" t="e">
        <f>VLOOKUP(M125,'справочная информация'!$D$294:$E$301,2,0)</f>
        <v>#N/A</v>
      </c>
      <c r="AL125" s="3" t="e">
        <f>VLOOKUP(N125,'справочная информация'!$D$306:$E$310,2,0)</f>
        <v>#N/A</v>
      </c>
      <c r="AM125" s="169" t="str">
        <f t="shared" si="55"/>
        <v>()</v>
      </c>
      <c r="AN125" s="3" t="str">
        <f t="shared" si="56"/>
        <v/>
      </c>
      <c r="AO125" s="3" t="e">
        <f>VLOOKUP(O125,'справочная информация'!$D$329:$E$336,2,0)</f>
        <v>#N/A</v>
      </c>
      <c r="AP125" s="3" t="e">
        <f>VLOOKUP(P125,'справочная информация'!$D$342:$E$349,2,0)</f>
        <v>#N/A</v>
      </c>
      <c r="AQ125" s="3" t="e">
        <f>VLOOKUP(Q125,'справочная информация'!$D$316:$E$325,2,0)</f>
        <v>#N/A</v>
      </c>
      <c r="AR125" s="3" t="str">
        <f t="shared" si="57"/>
        <v/>
      </c>
      <c r="AS125" s="170" t="str">
        <f t="shared" si="58"/>
        <v/>
      </c>
      <c r="AT125" s="3" t="str">
        <f t="shared" si="59"/>
        <v/>
      </c>
      <c r="AU125" s="3" t="e">
        <f>ABS(MATCH($AX125,'справочная информация'!$A$354:$A$391,0)-MATCH($AY125,'справочная информация'!$A$354:$A$391,0))</f>
        <v>#N/A</v>
      </c>
      <c r="AV125" s="3" t="str">
        <f>IFERROR(INDEX('справочная информация'!$B$6:$R$29,MATCH('Расчет грейда'!$Y125,'справочная информация'!$A$6:$A$29,0),MATCH('Расчет грейда'!$X125,'справочная информация'!$B$5:$R$5,0)),"")</f>
        <v/>
      </c>
      <c r="AW125" s="171" t="str">
        <f>IFERROR(INDEX('справочная информация'!$B$37:$H$52,MATCH('Расчет грейда'!$AA125,'справочная информация'!$A$37:$A$52,0),MATCH('Расчет грейда'!$N125,'справочная информация'!$B$36:$H$36,0)),"")</f>
        <v/>
      </c>
      <c r="AX125" s="122" t="str">
        <f>IFERROR(INDEX('справочная информация'!$D$108:$AD$123,MATCH('Расчет грейда'!$AW125,'справочная информация'!$C$108:$C$123,0),MATCH('Расчет грейда'!$AV125,'справочная информация'!$D$107:$AD$107,0)),"")</f>
        <v/>
      </c>
      <c r="AY125" s="133" t="str">
        <f>IFERROR(INDEX('справочная информация'!$B$158:$Y$181,MATCH('Расчет грейда'!$AE125,'справочная информация'!$A$158:$A$181,0),MATCH('Расчет грейда'!$AD125,'справочная информация'!$B$157:$Y$157,0)),"")</f>
        <v/>
      </c>
      <c r="AZ125" s="170" t="str">
        <f t="shared" si="60"/>
        <v/>
      </c>
      <c r="BA125" s="172" t="str">
        <f>IFERROR(CONCATENATE(TEXT(AZ125/INDEX('справочная информация'!$D$223:$D$261,MATCH('Расчет грейда'!$AZ125,'справочная информация'!$C$223:$C$261,1)),"0%")," - процент относительно медианы 100%. ","MIN балл на грейде ",INDEX('справочная информация'!$C$223:$C$261,MATCH('Расчет грейда'!$AZ125,'справочная информация'!$C$223:$C$261,1)),", "," MAX балл на грейде ",INDEX('справочная информация'!$E$223:$E$261,MATCH('Расчет грейда'!$AZ125,'справочная информация'!$C$223:$C$261,1))),"")</f>
        <v/>
      </c>
      <c r="BB125" s="120" t="str">
        <f t="shared" si="61"/>
        <v/>
      </c>
      <c r="BC125" s="3" t="str">
        <f t="shared" si="62"/>
        <v/>
      </c>
      <c r="BD125" s="121" t="str">
        <f>IFERROR(VLOOKUP(BC125,'справочная информация'!$B$416:$C$424,2,0),"Проверить данные, нетипичная должность")</f>
        <v>Проверить данные, нетипичная должность</v>
      </c>
      <c r="BE125" s="3" t="str">
        <f t="shared" si="63"/>
        <v/>
      </c>
      <c r="BF125" s="3" t="str">
        <f>IFERROR(INDEX('справочная информация'!$F$223:$F$261,MATCH('Расчет грейда'!$AZ125,'справочная информация'!$C$223:$C$261,1)),"")</f>
        <v/>
      </c>
    </row>
    <row r="126" spans="1:58" s="9" customFormat="1" x14ac:dyDescent="0.35">
      <c r="A126" s="120"/>
      <c r="B126" s="122"/>
      <c r="C126" s="140"/>
      <c r="D126" s="120"/>
      <c r="E126" s="120"/>
      <c r="F126" s="120"/>
      <c r="G126" s="120"/>
      <c r="H126" s="120"/>
      <c r="J126" s="142"/>
      <c r="K126" s="142"/>
      <c r="L126" s="142"/>
      <c r="R126" s="3"/>
      <c r="S126" s="138"/>
      <c r="T126" s="3"/>
      <c r="U126" s="3"/>
      <c r="V126" s="3"/>
      <c r="W126" s="3" t="str">
        <f t="shared" si="48"/>
        <v/>
      </c>
      <c r="X126" s="9" t="str">
        <f t="shared" si="49"/>
        <v/>
      </c>
      <c r="Y126" s="9" t="str">
        <f t="shared" si="50"/>
        <v/>
      </c>
      <c r="Z126" s="3" t="e">
        <f>INDEX('справочная информация'!$U$6:$AK$29,MATCH('Расчет грейда'!$Y126,'справочная информация'!$T$6:$T$29,0),MATCH('Расчет грейда'!$X126,'справочная информация'!$U$5:$AK$5,0))</f>
        <v>#N/A</v>
      </c>
      <c r="AA126" s="9" t="str">
        <f t="shared" si="51"/>
        <v/>
      </c>
      <c r="AB126" s="3" t="e">
        <f>INDEX('справочная информация'!$B$68:$H$83,MATCH('Расчет грейда'!$AA126,'справочная информация'!$A$68:$A$83,0),MATCH('Расчет грейда'!$N126,'справочная информация'!$B$67:$H$67,0))</f>
        <v>#N/A</v>
      </c>
      <c r="AC126" s="3" t="e">
        <f>INDEX('справочная информация'!$D$130:$AD$145,MATCH('Расчет грейда'!$AW126,'справочная информация'!$C$130:$C$145,0),MATCH('Расчет грейда'!$AV126,'справочная информация'!$D$129:$AD$129,0))</f>
        <v>#N/A</v>
      </c>
      <c r="AD126" s="9" t="str">
        <f t="shared" si="52"/>
        <v/>
      </c>
      <c r="AE126" s="9" t="str">
        <f t="shared" si="53"/>
        <v/>
      </c>
      <c r="AF126" s="3" t="str">
        <f>IFERROR(IF(AND(AD126="",AE126=""),"",INDEX('справочная информация'!$B$188:$Y$211,MATCH('Расчет грейда'!$AE126,'справочная информация'!$A$188:$A$211,0),MATCH('Расчет грейда'!$AD126,'справочная информация'!$B$187:$Y$187,0))),"НЕТ")</f>
        <v/>
      </c>
      <c r="AG126" s="3" t="e">
        <f>VLOOKUP(J126,'справочная информация'!$D$267:$E$274,2,0)</f>
        <v>#N/A</v>
      </c>
      <c r="AH126" s="3" t="e">
        <f>VLOOKUP(K126,'справочная информация'!$D$279:$E$283,2,0)</f>
        <v>#N/A</v>
      </c>
      <c r="AI126" s="3" t="e">
        <f>VLOOKUP(L126,'справочная информация'!$D$288:$E$290,2,0)</f>
        <v>#N/A</v>
      </c>
      <c r="AJ126" s="3" t="str">
        <f t="shared" si="54"/>
        <v/>
      </c>
      <c r="AK126" s="169" t="e">
        <f>VLOOKUP(M126,'справочная информация'!$D$294:$E$301,2,0)</f>
        <v>#N/A</v>
      </c>
      <c r="AL126" s="3" t="e">
        <f>VLOOKUP(N126,'справочная информация'!$D$306:$E$310,2,0)</f>
        <v>#N/A</v>
      </c>
      <c r="AM126" s="169" t="str">
        <f t="shared" si="55"/>
        <v>()</v>
      </c>
      <c r="AN126" s="3" t="str">
        <f t="shared" si="56"/>
        <v/>
      </c>
      <c r="AO126" s="3" t="e">
        <f>VLOOKUP(O126,'справочная информация'!$D$329:$E$336,2,0)</f>
        <v>#N/A</v>
      </c>
      <c r="AP126" s="3" t="e">
        <f>VLOOKUP(P126,'справочная информация'!$D$342:$E$349,2,0)</f>
        <v>#N/A</v>
      </c>
      <c r="AQ126" s="3" t="e">
        <f>VLOOKUP(Q126,'справочная информация'!$D$316:$E$325,2,0)</f>
        <v>#N/A</v>
      </c>
      <c r="AR126" s="3" t="str">
        <f t="shared" si="57"/>
        <v/>
      </c>
      <c r="AS126" s="170" t="str">
        <f t="shared" si="58"/>
        <v/>
      </c>
      <c r="AT126" s="3" t="str">
        <f t="shared" si="59"/>
        <v/>
      </c>
      <c r="AU126" s="3" t="e">
        <f>ABS(MATCH($AX126,'справочная информация'!$A$354:$A$391,0)-MATCH($AY126,'справочная информация'!$A$354:$A$391,0))</f>
        <v>#N/A</v>
      </c>
      <c r="AV126" s="3" t="str">
        <f>IFERROR(INDEX('справочная информация'!$B$6:$R$29,MATCH('Расчет грейда'!$Y126,'справочная информация'!$A$6:$A$29,0),MATCH('Расчет грейда'!$X126,'справочная информация'!$B$5:$R$5,0)),"")</f>
        <v/>
      </c>
      <c r="AW126" s="171" t="str">
        <f>IFERROR(INDEX('справочная информация'!$B$37:$H$52,MATCH('Расчет грейда'!$AA126,'справочная информация'!$A$37:$A$52,0),MATCH('Расчет грейда'!$N126,'справочная информация'!$B$36:$H$36,0)),"")</f>
        <v/>
      </c>
      <c r="AX126" s="122" t="str">
        <f>IFERROR(INDEX('справочная информация'!$D$108:$AD$123,MATCH('Расчет грейда'!$AW126,'справочная информация'!$C$108:$C$123,0),MATCH('Расчет грейда'!$AV126,'справочная информация'!$D$107:$AD$107,0)),"")</f>
        <v/>
      </c>
      <c r="AY126" s="133" t="str">
        <f>IFERROR(INDEX('справочная информация'!$B$158:$Y$181,MATCH('Расчет грейда'!$AE126,'справочная информация'!$A$158:$A$181,0),MATCH('Расчет грейда'!$AD126,'справочная информация'!$B$157:$Y$157,0)),"")</f>
        <v/>
      </c>
      <c r="AZ126" s="170" t="str">
        <f t="shared" si="60"/>
        <v/>
      </c>
      <c r="BA126" s="172" t="str">
        <f>IFERROR(CONCATENATE(TEXT(AZ126/INDEX('справочная информация'!$D$223:$D$261,MATCH('Расчет грейда'!$AZ126,'справочная информация'!$C$223:$C$261,1)),"0%")," - процент относительно медианы 100%. ","MIN балл на грейде ",INDEX('справочная информация'!$C$223:$C$261,MATCH('Расчет грейда'!$AZ126,'справочная информация'!$C$223:$C$261,1)),", "," MAX балл на грейде ",INDEX('справочная информация'!$E$223:$E$261,MATCH('Расчет грейда'!$AZ126,'справочная информация'!$C$223:$C$261,1))),"")</f>
        <v/>
      </c>
      <c r="BB126" s="120" t="str">
        <f t="shared" si="61"/>
        <v/>
      </c>
      <c r="BC126" s="3" t="str">
        <f t="shared" si="62"/>
        <v/>
      </c>
      <c r="BD126" s="121" t="str">
        <f>IFERROR(VLOOKUP(BC126,'справочная информация'!$B$416:$C$424,2,0),"Проверить данные, нетипичная должность")</f>
        <v>Проверить данные, нетипичная должность</v>
      </c>
      <c r="BE126" s="3" t="str">
        <f t="shared" si="63"/>
        <v/>
      </c>
      <c r="BF126" s="3" t="str">
        <f>IFERROR(INDEX('справочная информация'!$F$223:$F$261,MATCH('Расчет грейда'!$AZ126,'справочная информация'!$C$223:$C$261,1)),"")</f>
        <v/>
      </c>
    </row>
    <row r="127" spans="1:58" s="9" customFormat="1" x14ac:dyDescent="0.35">
      <c r="A127" s="120"/>
      <c r="B127" s="122"/>
      <c r="C127" s="140"/>
      <c r="D127" s="120"/>
      <c r="E127" s="120"/>
      <c r="F127" s="120"/>
      <c r="G127" s="120"/>
      <c r="H127" s="120"/>
      <c r="J127" s="142"/>
      <c r="K127" s="142"/>
      <c r="L127" s="142"/>
      <c r="R127" s="3"/>
      <c r="S127" s="138"/>
      <c r="T127" s="3"/>
      <c r="U127" s="3"/>
      <c r="V127" s="3"/>
      <c r="W127" s="3" t="str">
        <f t="shared" si="48"/>
        <v/>
      </c>
      <c r="X127" s="9" t="str">
        <f t="shared" si="49"/>
        <v/>
      </c>
      <c r="Y127" s="9" t="str">
        <f t="shared" si="50"/>
        <v/>
      </c>
      <c r="Z127" s="3" t="e">
        <f>INDEX('справочная информация'!$U$6:$AK$29,MATCH('Расчет грейда'!$Y127,'справочная информация'!$T$6:$T$29,0),MATCH('Расчет грейда'!$X127,'справочная информация'!$U$5:$AK$5,0))</f>
        <v>#N/A</v>
      </c>
      <c r="AA127" s="9" t="str">
        <f t="shared" si="51"/>
        <v/>
      </c>
      <c r="AB127" s="3" t="e">
        <f>INDEX('справочная информация'!$B$68:$H$83,MATCH('Расчет грейда'!$AA127,'справочная информация'!$A$68:$A$83,0),MATCH('Расчет грейда'!$N127,'справочная информация'!$B$67:$H$67,0))</f>
        <v>#N/A</v>
      </c>
      <c r="AC127" s="3" t="e">
        <f>INDEX('справочная информация'!$D$130:$AD$145,MATCH('Расчет грейда'!$AW127,'справочная информация'!$C$130:$C$145,0),MATCH('Расчет грейда'!$AV127,'справочная информация'!$D$129:$AD$129,0))</f>
        <v>#N/A</v>
      </c>
      <c r="AD127" s="9" t="str">
        <f t="shared" si="52"/>
        <v/>
      </c>
      <c r="AE127" s="9" t="str">
        <f t="shared" si="53"/>
        <v/>
      </c>
      <c r="AF127" s="3" t="str">
        <f>IFERROR(IF(AND(AD127="",AE127=""),"",INDEX('справочная информация'!$B$188:$Y$211,MATCH('Расчет грейда'!$AE127,'справочная информация'!$A$188:$A$211,0),MATCH('Расчет грейда'!$AD127,'справочная информация'!$B$187:$Y$187,0))),"НЕТ")</f>
        <v/>
      </c>
      <c r="AG127" s="3" t="e">
        <f>VLOOKUP(J127,'справочная информация'!$D$267:$E$274,2,0)</f>
        <v>#N/A</v>
      </c>
      <c r="AH127" s="3" t="e">
        <f>VLOOKUP(K127,'справочная информация'!$D$279:$E$283,2,0)</f>
        <v>#N/A</v>
      </c>
      <c r="AI127" s="3" t="e">
        <f>VLOOKUP(L127,'справочная информация'!$D$288:$E$290,2,0)</f>
        <v>#N/A</v>
      </c>
      <c r="AJ127" s="3" t="str">
        <f t="shared" si="54"/>
        <v/>
      </c>
      <c r="AK127" s="169" t="e">
        <f>VLOOKUP(M127,'справочная информация'!$D$294:$E$301,2,0)</f>
        <v>#N/A</v>
      </c>
      <c r="AL127" s="3" t="e">
        <f>VLOOKUP(N127,'справочная информация'!$D$306:$E$310,2,0)</f>
        <v>#N/A</v>
      </c>
      <c r="AM127" s="169" t="str">
        <f t="shared" si="55"/>
        <v>()</v>
      </c>
      <c r="AN127" s="3" t="str">
        <f t="shared" si="56"/>
        <v/>
      </c>
      <c r="AO127" s="3" t="e">
        <f>VLOOKUP(O127,'справочная информация'!$D$329:$E$336,2,0)</f>
        <v>#N/A</v>
      </c>
      <c r="AP127" s="3" t="e">
        <f>VLOOKUP(P127,'справочная информация'!$D$342:$E$349,2,0)</f>
        <v>#N/A</v>
      </c>
      <c r="AQ127" s="3" t="e">
        <f>VLOOKUP(Q127,'справочная информация'!$D$316:$E$325,2,0)</f>
        <v>#N/A</v>
      </c>
      <c r="AR127" s="3" t="str">
        <f t="shared" si="57"/>
        <v/>
      </c>
      <c r="AS127" s="170" t="str">
        <f t="shared" si="58"/>
        <v/>
      </c>
      <c r="AT127" s="3" t="str">
        <f t="shared" si="59"/>
        <v/>
      </c>
      <c r="AU127" s="3" t="e">
        <f>ABS(MATCH($AX127,'справочная информация'!$A$354:$A$391,0)-MATCH($AY127,'справочная информация'!$A$354:$A$391,0))</f>
        <v>#N/A</v>
      </c>
      <c r="AV127" s="3" t="str">
        <f>IFERROR(INDEX('справочная информация'!$B$6:$R$29,MATCH('Расчет грейда'!$Y127,'справочная информация'!$A$6:$A$29,0),MATCH('Расчет грейда'!$X127,'справочная информация'!$B$5:$R$5,0)),"")</f>
        <v/>
      </c>
      <c r="AW127" s="171" t="str">
        <f>IFERROR(INDEX('справочная информация'!$B$37:$H$52,MATCH('Расчет грейда'!$AA127,'справочная информация'!$A$37:$A$52,0),MATCH('Расчет грейда'!$N127,'справочная информация'!$B$36:$H$36,0)),"")</f>
        <v/>
      </c>
      <c r="AX127" s="122" t="str">
        <f>IFERROR(INDEX('справочная информация'!$D$108:$AD$123,MATCH('Расчет грейда'!$AW127,'справочная информация'!$C$108:$C$123,0),MATCH('Расчет грейда'!$AV127,'справочная информация'!$D$107:$AD$107,0)),"")</f>
        <v/>
      </c>
      <c r="AY127" s="133" t="str">
        <f>IFERROR(INDEX('справочная информация'!$B$158:$Y$181,MATCH('Расчет грейда'!$AE127,'справочная информация'!$A$158:$A$181,0),MATCH('Расчет грейда'!$AD127,'справочная информация'!$B$157:$Y$157,0)),"")</f>
        <v/>
      </c>
      <c r="AZ127" s="170" t="str">
        <f t="shared" si="60"/>
        <v/>
      </c>
      <c r="BA127" s="172" t="str">
        <f>IFERROR(CONCATENATE(TEXT(AZ127/INDEX('справочная информация'!$D$223:$D$261,MATCH('Расчет грейда'!$AZ127,'справочная информация'!$C$223:$C$261,1)),"0%")," - процент относительно медианы 100%. ","MIN балл на грейде ",INDEX('справочная информация'!$C$223:$C$261,MATCH('Расчет грейда'!$AZ127,'справочная информация'!$C$223:$C$261,1)),", "," MAX балл на грейде ",INDEX('справочная информация'!$E$223:$E$261,MATCH('Расчет грейда'!$AZ127,'справочная информация'!$C$223:$C$261,1))),"")</f>
        <v/>
      </c>
      <c r="BB127" s="120" t="str">
        <f t="shared" si="61"/>
        <v/>
      </c>
      <c r="BC127" s="3" t="str">
        <f t="shared" si="62"/>
        <v/>
      </c>
      <c r="BD127" s="121" t="str">
        <f>IFERROR(VLOOKUP(BC127,'справочная информация'!$B$416:$C$424,2,0),"Проверить данные, нетипичная должность")</f>
        <v>Проверить данные, нетипичная должность</v>
      </c>
      <c r="BE127" s="3" t="str">
        <f t="shared" si="63"/>
        <v/>
      </c>
      <c r="BF127" s="3" t="str">
        <f>IFERROR(INDEX('справочная информация'!$F$223:$F$261,MATCH('Расчет грейда'!$AZ127,'справочная информация'!$C$223:$C$261,1)),"")</f>
        <v/>
      </c>
    </row>
    <row r="128" spans="1:58" s="9" customFormat="1" x14ac:dyDescent="0.35">
      <c r="A128" s="120"/>
      <c r="B128" s="122"/>
      <c r="C128" s="140"/>
      <c r="D128" s="120"/>
      <c r="E128" s="120"/>
      <c r="F128" s="120"/>
      <c r="G128" s="120"/>
      <c r="H128" s="120"/>
      <c r="J128" s="142"/>
      <c r="K128" s="142"/>
      <c r="L128" s="142"/>
      <c r="R128" s="3"/>
      <c r="S128" s="138"/>
      <c r="T128" s="3"/>
      <c r="U128" s="3"/>
      <c r="V128" s="3"/>
      <c r="W128" s="3" t="str">
        <f t="shared" si="48"/>
        <v/>
      </c>
      <c r="X128" s="9" t="str">
        <f t="shared" si="49"/>
        <v/>
      </c>
      <c r="Y128" s="9" t="str">
        <f t="shared" si="50"/>
        <v/>
      </c>
      <c r="Z128" s="3" t="e">
        <f>INDEX('справочная информация'!$U$6:$AK$29,MATCH('Расчет грейда'!$Y128,'справочная информация'!$T$6:$T$29,0),MATCH('Расчет грейда'!$X128,'справочная информация'!$U$5:$AK$5,0))</f>
        <v>#N/A</v>
      </c>
      <c r="AA128" s="9" t="str">
        <f t="shared" si="51"/>
        <v/>
      </c>
      <c r="AB128" s="3" t="e">
        <f>INDEX('справочная информация'!$B$68:$H$83,MATCH('Расчет грейда'!$AA128,'справочная информация'!$A$68:$A$83,0),MATCH('Расчет грейда'!$N128,'справочная информация'!$B$67:$H$67,0))</f>
        <v>#N/A</v>
      </c>
      <c r="AC128" s="3" t="e">
        <f>INDEX('справочная информация'!$D$130:$AD$145,MATCH('Расчет грейда'!$AW128,'справочная информация'!$C$130:$C$145,0),MATCH('Расчет грейда'!$AV128,'справочная информация'!$D$129:$AD$129,0))</f>
        <v>#N/A</v>
      </c>
      <c r="AD128" s="9" t="str">
        <f t="shared" si="52"/>
        <v/>
      </c>
      <c r="AE128" s="9" t="str">
        <f t="shared" si="53"/>
        <v/>
      </c>
      <c r="AF128" s="3" t="str">
        <f>IFERROR(IF(AND(AD128="",AE128=""),"",INDEX('справочная информация'!$B$188:$Y$211,MATCH('Расчет грейда'!$AE128,'справочная информация'!$A$188:$A$211,0),MATCH('Расчет грейда'!$AD128,'справочная информация'!$B$187:$Y$187,0))),"НЕТ")</f>
        <v/>
      </c>
      <c r="AG128" s="3" t="e">
        <f>VLOOKUP(J128,'справочная информация'!$D$267:$E$274,2,0)</f>
        <v>#N/A</v>
      </c>
      <c r="AH128" s="3" t="e">
        <f>VLOOKUP(K128,'справочная информация'!$D$279:$E$283,2,0)</f>
        <v>#N/A</v>
      </c>
      <c r="AI128" s="3" t="e">
        <f>VLOOKUP(L128,'справочная информация'!$D$288:$E$290,2,0)</f>
        <v>#N/A</v>
      </c>
      <c r="AJ128" s="3" t="str">
        <f t="shared" si="54"/>
        <v/>
      </c>
      <c r="AK128" s="169" t="e">
        <f>VLOOKUP(M128,'справочная информация'!$D$294:$E$301,2,0)</f>
        <v>#N/A</v>
      </c>
      <c r="AL128" s="3" t="e">
        <f>VLOOKUP(N128,'справочная информация'!$D$306:$E$310,2,0)</f>
        <v>#N/A</v>
      </c>
      <c r="AM128" s="169" t="str">
        <f t="shared" si="55"/>
        <v>()</v>
      </c>
      <c r="AN128" s="3" t="str">
        <f t="shared" si="56"/>
        <v/>
      </c>
      <c r="AO128" s="3" t="e">
        <f>VLOOKUP(O128,'справочная информация'!$D$329:$E$336,2,0)</f>
        <v>#N/A</v>
      </c>
      <c r="AP128" s="3" t="e">
        <f>VLOOKUP(P128,'справочная информация'!$D$342:$E$349,2,0)</f>
        <v>#N/A</v>
      </c>
      <c r="AQ128" s="3" t="e">
        <f>VLOOKUP(Q128,'справочная информация'!$D$316:$E$325,2,0)</f>
        <v>#N/A</v>
      </c>
      <c r="AR128" s="3" t="str">
        <f t="shared" si="57"/>
        <v/>
      </c>
      <c r="AS128" s="170" t="str">
        <f t="shared" si="58"/>
        <v/>
      </c>
      <c r="AT128" s="3" t="str">
        <f t="shared" si="59"/>
        <v/>
      </c>
      <c r="AU128" s="3" t="e">
        <f>ABS(MATCH($AX128,'справочная информация'!$A$354:$A$391,0)-MATCH($AY128,'справочная информация'!$A$354:$A$391,0))</f>
        <v>#N/A</v>
      </c>
      <c r="AV128" s="3" t="str">
        <f>IFERROR(INDEX('справочная информация'!$B$6:$R$29,MATCH('Расчет грейда'!$Y128,'справочная информация'!$A$6:$A$29,0),MATCH('Расчет грейда'!$X128,'справочная информация'!$B$5:$R$5,0)),"")</f>
        <v/>
      </c>
      <c r="AW128" s="171" t="str">
        <f>IFERROR(INDEX('справочная информация'!$B$37:$H$52,MATCH('Расчет грейда'!$AA128,'справочная информация'!$A$37:$A$52,0),MATCH('Расчет грейда'!$N128,'справочная информация'!$B$36:$H$36,0)),"")</f>
        <v/>
      </c>
      <c r="AX128" s="122" t="str">
        <f>IFERROR(INDEX('справочная информация'!$D$108:$AD$123,MATCH('Расчет грейда'!$AW128,'справочная информация'!$C$108:$C$123,0),MATCH('Расчет грейда'!$AV128,'справочная информация'!$D$107:$AD$107,0)),"")</f>
        <v/>
      </c>
      <c r="AY128" s="133" t="str">
        <f>IFERROR(INDEX('справочная информация'!$B$158:$Y$181,MATCH('Расчет грейда'!$AE128,'справочная информация'!$A$158:$A$181,0),MATCH('Расчет грейда'!$AD128,'справочная информация'!$B$157:$Y$157,0)),"")</f>
        <v/>
      </c>
      <c r="AZ128" s="170" t="str">
        <f t="shared" si="60"/>
        <v/>
      </c>
      <c r="BA128" s="172" t="str">
        <f>IFERROR(CONCATENATE(TEXT(AZ128/INDEX('справочная информация'!$D$223:$D$261,MATCH('Расчет грейда'!$AZ128,'справочная информация'!$C$223:$C$261,1)),"0%")," - процент относительно медианы 100%. ","MIN балл на грейде ",INDEX('справочная информация'!$C$223:$C$261,MATCH('Расчет грейда'!$AZ128,'справочная информация'!$C$223:$C$261,1)),", "," MAX балл на грейде ",INDEX('справочная информация'!$E$223:$E$261,MATCH('Расчет грейда'!$AZ128,'справочная информация'!$C$223:$C$261,1))),"")</f>
        <v/>
      </c>
      <c r="BB128" s="120" t="str">
        <f t="shared" si="61"/>
        <v/>
      </c>
      <c r="BC128" s="3" t="str">
        <f t="shared" si="62"/>
        <v/>
      </c>
      <c r="BD128" s="121" t="str">
        <f>IFERROR(VLOOKUP(BC128,'справочная информация'!$B$416:$C$424,2,0),"Проверить данные, нетипичная должность")</f>
        <v>Проверить данные, нетипичная должность</v>
      </c>
      <c r="BE128" s="3" t="str">
        <f t="shared" si="63"/>
        <v/>
      </c>
      <c r="BF128" s="3" t="str">
        <f>IFERROR(INDEX('справочная информация'!$F$223:$F$261,MATCH('Расчет грейда'!$AZ128,'справочная информация'!$C$223:$C$261,1)),"")</f>
        <v/>
      </c>
    </row>
    <row r="129" spans="1:58" s="9" customFormat="1" x14ac:dyDescent="0.35">
      <c r="A129" s="120"/>
      <c r="B129" s="122"/>
      <c r="C129" s="140"/>
      <c r="D129" s="120"/>
      <c r="E129" s="120"/>
      <c r="F129" s="120"/>
      <c r="G129" s="120"/>
      <c r="H129" s="120"/>
      <c r="J129" s="142"/>
      <c r="K129" s="142"/>
      <c r="L129" s="142"/>
      <c r="R129" s="3"/>
      <c r="S129" s="138"/>
      <c r="T129" s="3"/>
      <c r="U129" s="3"/>
      <c r="V129" s="3"/>
      <c r="W129" s="3" t="str">
        <f t="shared" si="48"/>
        <v/>
      </c>
      <c r="X129" s="9" t="str">
        <f t="shared" si="49"/>
        <v/>
      </c>
      <c r="Y129" s="9" t="str">
        <f t="shared" si="50"/>
        <v/>
      </c>
      <c r="Z129" s="3" t="e">
        <f>INDEX('справочная информация'!$U$6:$AK$29,MATCH('Расчет грейда'!$Y129,'справочная информация'!$T$6:$T$29,0),MATCH('Расчет грейда'!$X129,'справочная информация'!$U$5:$AK$5,0))</f>
        <v>#N/A</v>
      </c>
      <c r="AA129" s="9" t="str">
        <f t="shared" si="51"/>
        <v/>
      </c>
      <c r="AB129" s="3" t="e">
        <f>INDEX('справочная информация'!$B$68:$H$83,MATCH('Расчет грейда'!$AA129,'справочная информация'!$A$68:$A$83,0),MATCH('Расчет грейда'!$N129,'справочная информация'!$B$67:$H$67,0))</f>
        <v>#N/A</v>
      </c>
      <c r="AC129" s="3" t="e">
        <f>INDEX('справочная информация'!$D$130:$AD$145,MATCH('Расчет грейда'!$AW129,'справочная информация'!$C$130:$C$145,0),MATCH('Расчет грейда'!$AV129,'справочная информация'!$D$129:$AD$129,0))</f>
        <v>#N/A</v>
      </c>
      <c r="AD129" s="9" t="str">
        <f t="shared" si="52"/>
        <v/>
      </c>
      <c r="AE129" s="9" t="str">
        <f t="shared" si="53"/>
        <v/>
      </c>
      <c r="AF129" s="3" t="str">
        <f>IFERROR(IF(AND(AD129="",AE129=""),"",INDEX('справочная информация'!$B$188:$Y$211,MATCH('Расчет грейда'!$AE129,'справочная информация'!$A$188:$A$211,0),MATCH('Расчет грейда'!$AD129,'справочная информация'!$B$187:$Y$187,0))),"НЕТ")</f>
        <v/>
      </c>
      <c r="AG129" s="3" t="e">
        <f>VLOOKUP(J129,'справочная информация'!$D$267:$E$274,2,0)</f>
        <v>#N/A</v>
      </c>
      <c r="AH129" s="3" t="e">
        <f>VLOOKUP(K129,'справочная информация'!$D$279:$E$283,2,0)</f>
        <v>#N/A</v>
      </c>
      <c r="AI129" s="3" t="e">
        <f>VLOOKUP(L129,'справочная информация'!$D$288:$E$290,2,0)</f>
        <v>#N/A</v>
      </c>
      <c r="AJ129" s="3" t="str">
        <f t="shared" si="54"/>
        <v/>
      </c>
      <c r="AK129" s="169" t="e">
        <f>VLOOKUP(M129,'справочная информация'!$D$294:$E$301,2,0)</f>
        <v>#N/A</v>
      </c>
      <c r="AL129" s="3" t="e">
        <f>VLOOKUP(N129,'справочная информация'!$D$306:$E$310,2,0)</f>
        <v>#N/A</v>
      </c>
      <c r="AM129" s="169" t="str">
        <f t="shared" si="55"/>
        <v>()</v>
      </c>
      <c r="AN129" s="3" t="str">
        <f t="shared" si="56"/>
        <v/>
      </c>
      <c r="AO129" s="3" t="e">
        <f>VLOOKUP(O129,'справочная информация'!$D$329:$E$336,2,0)</f>
        <v>#N/A</v>
      </c>
      <c r="AP129" s="3" t="e">
        <f>VLOOKUP(P129,'справочная информация'!$D$342:$E$349,2,0)</f>
        <v>#N/A</v>
      </c>
      <c r="AQ129" s="3" t="e">
        <f>VLOOKUP(Q129,'справочная информация'!$D$316:$E$325,2,0)</f>
        <v>#N/A</v>
      </c>
      <c r="AR129" s="3" t="str">
        <f t="shared" si="57"/>
        <v/>
      </c>
      <c r="AS129" s="170" t="str">
        <f t="shared" si="58"/>
        <v/>
      </c>
      <c r="AT129" s="3" t="str">
        <f t="shared" si="59"/>
        <v/>
      </c>
      <c r="AU129" s="3" t="e">
        <f>ABS(MATCH($AX129,'справочная информация'!$A$354:$A$391,0)-MATCH($AY129,'справочная информация'!$A$354:$A$391,0))</f>
        <v>#N/A</v>
      </c>
      <c r="AV129" s="3" t="str">
        <f>IFERROR(INDEX('справочная информация'!$B$6:$R$29,MATCH('Расчет грейда'!$Y129,'справочная информация'!$A$6:$A$29,0),MATCH('Расчет грейда'!$X129,'справочная информация'!$B$5:$R$5,0)),"")</f>
        <v/>
      </c>
      <c r="AW129" s="171" t="str">
        <f>IFERROR(INDEX('справочная информация'!$B$37:$H$52,MATCH('Расчет грейда'!$AA129,'справочная информация'!$A$37:$A$52,0),MATCH('Расчет грейда'!$N129,'справочная информация'!$B$36:$H$36,0)),"")</f>
        <v/>
      </c>
      <c r="AX129" s="122" t="str">
        <f>IFERROR(INDEX('справочная информация'!$D$108:$AD$123,MATCH('Расчет грейда'!$AW129,'справочная информация'!$C$108:$C$123,0),MATCH('Расчет грейда'!$AV129,'справочная информация'!$D$107:$AD$107,0)),"")</f>
        <v/>
      </c>
      <c r="AY129" s="133" t="str">
        <f>IFERROR(INDEX('справочная информация'!$B$158:$Y$181,MATCH('Расчет грейда'!$AE129,'справочная информация'!$A$158:$A$181,0),MATCH('Расчет грейда'!$AD129,'справочная информация'!$B$157:$Y$157,0)),"")</f>
        <v/>
      </c>
      <c r="AZ129" s="170" t="str">
        <f t="shared" si="60"/>
        <v/>
      </c>
      <c r="BA129" s="172" t="str">
        <f>IFERROR(CONCATENATE(TEXT(AZ129/INDEX('справочная информация'!$D$223:$D$261,MATCH('Расчет грейда'!$AZ129,'справочная информация'!$C$223:$C$261,1)),"0%")," - процент относительно медианы 100%. ","MIN балл на грейде ",INDEX('справочная информация'!$C$223:$C$261,MATCH('Расчет грейда'!$AZ129,'справочная информация'!$C$223:$C$261,1)),", "," MAX балл на грейде ",INDEX('справочная информация'!$E$223:$E$261,MATCH('Расчет грейда'!$AZ129,'справочная информация'!$C$223:$C$261,1))),"")</f>
        <v/>
      </c>
      <c r="BB129" s="120" t="str">
        <f t="shared" si="61"/>
        <v/>
      </c>
      <c r="BC129" s="3" t="str">
        <f t="shared" si="62"/>
        <v/>
      </c>
      <c r="BD129" s="121" t="str">
        <f>IFERROR(VLOOKUP(BC129,'справочная информация'!$B$416:$C$424,2,0),"Проверить данные, нетипичная должность")</f>
        <v>Проверить данные, нетипичная должность</v>
      </c>
      <c r="BE129" s="3" t="str">
        <f t="shared" si="63"/>
        <v/>
      </c>
      <c r="BF129" s="3" t="str">
        <f>IFERROR(INDEX('справочная информация'!$F$223:$F$261,MATCH('Расчет грейда'!$AZ129,'справочная информация'!$C$223:$C$261,1)),"")</f>
        <v/>
      </c>
    </row>
    <row r="130" spans="1:58" s="9" customFormat="1" x14ac:dyDescent="0.35">
      <c r="A130" s="120"/>
      <c r="B130" s="122"/>
      <c r="C130" s="140"/>
      <c r="D130" s="120"/>
      <c r="E130" s="120"/>
      <c r="F130" s="120"/>
      <c r="G130" s="120"/>
      <c r="H130" s="120"/>
      <c r="J130" s="142"/>
      <c r="K130" s="142"/>
      <c r="L130" s="142"/>
      <c r="R130" s="3"/>
      <c r="S130" s="138"/>
      <c r="T130" s="3"/>
      <c r="U130" s="3"/>
      <c r="V130" s="3"/>
      <c r="W130" s="3" t="str">
        <f t="shared" si="48"/>
        <v/>
      </c>
      <c r="X130" s="9" t="str">
        <f t="shared" si="49"/>
        <v/>
      </c>
      <c r="Y130" s="9" t="str">
        <f t="shared" si="50"/>
        <v/>
      </c>
      <c r="Z130" s="3" t="e">
        <f>INDEX('справочная информация'!$U$6:$AK$29,MATCH('Расчет грейда'!$Y130,'справочная информация'!$T$6:$T$29,0),MATCH('Расчет грейда'!$X130,'справочная информация'!$U$5:$AK$5,0))</f>
        <v>#N/A</v>
      </c>
      <c r="AA130" s="9" t="str">
        <f t="shared" si="51"/>
        <v/>
      </c>
      <c r="AB130" s="3" t="e">
        <f>INDEX('справочная информация'!$B$68:$H$83,MATCH('Расчет грейда'!$AA130,'справочная информация'!$A$68:$A$83,0),MATCH('Расчет грейда'!$N130,'справочная информация'!$B$67:$H$67,0))</f>
        <v>#N/A</v>
      </c>
      <c r="AC130" s="3" t="e">
        <f>INDEX('справочная информация'!$D$130:$AD$145,MATCH('Расчет грейда'!$AW130,'справочная информация'!$C$130:$C$145,0),MATCH('Расчет грейда'!$AV130,'справочная информация'!$D$129:$AD$129,0))</f>
        <v>#N/A</v>
      </c>
      <c r="AD130" s="9" t="str">
        <f t="shared" si="52"/>
        <v/>
      </c>
      <c r="AE130" s="9" t="str">
        <f t="shared" si="53"/>
        <v/>
      </c>
      <c r="AF130" s="3" t="str">
        <f>IFERROR(IF(AND(AD130="",AE130=""),"",INDEX('справочная информация'!$B$188:$Y$211,MATCH('Расчет грейда'!$AE130,'справочная информация'!$A$188:$A$211,0),MATCH('Расчет грейда'!$AD130,'справочная информация'!$B$187:$Y$187,0))),"НЕТ")</f>
        <v/>
      </c>
      <c r="AG130" s="3" t="e">
        <f>VLOOKUP(J130,'справочная информация'!$D$267:$E$274,2,0)</f>
        <v>#N/A</v>
      </c>
      <c r="AH130" s="3" t="e">
        <f>VLOOKUP(K130,'справочная информация'!$D$279:$E$283,2,0)</f>
        <v>#N/A</v>
      </c>
      <c r="AI130" s="3" t="e">
        <f>VLOOKUP(L130,'справочная информация'!$D$288:$E$290,2,0)</f>
        <v>#N/A</v>
      </c>
      <c r="AJ130" s="3" t="str">
        <f t="shared" si="54"/>
        <v/>
      </c>
      <c r="AK130" s="169" t="e">
        <f>VLOOKUP(M130,'справочная информация'!$D$294:$E$301,2,0)</f>
        <v>#N/A</v>
      </c>
      <c r="AL130" s="3" t="e">
        <f>VLOOKUP(N130,'справочная информация'!$D$306:$E$310,2,0)</f>
        <v>#N/A</v>
      </c>
      <c r="AM130" s="169" t="str">
        <f t="shared" si="55"/>
        <v>()</v>
      </c>
      <c r="AN130" s="3" t="str">
        <f t="shared" si="56"/>
        <v/>
      </c>
      <c r="AO130" s="3" t="e">
        <f>VLOOKUP(O130,'справочная информация'!$D$329:$E$336,2,0)</f>
        <v>#N/A</v>
      </c>
      <c r="AP130" s="3" t="e">
        <f>VLOOKUP(P130,'справочная информация'!$D$342:$E$349,2,0)</f>
        <v>#N/A</v>
      </c>
      <c r="AQ130" s="3" t="e">
        <f>VLOOKUP(Q130,'справочная информация'!$D$316:$E$325,2,0)</f>
        <v>#N/A</v>
      </c>
      <c r="AR130" s="3" t="str">
        <f t="shared" si="57"/>
        <v/>
      </c>
      <c r="AS130" s="170" t="str">
        <f t="shared" si="58"/>
        <v/>
      </c>
      <c r="AT130" s="3" t="str">
        <f t="shared" si="59"/>
        <v/>
      </c>
      <c r="AU130" s="3" t="e">
        <f>ABS(MATCH($AX130,'справочная информация'!$A$354:$A$391,0)-MATCH($AY130,'справочная информация'!$A$354:$A$391,0))</f>
        <v>#N/A</v>
      </c>
      <c r="AV130" s="3" t="str">
        <f>IFERROR(INDEX('справочная информация'!$B$6:$R$29,MATCH('Расчет грейда'!$Y130,'справочная информация'!$A$6:$A$29,0),MATCH('Расчет грейда'!$X130,'справочная информация'!$B$5:$R$5,0)),"")</f>
        <v/>
      </c>
      <c r="AW130" s="171" t="str">
        <f>IFERROR(INDEX('справочная информация'!$B$37:$H$52,MATCH('Расчет грейда'!$AA130,'справочная информация'!$A$37:$A$52,0),MATCH('Расчет грейда'!$N130,'справочная информация'!$B$36:$H$36,0)),"")</f>
        <v/>
      </c>
      <c r="AX130" s="122" t="str">
        <f>IFERROR(INDEX('справочная информация'!$D$108:$AD$123,MATCH('Расчет грейда'!$AW130,'справочная информация'!$C$108:$C$123,0),MATCH('Расчет грейда'!$AV130,'справочная информация'!$D$107:$AD$107,0)),"")</f>
        <v/>
      </c>
      <c r="AY130" s="133" t="str">
        <f>IFERROR(INDEX('справочная информация'!$B$158:$Y$181,MATCH('Расчет грейда'!$AE130,'справочная информация'!$A$158:$A$181,0),MATCH('Расчет грейда'!$AD130,'справочная информация'!$B$157:$Y$157,0)),"")</f>
        <v/>
      </c>
      <c r="AZ130" s="170" t="str">
        <f t="shared" si="60"/>
        <v/>
      </c>
      <c r="BA130" s="172" t="str">
        <f>IFERROR(CONCATENATE(TEXT(AZ130/INDEX('справочная информация'!$D$223:$D$261,MATCH('Расчет грейда'!$AZ130,'справочная информация'!$C$223:$C$261,1)),"0%")," - процент относительно медианы 100%. ","MIN балл на грейде ",INDEX('справочная информация'!$C$223:$C$261,MATCH('Расчет грейда'!$AZ130,'справочная информация'!$C$223:$C$261,1)),", "," MAX балл на грейде ",INDEX('справочная информация'!$E$223:$E$261,MATCH('Расчет грейда'!$AZ130,'справочная информация'!$C$223:$C$261,1))),"")</f>
        <v/>
      </c>
      <c r="BB130" s="120" t="str">
        <f t="shared" si="61"/>
        <v/>
      </c>
      <c r="BC130" s="3" t="str">
        <f t="shared" si="62"/>
        <v/>
      </c>
      <c r="BD130" s="121" t="str">
        <f>IFERROR(VLOOKUP(BC130,'справочная информация'!$B$416:$C$424,2,0),"Проверить данные, нетипичная должность")</f>
        <v>Проверить данные, нетипичная должность</v>
      </c>
      <c r="BE130" s="3" t="str">
        <f t="shared" si="63"/>
        <v/>
      </c>
      <c r="BF130" s="3" t="str">
        <f>IFERROR(INDEX('справочная информация'!$F$223:$F$261,MATCH('Расчет грейда'!$AZ130,'справочная информация'!$C$223:$C$261,1)),"")</f>
        <v/>
      </c>
    </row>
    <row r="131" spans="1:58" s="9" customFormat="1" x14ac:dyDescent="0.35">
      <c r="A131" s="120"/>
      <c r="B131" s="122"/>
      <c r="C131" s="140"/>
      <c r="D131" s="120"/>
      <c r="E131" s="120"/>
      <c r="F131" s="120"/>
      <c r="G131" s="120"/>
      <c r="H131" s="120"/>
      <c r="J131" s="142"/>
      <c r="K131" s="142"/>
      <c r="L131" s="142"/>
      <c r="R131" s="3"/>
      <c r="S131" s="138"/>
      <c r="T131" s="3"/>
      <c r="U131" s="3"/>
      <c r="V131" s="3"/>
      <c r="W131" s="3" t="str">
        <f t="shared" si="48"/>
        <v/>
      </c>
      <c r="X131" s="9" t="str">
        <f t="shared" si="49"/>
        <v/>
      </c>
      <c r="Y131" s="9" t="str">
        <f t="shared" si="50"/>
        <v/>
      </c>
      <c r="Z131" s="3" t="e">
        <f>INDEX('справочная информация'!$U$6:$AK$29,MATCH('Расчет грейда'!$Y131,'справочная информация'!$T$6:$T$29,0),MATCH('Расчет грейда'!$X131,'справочная информация'!$U$5:$AK$5,0))</f>
        <v>#N/A</v>
      </c>
      <c r="AA131" s="9" t="str">
        <f t="shared" si="51"/>
        <v/>
      </c>
      <c r="AB131" s="3" t="e">
        <f>INDEX('справочная информация'!$B$68:$H$83,MATCH('Расчет грейда'!$AA131,'справочная информация'!$A$68:$A$83,0),MATCH('Расчет грейда'!$N131,'справочная информация'!$B$67:$H$67,0))</f>
        <v>#N/A</v>
      </c>
      <c r="AC131" s="3" t="e">
        <f>INDEX('справочная информация'!$D$130:$AD$145,MATCH('Расчет грейда'!$AW131,'справочная информация'!$C$130:$C$145,0),MATCH('Расчет грейда'!$AV131,'справочная информация'!$D$129:$AD$129,0))</f>
        <v>#N/A</v>
      </c>
      <c r="AD131" s="9" t="str">
        <f t="shared" si="52"/>
        <v/>
      </c>
      <c r="AE131" s="9" t="str">
        <f t="shared" si="53"/>
        <v/>
      </c>
      <c r="AF131" s="3" t="str">
        <f>IFERROR(IF(AND(AD131="",AE131=""),"",INDEX('справочная информация'!$B$188:$Y$211,MATCH('Расчет грейда'!$AE131,'справочная информация'!$A$188:$A$211,0),MATCH('Расчет грейда'!$AD131,'справочная информация'!$B$187:$Y$187,0))),"НЕТ")</f>
        <v/>
      </c>
      <c r="AG131" s="3" t="e">
        <f>VLOOKUP(J131,'справочная информация'!$D$267:$E$274,2,0)</f>
        <v>#N/A</v>
      </c>
      <c r="AH131" s="3" t="e">
        <f>VLOOKUP(K131,'справочная информация'!$D$279:$E$283,2,0)</f>
        <v>#N/A</v>
      </c>
      <c r="AI131" s="3" t="e">
        <f>VLOOKUP(L131,'справочная информация'!$D$288:$E$290,2,0)</f>
        <v>#N/A</v>
      </c>
      <c r="AJ131" s="3" t="str">
        <f t="shared" si="54"/>
        <v/>
      </c>
      <c r="AK131" s="169" t="e">
        <f>VLOOKUP(M131,'справочная информация'!$D$294:$E$301,2,0)</f>
        <v>#N/A</v>
      </c>
      <c r="AL131" s="3" t="e">
        <f>VLOOKUP(N131,'справочная информация'!$D$306:$E$310,2,0)</f>
        <v>#N/A</v>
      </c>
      <c r="AM131" s="169" t="str">
        <f t="shared" si="55"/>
        <v>()</v>
      </c>
      <c r="AN131" s="3" t="str">
        <f t="shared" si="56"/>
        <v/>
      </c>
      <c r="AO131" s="3" t="e">
        <f>VLOOKUP(O131,'справочная информация'!$D$329:$E$336,2,0)</f>
        <v>#N/A</v>
      </c>
      <c r="AP131" s="3" t="e">
        <f>VLOOKUP(P131,'справочная информация'!$D$342:$E$349,2,0)</f>
        <v>#N/A</v>
      </c>
      <c r="AQ131" s="3" t="e">
        <f>VLOOKUP(Q131,'справочная информация'!$D$316:$E$325,2,0)</f>
        <v>#N/A</v>
      </c>
      <c r="AR131" s="3" t="str">
        <f t="shared" si="57"/>
        <v/>
      </c>
      <c r="AS131" s="170" t="str">
        <f t="shared" si="58"/>
        <v/>
      </c>
      <c r="AT131" s="3" t="str">
        <f t="shared" si="59"/>
        <v/>
      </c>
      <c r="AU131" s="3" t="e">
        <f>ABS(MATCH($AX131,'справочная информация'!$A$354:$A$391,0)-MATCH($AY131,'справочная информация'!$A$354:$A$391,0))</f>
        <v>#N/A</v>
      </c>
      <c r="AV131" s="3" t="str">
        <f>IFERROR(INDEX('справочная информация'!$B$6:$R$29,MATCH('Расчет грейда'!$Y131,'справочная информация'!$A$6:$A$29,0),MATCH('Расчет грейда'!$X131,'справочная информация'!$B$5:$R$5,0)),"")</f>
        <v/>
      </c>
      <c r="AW131" s="171" t="str">
        <f>IFERROR(INDEX('справочная информация'!$B$37:$H$52,MATCH('Расчет грейда'!$AA131,'справочная информация'!$A$37:$A$52,0),MATCH('Расчет грейда'!$N131,'справочная информация'!$B$36:$H$36,0)),"")</f>
        <v/>
      </c>
      <c r="AX131" s="122" t="str">
        <f>IFERROR(INDEX('справочная информация'!$D$108:$AD$123,MATCH('Расчет грейда'!$AW131,'справочная информация'!$C$108:$C$123,0),MATCH('Расчет грейда'!$AV131,'справочная информация'!$D$107:$AD$107,0)),"")</f>
        <v/>
      </c>
      <c r="AY131" s="133" t="str">
        <f>IFERROR(INDEX('справочная информация'!$B$158:$Y$181,MATCH('Расчет грейда'!$AE131,'справочная информация'!$A$158:$A$181,0),MATCH('Расчет грейда'!$AD131,'справочная информация'!$B$157:$Y$157,0)),"")</f>
        <v/>
      </c>
      <c r="AZ131" s="170" t="str">
        <f t="shared" si="60"/>
        <v/>
      </c>
      <c r="BA131" s="172" t="str">
        <f>IFERROR(CONCATENATE(TEXT(AZ131/INDEX('справочная информация'!$D$223:$D$261,MATCH('Расчет грейда'!$AZ131,'справочная информация'!$C$223:$C$261,1)),"0%")," - процент относительно медианы 100%. ","MIN балл на грейде ",INDEX('справочная информация'!$C$223:$C$261,MATCH('Расчет грейда'!$AZ131,'справочная информация'!$C$223:$C$261,1)),", "," MAX балл на грейде ",INDEX('справочная информация'!$E$223:$E$261,MATCH('Расчет грейда'!$AZ131,'справочная информация'!$C$223:$C$261,1))),"")</f>
        <v/>
      </c>
      <c r="BB131" s="120" t="str">
        <f t="shared" si="61"/>
        <v/>
      </c>
      <c r="BC131" s="3" t="str">
        <f t="shared" si="62"/>
        <v/>
      </c>
      <c r="BD131" s="121" t="str">
        <f>IFERROR(VLOOKUP(BC131,'справочная информация'!$B$416:$C$424,2,0),"Проверить данные, нетипичная должность")</f>
        <v>Проверить данные, нетипичная должность</v>
      </c>
      <c r="BE131" s="3" t="str">
        <f t="shared" si="63"/>
        <v/>
      </c>
      <c r="BF131" s="3" t="str">
        <f>IFERROR(INDEX('справочная информация'!$F$223:$F$261,MATCH('Расчет грейда'!$AZ131,'справочная информация'!$C$223:$C$261,1)),"")</f>
        <v/>
      </c>
    </row>
    <row r="132" spans="1:58" s="9" customFormat="1" x14ac:dyDescent="0.35">
      <c r="A132" s="120"/>
      <c r="B132" s="122"/>
      <c r="C132" s="140"/>
      <c r="D132" s="120"/>
      <c r="E132" s="120"/>
      <c r="F132" s="120"/>
      <c r="G132" s="120"/>
      <c r="H132" s="120"/>
      <c r="J132" s="142"/>
      <c r="K132" s="142"/>
      <c r="L132" s="142"/>
      <c r="R132" s="3"/>
      <c r="S132" s="138"/>
      <c r="T132" s="3"/>
      <c r="U132" s="3"/>
      <c r="V132" s="3"/>
      <c r="W132" s="3" t="str">
        <f t="shared" si="48"/>
        <v/>
      </c>
      <c r="X132" s="9" t="str">
        <f t="shared" si="49"/>
        <v/>
      </c>
      <c r="Y132" s="9" t="str">
        <f t="shared" si="50"/>
        <v/>
      </c>
      <c r="Z132" s="3" t="e">
        <f>INDEX('справочная информация'!$U$6:$AK$29,MATCH('Расчет грейда'!$Y132,'справочная информация'!$T$6:$T$29,0),MATCH('Расчет грейда'!$X132,'справочная информация'!$U$5:$AK$5,0))</f>
        <v>#N/A</v>
      </c>
      <c r="AA132" s="9" t="str">
        <f t="shared" si="51"/>
        <v/>
      </c>
      <c r="AB132" s="3" t="e">
        <f>INDEX('справочная информация'!$B$68:$H$83,MATCH('Расчет грейда'!$AA132,'справочная информация'!$A$68:$A$83,0),MATCH('Расчет грейда'!$N132,'справочная информация'!$B$67:$H$67,0))</f>
        <v>#N/A</v>
      </c>
      <c r="AC132" s="3" t="e">
        <f>INDEX('справочная информация'!$D$130:$AD$145,MATCH('Расчет грейда'!$AW132,'справочная информация'!$C$130:$C$145,0),MATCH('Расчет грейда'!$AV132,'справочная информация'!$D$129:$AD$129,0))</f>
        <v>#N/A</v>
      </c>
      <c r="AD132" s="9" t="str">
        <f t="shared" si="52"/>
        <v/>
      </c>
      <c r="AE132" s="9" t="str">
        <f t="shared" si="53"/>
        <v/>
      </c>
      <c r="AF132" s="3" t="str">
        <f>IFERROR(IF(AND(AD132="",AE132=""),"",INDEX('справочная информация'!$B$188:$Y$211,MATCH('Расчет грейда'!$AE132,'справочная информация'!$A$188:$A$211,0),MATCH('Расчет грейда'!$AD132,'справочная информация'!$B$187:$Y$187,0))),"НЕТ")</f>
        <v/>
      </c>
      <c r="AG132" s="3" t="e">
        <f>VLOOKUP(J132,'справочная информация'!$D$267:$E$274,2,0)</f>
        <v>#N/A</v>
      </c>
      <c r="AH132" s="3" t="e">
        <f>VLOOKUP(K132,'справочная информация'!$D$279:$E$283,2,0)</f>
        <v>#N/A</v>
      </c>
      <c r="AI132" s="3" t="e">
        <f>VLOOKUP(L132,'справочная информация'!$D$288:$E$290,2,0)</f>
        <v>#N/A</v>
      </c>
      <c r="AJ132" s="3" t="str">
        <f t="shared" si="54"/>
        <v/>
      </c>
      <c r="AK132" s="169" t="e">
        <f>VLOOKUP(M132,'справочная информация'!$D$294:$E$301,2,0)</f>
        <v>#N/A</v>
      </c>
      <c r="AL132" s="3" t="e">
        <f>VLOOKUP(N132,'справочная информация'!$D$306:$E$310,2,0)</f>
        <v>#N/A</v>
      </c>
      <c r="AM132" s="169" t="str">
        <f t="shared" si="55"/>
        <v>()</v>
      </c>
      <c r="AN132" s="3" t="str">
        <f t="shared" si="56"/>
        <v/>
      </c>
      <c r="AO132" s="3" t="e">
        <f>VLOOKUP(O132,'справочная информация'!$D$329:$E$336,2,0)</f>
        <v>#N/A</v>
      </c>
      <c r="AP132" s="3" t="e">
        <f>VLOOKUP(P132,'справочная информация'!$D$342:$E$349,2,0)</f>
        <v>#N/A</v>
      </c>
      <c r="AQ132" s="3" t="e">
        <f>VLOOKUP(Q132,'справочная информация'!$D$316:$E$325,2,0)</f>
        <v>#N/A</v>
      </c>
      <c r="AR132" s="3" t="str">
        <f t="shared" si="57"/>
        <v/>
      </c>
      <c r="AS132" s="170" t="str">
        <f t="shared" si="58"/>
        <v/>
      </c>
      <c r="AT132" s="3" t="str">
        <f t="shared" si="59"/>
        <v/>
      </c>
      <c r="AU132" s="3" t="e">
        <f>ABS(MATCH($AX132,'справочная информация'!$A$354:$A$391,0)-MATCH($AY132,'справочная информация'!$A$354:$A$391,0))</f>
        <v>#N/A</v>
      </c>
      <c r="AV132" s="3" t="str">
        <f>IFERROR(INDEX('справочная информация'!$B$6:$R$29,MATCH('Расчет грейда'!$Y132,'справочная информация'!$A$6:$A$29,0),MATCH('Расчет грейда'!$X132,'справочная информация'!$B$5:$R$5,0)),"")</f>
        <v/>
      </c>
      <c r="AW132" s="171" t="str">
        <f>IFERROR(INDEX('справочная информация'!$B$37:$H$52,MATCH('Расчет грейда'!$AA132,'справочная информация'!$A$37:$A$52,0),MATCH('Расчет грейда'!$N132,'справочная информация'!$B$36:$H$36,0)),"")</f>
        <v/>
      </c>
      <c r="AX132" s="122" t="str">
        <f>IFERROR(INDEX('справочная информация'!$D$108:$AD$123,MATCH('Расчет грейда'!$AW132,'справочная информация'!$C$108:$C$123,0),MATCH('Расчет грейда'!$AV132,'справочная информация'!$D$107:$AD$107,0)),"")</f>
        <v/>
      </c>
      <c r="AY132" s="133" t="str">
        <f>IFERROR(INDEX('справочная информация'!$B$158:$Y$181,MATCH('Расчет грейда'!$AE132,'справочная информация'!$A$158:$A$181,0),MATCH('Расчет грейда'!$AD132,'справочная информация'!$B$157:$Y$157,0)),"")</f>
        <v/>
      </c>
      <c r="AZ132" s="170" t="str">
        <f t="shared" si="60"/>
        <v/>
      </c>
      <c r="BA132" s="172" t="str">
        <f>IFERROR(CONCATENATE(TEXT(AZ132/INDEX('справочная информация'!$D$223:$D$261,MATCH('Расчет грейда'!$AZ132,'справочная информация'!$C$223:$C$261,1)),"0%")," - процент относительно медианы 100%. ","MIN балл на грейде ",INDEX('справочная информация'!$C$223:$C$261,MATCH('Расчет грейда'!$AZ132,'справочная информация'!$C$223:$C$261,1)),", "," MAX балл на грейде ",INDEX('справочная информация'!$E$223:$E$261,MATCH('Расчет грейда'!$AZ132,'справочная информация'!$C$223:$C$261,1))),"")</f>
        <v/>
      </c>
      <c r="BB132" s="120" t="str">
        <f t="shared" si="61"/>
        <v/>
      </c>
      <c r="BC132" s="3" t="str">
        <f t="shared" si="62"/>
        <v/>
      </c>
      <c r="BD132" s="121" t="str">
        <f>IFERROR(VLOOKUP(BC132,'справочная информация'!$B$416:$C$424,2,0),"Проверить данные, нетипичная должность")</f>
        <v>Проверить данные, нетипичная должность</v>
      </c>
      <c r="BE132" s="3" t="str">
        <f t="shared" si="63"/>
        <v/>
      </c>
      <c r="BF132" s="3" t="str">
        <f>IFERROR(INDEX('справочная информация'!$F$223:$F$261,MATCH('Расчет грейда'!$AZ132,'справочная информация'!$C$223:$C$261,1)),"")</f>
        <v/>
      </c>
    </row>
    <row r="133" spans="1:58" s="9" customFormat="1" x14ac:dyDescent="0.35">
      <c r="A133" s="120"/>
      <c r="B133" s="122"/>
      <c r="C133" s="140"/>
      <c r="D133" s="120"/>
      <c r="E133" s="120"/>
      <c r="F133" s="120"/>
      <c r="G133" s="120"/>
      <c r="H133" s="120"/>
      <c r="J133" s="142"/>
      <c r="K133" s="142"/>
      <c r="L133" s="142"/>
      <c r="R133" s="3"/>
      <c r="S133" s="138"/>
      <c r="T133" s="3"/>
      <c r="U133" s="3"/>
      <c r="V133" s="3"/>
      <c r="W133" s="3" t="str">
        <f t="shared" si="48"/>
        <v/>
      </c>
      <c r="X133" s="9" t="str">
        <f t="shared" si="49"/>
        <v/>
      </c>
      <c r="Y133" s="9" t="str">
        <f t="shared" si="50"/>
        <v/>
      </c>
      <c r="Z133" s="3" t="e">
        <f>INDEX('справочная информация'!$U$6:$AK$29,MATCH('Расчет грейда'!$Y133,'справочная информация'!$T$6:$T$29,0),MATCH('Расчет грейда'!$X133,'справочная информация'!$U$5:$AK$5,0))</f>
        <v>#N/A</v>
      </c>
      <c r="AA133" s="9" t="str">
        <f t="shared" si="51"/>
        <v/>
      </c>
      <c r="AB133" s="3" t="e">
        <f>INDEX('справочная информация'!$B$68:$H$83,MATCH('Расчет грейда'!$AA133,'справочная информация'!$A$68:$A$83,0),MATCH('Расчет грейда'!$N133,'справочная информация'!$B$67:$H$67,0))</f>
        <v>#N/A</v>
      </c>
      <c r="AC133" s="3" t="e">
        <f>INDEX('справочная информация'!$D$130:$AD$145,MATCH('Расчет грейда'!$AW133,'справочная информация'!$C$130:$C$145,0),MATCH('Расчет грейда'!$AV133,'справочная информация'!$D$129:$AD$129,0))</f>
        <v>#N/A</v>
      </c>
      <c r="AD133" s="9" t="str">
        <f t="shared" si="52"/>
        <v/>
      </c>
      <c r="AE133" s="9" t="str">
        <f t="shared" si="53"/>
        <v/>
      </c>
      <c r="AF133" s="3" t="str">
        <f>IFERROR(IF(AND(AD133="",AE133=""),"",INDEX('справочная информация'!$B$188:$Y$211,MATCH('Расчет грейда'!$AE133,'справочная информация'!$A$188:$A$211,0),MATCH('Расчет грейда'!$AD133,'справочная информация'!$B$187:$Y$187,0))),"НЕТ")</f>
        <v/>
      </c>
      <c r="AG133" s="3" t="e">
        <f>VLOOKUP(J133,'справочная информация'!$D$267:$E$274,2,0)</f>
        <v>#N/A</v>
      </c>
      <c r="AH133" s="3" t="e">
        <f>VLOOKUP(K133,'справочная информация'!$D$279:$E$283,2,0)</f>
        <v>#N/A</v>
      </c>
      <c r="AI133" s="3" t="e">
        <f>VLOOKUP(L133,'справочная информация'!$D$288:$E$290,2,0)</f>
        <v>#N/A</v>
      </c>
      <c r="AJ133" s="3" t="str">
        <f t="shared" si="54"/>
        <v/>
      </c>
      <c r="AK133" s="169" t="e">
        <f>VLOOKUP(M133,'справочная информация'!$D$294:$E$301,2,0)</f>
        <v>#N/A</v>
      </c>
      <c r="AL133" s="3" t="e">
        <f>VLOOKUP(N133,'справочная информация'!$D$306:$E$310,2,0)</f>
        <v>#N/A</v>
      </c>
      <c r="AM133" s="169" t="str">
        <f t="shared" si="55"/>
        <v>()</v>
      </c>
      <c r="AN133" s="3" t="str">
        <f t="shared" si="56"/>
        <v/>
      </c>
      <c r="AO133" s="3" t="e">
        <f>VLOOKUP(O133,'справочная информация'!$D$329:$E$336,2,0)</f>
        <v>#N/A</v>
      </c>
      <c r="AP133" s="3" t="e">
        <f>VLOOKUP(P133,'справочная информация'!$D$342:$E$349,2,0)</f>
        <v>#N/A</v>
      </c>
      <c r="AQ133" s="3" t="e">
        <f>VLOOKUP(Q133,'справочная информация'!$D$316:$E$325,2,0)</f>
        <v>#N/A</v>
      </c>
      <c r="AR133" s="3" t="str">
        <f t="shared" si="57"/>
        <v/>
      </c>
      <c r="AS133" s="170" t="str">
        <f t="shared" si="58"/>
        <v/>
      </c>
      <c r="AT133" s="3" t="str">
        <f t="shared" si="59"/>
        <v/>
      </c>
      <c r="AU133" s="3" t="e">
        <f>ABS(MATCH($AX133,'справочная информация'!$A$354:$A$391,0)-MATCH($AY133,'справочная информация'!$A$354:$A$391,0))</f>
        <v>#N/A</v>
      </c>
      <c r="AV133" s="3" t="str">
        <f>IFERROR(INDEX('справочная информация'!$B$6:$R$29,MATCH('Расчет грейда'!$Y133,'справочная информация'!$A$6:$A$29,0),MATCH('Расчет грейда'!$X133,'справочная информация'!$B$5:$R$5,0)),"")</f>
        <v/>
      </c>
      <c r="AW133" s="171" t="str">
        <f>IFERROR(INDEX('справочная информация'!$B$37:$H$52,MATCH('Расчет грейда'!$AA133,'справочная информация'!$A$37:$A$52,0),MATCH('Расчет грейда'!$N133,'справочная информация'!$B$36:$H$36,0)),"")</f>
        <v/>
      </c>
      <c r="AX133" s="122" t="str">
        <f>IFERROR(INDEX('справочная информация'!$D$108:$AD$123,MATCH('Расчет грейда'!$AW133,'справочная информация'!$C$108:$C$123,0),MATCH('Расчет грейда'!$AV133,'справочная информация'!$D$107:$AD$107,0)),"")</f>
        <v/>
      </c>
      <c r="AY133" s="133" t="str">
        <f>IFERROR(INDEX('справочная информация'!$B$158:$Y$181,MATCH('Расчет грейда'!$AE133,'справочная информация'!$A$158:$A$181,0),MATCH('Расчет грейда'!$AD133,'справочная информация'!$B$157:$Y$157,0)),"")</f>
        <v/>
      </c>
      <c r="AZ133" s="170" t="str">
        <f t="shared" si="60"/>
        <v/>
      </c>
      <c r="BA133" s="172" t="str">
        <f>IFERROR(CONCATENATE(TEXT(AZ133/INDEX('справочная информация'!$D$223:$D$261,MATCH('Расчет грейда'!$AZ133,'справочная информация'!$C$223:$C$261,1)),"0%")," - процент относительно медианы 100%. ","MIN балл на грейде ",INDEX('справочная информация'!$C$223:$C$261,MATCH('Расчет грейда'!$AZ133,'справочная информация'!$C$223:$C$261,1)),", "," MAX балл на грейде ",INDEX('справочная информация'!$E$223:$E$261,MATCH('Расчет грейда'!$AZ133,'справочная информация'!$C$223:$C$261,1))),"")</f>
        <v/>
      </c>
      <c r="BB133" s="120" t="str">
        <f t="shared" si="61"/>
        <v/>
      </c>
      <c r="BC133" s="3" t="str">
        <f t="shared" si="62"/>
        <v/>
      </c>
      <c r="BD133" s="121" t="str">
        <f>IFERROR(VLOOKUP(BC133,'справочная информация'!$B$416:$C$424,2,0),"Проверить данные, нетипичная должность")</f>
        <v>Проверить данные, нетипичная должность</v>
      </c>
      <c r="BE133" s="3" t="str">
        <f t="shared" si="63"/>
        <v/>
      </c>
      <c r="BF133" s="3" t="str">
        <f>IFERROR(INDEX('справочная информация'!$F$223:$F$261,MATCH('Расчет грейда'!$AZ133,'справочная информация'!$C$223:$C$261,1)),"")</f>
        <v/>
      </c>
    </row>
    <row r="134" spans="1:58" s="9" customFormat="1" x14ac:dyDescent="0.35">
      <c r="A134" s="120"/>
      <c r="B134" s="122"/>
      <c r="C134" s="140"/>
      <c r="D134" s="120"/>
      <c r="E134" s="120"/>
      <c r="F134" s="120"/>
      <c r="G134" s="120"/>
      <c r="H134" s="120"/>
      <c r="J134" s="142"/>
      <c r="K134" s="142"/>
      <c r="L134" s="142"/>
      <c r="R134" s="3"/>
      <c r="S134" s="138"/>
      <c r="T134" s="3"/>
      <c r="U134" s="3"/>
      <c r="V134" s="3"/>
      <c r="W134" s="3" t="str">
        <f t="shared" si="48"/>
        <v/>
      </c>
      <c r="X134" s="9" t="str">
        <f t="shared" si="49"/>
        <v/>
      </c>
      <c r="Y134" s="9" t="str">
        <f t="shared" si="50"/>
        <v/>
      </c>
      <c r="Z134" s="3" t="e">
        <f>INDEX('справочная информация'!$U$6:$AK$29,MATCH('Расчет грейда'!$Y134,'справочная информация'!$T$6:$T$29,0),MATCH('Расчет грейда'!$X134,'справочная информация'!$U$5:$AK$5,0))</f>
        <v>#N/A</v>
      </c>
      <c r="AA134" s="9" t="str">
        <f t="shared" si="51"/>
        <v/>
      </c>
      <c r="AB134" s="3" t="e">
        <f>INDEX('справочная информация'!$B$68:$H$83,MATCH('Расчет грейда'!$AA134,'справочная информация'!$A$68:$A$83,0),MATCH('Расчет грейда'!$N134,'справочная информация'!$B$67:$H$67,0))</f>
        <v>#N/A</v>
      </c>
      <c r="AC134" s="3" t="e">
        <f>INDEX('справочная информация'!$D$130:$AD$145,MATCH('Расчет грейда'!$AW134,'справочная информация'!$C$130:$C$145,0),MATCH('Расчет грейда'!$AV134,'справочная информация'!$D$129:$AD$129,0))</f>
        <v>#N/A</v>
      </c>
      <c r="AD134" s="9" t="str">
        <f t="shared" si="52"/>
        <v/>
      </c>
      <c r="AE134" s="9" t="str">
        <f t="shared" si="53"/>
        <v/>
      </c>
      <c r="AF134" s="3" t="str">
        <f>IFERROR(IF(AND(AD134="",AE134=""),"",INDEX('справочная информация'!$B$188:$Y$211,MATCH('Расчет грейда'!$AE134,'справочная информация'!$A$188:$A$211,0),MATCH('Расчет грейда'!$AD134,'справочная информация'!$B$187:$Y$187,0))),"НЕТ")</f>
        <v/>
      </c>
      <c r="AG134" s="3" t="e">
        <f>VLOOKUP(J134,'справочная информация'!$D$267:$E$274,2,0)</f>
        <v>#N/A</v>
      </c>
      <c r="AH134" s="3" t="e">
        <f>VLOOKUP(K134,'справочная информация'!$D$279:$E$283,2,0)</f>
        <v>#N/A</v>
      </c>
      <c r="AI134" s="3" t="e">
        <f>VLOOKUP(L134,'справочная информация'!$D$288:$E$290,2,0)</f>
        <v>#N/A</v>
      </c>
      <c r="AJ134" s="3" t="str">
        <f t="shared" si="54"/>
        <v/>
      </c>
      <c r="AK134" s="169" t="e">
        <f>VLOOKUP(M134,'справочная информация'!$D$294:$E$301,2,0)</f>
        <v>#N/A</v>
      </c>
      <c r="AL134" s="3" t="e">
        <f>VLOOKUP(N134,'справочная информация'!$D$306:$E$310,2,0)</f>
        <v>#N/A</v>
      </c>
      <c r="AM134" s="169" t="str">
        <f t="shared" si="55"/>
        <v>()</v>
      </c>
      <c r="AN134" s="3" t="str">
        <f t="shared" si="56"/>
        <v/>
      </c>
      <c r="AO134" s="3" t="e">
        <f>VLOOKUP(O134,'справочная информация'!$D$329:$E$336,2,0)</f>
        <v>#N/A</v>
      </c>
      <c r="AP134" s="3" t="e">
        <f>VLOOKUP(P134,'справочная информация'!$D$342:$E$349,2,0)</f>
        <v>#N/A</v>
      </c>
      <c r="AQ134" s="3" t="e">
        <f>VLOOKUP(Q134,'справочная информация'!$D$316:$E$325,2,0)</f>
        <v>#N/A</v>
      </c>
      <c r="AR134" s="3" t="str">
        <f t="shared" si="57"/>
        <v/>
      </c>
      <c r="AS134" s="170" t="str">
        <f t="shared" si="58"/>
        <v/>
      </c>
      <c r="AT134" s="3" t="str">
        <f t="shared" si="59"/>
        <v/>
      </c>
      <c r="AU134" s="3" t="e">
        <f>ABS(MATCH($AX134,'справочная информация'!$A$354:$A$391,0)-MATCH($AY134,'справочная информация'!$A$354:$A$391,0))</f>
        <v>#N/A</v>
      </c>
      <c r="AV134" s="3" t="str">
        <f>IFERROR(INDEX('справочная информация'!$B$6:$R$29,MATCH('Расчет грейда'!$Y134,'справочная информация'!$A$6:$A$29,0),MATCH('Расчет грейда'!$X134,'справочная информация'!$B$5:$R$5,0)),"")</f>
        <v/>
      </c>
      <c r="AW134" s="171" t="str">
        <f>IFERROR(INDEX('справочная информация'!$B$37:$H$52,MATCH('Расчет грейда'!$AA134,'справочная информация'!$A$37:$A$52,0),MATCH('Расчет грейда'!$N134,'справочная информация'!$B$36:$H$36,0)),"")</f>
        <v/>
      </c>
      <c r="AX134" s="122" t="str">
        <f>IFERROR(INDEX('справочная информация'!$D$108:$AD$123,MATCH('Расчет грейда'!$AW134,'справочная информация'!$C$108:$C$123,0),MATCH('Расчет грейда'!$AV134,'справочная информация'!$D$107:$AD$107,0)),"")</f>
        <v/>
      </c>
      <c r="AY134" s="133" t="str">
        <f>IFERROR(INDEX('справочная информация'!$B$158:$Y$181,MATCH('Расчет грейда'!$AE134,'справочная информация'!$A$158:$A$181,0),MATCH('Расчет грейда'!$AD134,'справочная информация'!$B$157:$Y$157,0)),"")</f>
        <v/>
      </c>
      <c r="AZ134" s="170" t="str">
        <f t="shared" si="60"/>
        <v/>
      </c>
      <c r="BA134" s="172" t="str">
        <f>IFERROR(CONCATENATE(TEXT(AZ134/INDEX('справочная информация'!$D$223:$D$261,MATCH('Расчет грейда'!$AZ134,'справочная информация'!$C$223:$C$261,1)),"0%")," - процент относительно медианы 100%. ","MIN балл на грейде ",INDEX('справочная информация'!$C$223:$C$261,MATCH('Расчет грейда'!$AZ134,'справочная информация'!$C$223:$C$261,1)),", "," MAX балл на грейде ",INDEX('справочная информация'!$E$223:$E$261,MATCH('Расчет грейда'!$AZ134,'справочная информация'!$C$223:$C$261,1))),"")</f>
        <v/>
      </c>
      <c r="BB134" s="120" t="str">
        <f t="shared" si="61"/>
        <v/>
      </c>
      <c r="BC134" s="3" t="str">
        <f t="shared" si="62"/>
        <v/>
      </c>
      <c r="BD134" s="121" t="str">
        <f>IFERROR(VLOOKUP(BC134,'справочная информация'!$B$416:$C$424,2,0),"Проверить данные, нетипичная должность")</f>
        <v>Проверить данные, нетипичная должность</v>
      </c>
      <c r="BE134" s="3" t="str">
        <f t="shared" si="63"/>
        <v/>
      </c>
      <c r="BF134" s="3" t="str">
        <f>IFERROR(INDEX('справочная информация'!$F$223:$F$261,MATCH('Расчет грейда'!$AZ134,'справочная информация'!$C$223:$C$261,1)),"")</f>
        <v/>
      </c>
    </row>
    <row r="135" spans="1:58" s="9" customFormat="1" x14ac:dyDescent="0.35">
      <c r="A135" s="120"/>
      <c r="B135" s="122"/>
      <c r="C135" s="140"/>
      <c r="D135" s="120"/>
      <c r="E135" s="120"/>
      <c r="F135" s="120"/>
      <c r="G135" s="120"/>
      <c r="H135" s="120"/>
      <c r="J135" s="142"/>
      <c r="K135" s="142"/>
      <c r="L135" s="142"/>
      <c r="R135" s="3"/>
      <c r="S135" s="138"/>
      <c r="T135" s="3"/>
      <c r="U135" s="3"/>
      <c r="V135" s="3"/>
      <c r="W135" s="3" t="str">
        <f t="shared" si="48"/>
        <v/>
      </c>
      <c r="X135" s="9" t="str">
        <f t="shared" si="49"/>
        <v/>
      </c>
      <c r="Y135" s="9" t="str">
        <f t="shared" si="50"/>
        <v/>
      </c>
      <c r="Z135" s="3" t="e">
        <f>INDEX('справочная информация'!$U$6:$AK$29,MATCH('Расчет грейда'!$Y135,'справочная информация'!$T$6:$T$29,0),MATCH('Расчет грейда'!$X135,'справочная информация'!$U$5:$AK$5,0))</f>
        <v>#N/A</v>
      </c>
      <c r="AA135" s="9" t="str">
        <f t="shared" si="51"/>
        <v/>
      </c>
      <c r="AB135" s="3" t="e">
        <f>INDEX('справочная информация'!$B$68:$H$83,MATCH('Расчет грейда'!$AA135,'справочная информация'!$A$68:$A$83,0),MATCH('Расчет грейда'!$N135,'справочная информация'!$B$67:$H$67,0))</f>
        <v>#N/A</v>
      </c>
      <c r="AC135" s="3" t="e">
        <f>INDEX('справочная информация'!$D$130:$AD$145,MATCH('Расчет грейда'!$AW135,'справочная информация'!$C$130:$C$145,0),MATCH('Расчет грейда'!$AV135,'справочная информация'!$D$129:$AD$129,0))</f>
        <v>#N/A</v>
      </c>
      <c r="AD135" s="9" t="str">
        <f t="shared" si="52"/>
        <v/>
      </c>
      <c r="AE135" s="9" t="str">
        <f t="shared" si="53"/>
        <v/>
      </c>
      <c r="AF135" s="3" t="str">
        <f>IFERROR(IF(AND(AD135="",AE135=""),"",INDEX('справочная информация'!$B$188:$Y$211,MATCH('Расчет грейда'!$AE135,'справочная информация'!$A$188:$A$211,0),MATCH('Расчет грейда'!$AD135,'справочная информация'!$B$187:$Y$187,0))),"НЕТ")</f>
        <v/>
      </c>
      <c r="AG135" s="3" t="e">
        <f>VLOOKUP(J135,'справочная информация'!$D$267:$E$274,2,0)</f>
        <v>#N/A</v>
      </c>
      <c r="AH135" s="3" t="e">
        <f>VLOOKUP(K135,'справочная информация'!$D$279:$E$283,2,0)</f>
        <v>#N/A</v>
      </c>
      <c r="AI135" s="3" t="e">
        <f>VLOOKUP(L135,'справочная информация'!$D$288:$E$290,2,0)</f>
        <v>#N/A</v>
      </c>
      <c r="AJ135" s="3" t="str">
        <f t="shared" si="54"/>
        <v/>
      </c>
      <c r="AK135" s="169" t="e">
        <f>VLOOKUP(M135,'справочная информация'!$D$294:$E$301,2,0)</f>
        <v>#N/A</v>
      </c>
      <c r="AL135" s="3" t="e">
        <f>VLOOKUP(N135,'справочная информация'!$D$306:$E$310,2,0)</f>
        <v>#N/A</v>
      </c>
      <c r="AM135" s="169" t="str">
        <f t="shared" si="55"/>
        <v>()</v>
      </c>
      <c r="AN135" s="3" t="str">
        <f t="shared" si="56"/>
        <v/>
      </c>
      <c r="AO135" s="3" t="e">
        <f>VLOOKUP(O135,'справочная информация'!$D$329:$E$336,2,0)</f>
        <v>#N/A</v>
      </c>
      <c r="AP135" s="3" t="e">
        <f>VLOOKUP(P135,'справочная информация'!$D$342:$E$349,2,0)</f>
        <v>#N/A</v>
      </c>
      <c r="AQ135" s="3" t="e">
        <f>VLOOKUP(Q135,'справочная информация'!$D$316:$E$325,2,0)</f>
        <v>#N/A</v>
      </c>
      <c r="AR135" s="3" t="str">
        <f t="shared" si="57"/>
        <v/>
      </c>
      <c r="AS135" s="170" t="str">
        <f t="shared" si="58"/>
        <v/>
      </c>
      <c r="AT135" s="3" t="str">
        <f t="shared" si="59"/>
        <v/>
      </c>
      <c r="AU135" s="3" t="e">
        <f>ABS(MATCH($AX135,'справочная информация'!$A$354:$A$391,0)-MATCH($AY135,'справочная информация'!$A$354:$A$391,0))</f>
        <v>#N/A</v>
      </c>
      <c r="AV135" s="3" t="str">
        <f>IFERROR(INDEX('справочная информация'!$B$6:$R$29,MATCH('Расчет грейда'!$Y135,'справочная информация'!$A$6:$A$29,0),MATCH('Расчет грейда'!$X135,'справочная информация'!$B$5:$R$5,0)),"")</f>
        <v/>
      </c>
      <c r="AW135" s="171" t="str">
        <f>IFERROR(INDEX('справочная информация'!$B$37:$H$52,MATCH('Расчет грейда'!$AA135,'справочная информация'!$A$37:$A$52,0),MATCH('Расчет грейда'!$N135,'справочная информация'!$B$36:$H$36,0)),"")</f>
        <v/>
      </c>
      <c r="AX135" s="122" t="str">
        <f>IFERROR(INDEX('справочная информация'!$D$108:$AD$123,MATCH('Расчет грейда'!$AW135,'справочная информация'!$C$108:$C$123,0),MATCH('Расчет грейда'!$AV135,'справочная информация'!$D$107:$AD$107,0)),"")</f>
        <v/>
      </c>
      <c r="AY135" s="133" t="str">
        <f>IFERROR(INDEX('справочная информация'!$B$158:$Y$181,MATCH('Расчет грейда'!$AE135,'справочная информация'!$A$158:$A$181,0),MATCH('Расчет грейда'!$AD135,'справочная информация'!$B$157:$Y$157,0)),"")</f>
        <v/>
      </c>
      <c r="AZ135" s="170" t="str">
        <f t="shared" si="60"/>
        <v/>
      </c>
      <c r="BA135" s="172" t="str">
        <f>IFERROR(CONCATENATE(TEXT(AZ135/INDEX('справочная информация'!$D$223:$D$261,MATCH('Расчет грейда'!$AZ135,'справочная информация'!$C$223:$C$261,1)),"0%")," - процент относительно медианы 100%. ","MIN балл на грейде ",INDEX('справочная информация'!$C$223:$C$261,MATCH('Расчет грейда'!$AZ135,'справочная информация'!$C$223:$C$261,1)),", "," MAX балл на грейде ",INDEX('справочная информация'!$E$223:$E$261,MATCH('Расчет грейда'!$AZ135,'справочная информация'!$C$223:$C$261,1))),"")</f>
        <v/>
      </c>
      <c r="BB135" s="120" t="str">
        <f t="shared" si="61"/>
        <v/>
      </c>
      <c r="BC135" s="3" t="str">
        <f t="shared" si="62"/>
        <v/>
      </c>
      <c r="BD135" s="121" t="str">
        <f>IFERROR(VLOOKUP(BC135,'справочная информация'!$B$416:$C$424,2,0),"Проверить данные, нетипичная должность")</f>
        <v>Проверить данные, нетипичная должность</v>
      </c>
      <c r="BE135" s="3" t="str">
        <f t="shared" si="63"/>
        <v/>
      </c>
      <c r="BF135" s="3" t="str">
        <f>IFERROR(INDEX('справочная информация'!$F$223:$F$261,MATCH('Расчет грейда'!$AZ135,'справочная информация'!$C$223:$C$261,1)),"")</f>
        <v/>
      </c>
    </row>
    <row r="136" spans="1:58" s="9" customFormat="1" x14ac:dyDescent="0.35">
      <c r="A136" s="120"/>
      <c r="B136" s="122"/>
      <c r="C136" s="140"/>
      <c r="D136" s="120"/>
      <c r="E136" s="120"/>
      <c r="F136" s="120"/>
      <c r="G136" s="120"/>
      <c r="H136" s="120"/>
      <c r="J136" s="142"/>
      <c r="K136" s="142"/>
      <c r="L136" s="142"/>
      <c r="R136" s="3"/>
      <c r="S136" s="138"/>
      <c r="T136" s="3"/>
      <c r="U136" s="3"/>
      <c r="V136" s="3"/>
      <c r="W136" s="3" t="str">
        <f t="shared" si="48"/>
        <v/>
      </c>
      <c r="X136" s="9" t="str">
        <f t="shared" si="49"/>
        <v/>
      </c>
      <c r="Y136" s="9" t="str">
        <f t="shared" si="50"/>
        <v/>
      </c>
      <c r="Z136" s="3" t="e">
        <f>INDEX('справочная информация'!$U$6:$AK$29,MATCH('Расчет грейда'!$Y136,'справочная информация'!$T$6:$T$29,0),MATCH('Расчет грейда'!$X136,'справочная информация'!$U$5:$AK$5,0))</f>
        <v>#N/A</v>
      </c>
      <c r="AA136" s="9" t="str">
        <f t="shared" si="51"/>
        <v/>
      </c>
      <c r="AB136" s="3" t="e">
        <f>INDEX('справочная информация'!$B$68:$H$83,MATCH('Расчет грейда'!$AA136,'справочная информация'!$A$68:$A$83,0),MATCH('Расчет грейда'!$N136,'справочная информация'!$B$67:$H$67,0))</f>
        <v>#N/A</v>
      </c>
      <c r="AC136" s="3" t="e">
        <f>INDEX('справочная информация'!$D$130:$AD$145,MATCH('Расчет грейда'!$AW136,'справочная информация'!$C$130:$C$145,0),MATCH('Расчет грейда'!$AV136,'справочная информация'!$D$129:$AD$129,0))</f>
        <v>#N/A</v>
      </c>
      <c r="AD136" s="9" t="str">
        <f t="shared" si="52"/>
        <v/>
      </c>
      <c r="AE136" s="9" t="str">
        <f t="shared" si="53"/>
        <v/>
      </c>
      <c r="AF136" s="3" t="str">
        <f>IFERROR(IF(AND(AD136="",AE136=""),"",INDEX('справочная информация'!$B$188:$Y$211,MATCH('Расчет грейда'!$AE136,'справочная информация'!$A$188:$A$211,0),MATCH('Расчет грейда'!$AD136,'справочная информация'!$B$187:$Y$187,0))),"НЕТ")</f>
        <v/>
      </c>
      <c r="AG136" s="3" t="e">
        <f>VLOOKUP(J136,'справочная информация'!$D$267:$E$274,2,0)</f>
        <v>#N/A</v>
      </c>
      <c r="AH136" s="3" t="e">
        <f>VLOOKUP(K136,'справочная информация'!$D$279:$E$283,2,0)</f>
        <v>#N/A</v>
      </c>
      <c r="AI136" s="3" t="e">
        <f>VLOOKUP(L136,'справочная информация'!$D$288:$E$290,2,0)</f>
        <v>#N/A</v>
      </c>
      <c r="AJ136" s="3" t="str">
        <f t="shared" si="54"/>
        <v/>
      </c>
      <c r="AK136" s="169" t="e">
        <f>VLOOKUP(M136,'справочная информация'!$D$294:$E$301,2,0)</f>
        <v>#N/A</v>
      </c>
      <c r="AL136" s="3" t="e">
        <f>VLOOKUP(N136,'справочная информация'!$D$306:$E$310,2,0)</f>
        <v>#N/A</v>
      </c>
      <c r="AM136" s="169" t="str">
        <f t="shared" si="55"/>
        <v>()</v>
      </c>
      <c r="AN136" s="3" t="str">
        <f t="shared" si="56"/>
        <v/>
      </c>
      <c r="AO136" s="3" t="e">
        <f>VLOOKUP(O136,'справочная информация'!$D$329:$E$336,2,0)</f>
        <v>#N/A</v>
      </c>
      <c r="AP136" s="3" t="e">
        <f>VLOOKUP(P136,'справочная информация'!$D$342:$E$349,2,0)</f>
        <v>#N/A</v>
      </c>
      <c r="AQ136" s="3" t="e">
        <f>VLOOKUP(Q136,'справочная информация'!$D$316:$E$325,2,0)</f>
        <v>#N/A</v>
      </c>
      <c r="AR136" s="3" t="str">
        <f t="shared" si="57"/>
        <v/>
      </c>
      <c r="AS136" s="170" t="str">
        <f t="shared" si="58"/>
        <v/>
      </c>
      <c r="AT136" s="3" t="str">
        <f t="shared" si="59"/>
        <v/>
      </c>
      <c r="AU136" s="3" t="e">
        <f>ABS(MATCH($AX136,'справочная информация'!$A$354:$A$391,0)-MATCH($AY136,'справочная информация'!$A$354:$A$391,0))</f>
        <v>#N/A</v>
      </c>
      <c r="AV136" s="3" t="str">
        <f>IFERROR(INDEX('справочная информация'!$B$6:$R$29,MATCH('Расчет грейда'!$Y136,'справочная информация'!$A$6:$A$29,0),MATCH('Расчет грейда'!$X136,'справочная информация'!$B$5:$R$5,0)),"")</f>
        <v/>
      </c>
      <c r="AW136" s="171" t="str">
        <f>IFERROR(INDEX('справочная информация'!$B$37:$H$52,MATCH('Расчет грейда'!$AA136,'справочная информация'!$A$37:$A$52,0),MATCH('Расчет грейда'!$N136,'справочная информация'!$B$36:$H$36,0)),"")</f>
        <v/>
      </c>
      <c r="AX136" s="122" t="str">
        <f>IFERROR(INDEX('справочная информация'!$D$108:$AD$123,MATCH('Расчет грейда'!$AW136,'справочная информация'!$C$108:$C$123,0),MATCH('Расчет грейда'!$AV136,'справочная информация'!$D$107:$AD$107,0)),"")</f>
        <v/>
      </c>
      <c r="AY136" s="133" t="str">
        <f>IFERROR(INDEX('справочная информация'!$B$158:$Y$181,MATCH('Расчет грейда'!$AE136,'справочная информация'!$A$158:$A$181,0),MATCH('Расчет грейда'!$AD136,'справочная информация'!$B$157:$Y$157,0)),"")</f>
        <v/>
      </c>
      <c r="AZ136" s="170" t="str">
        <f t="shared" si="60"/>
        <v/>
      </c>
      <c r="BA136" s="172" t="str">
        <f>IFERROR(CONCATENATE(TEXT(AZ136/INDEX('справочная информация'!$D$223:$D$261,MATCH('Расчет грейда'!$AZ136,'справочная информация'!$C$223:$C$261,1)),"0%")," - процент относительно медианы 100%. ","MIN балл на грейде ",INDEX('справочная информация'!$C$223:$C$261,MATCH('Расчет грейда'!$AZ136,'справочная информация'!$C$223:$C$261,1)),", "," MAX балл на грейде ",INDEX('справочная информация'!$E$223:$E$261,MATCH('Расчет грейда'!$AZ136,'справочная информация'!$C$223:$C$261,1))),"")</f>
        <v/>
      </c>
      <c r="BB136" s="120" t="str">
        <f t="shared" si="61"/>
        <v/>
      </c>
      <c r="BC136" s="3" t="str">
        <f t="shared" si="62"/>
        <v/>
      </c>
      <c r="BD136" s="121" t="str">
        <f>IFERROR(VLOOKUP(BC136,'справочная информация'!$B$416:$C$424,2,0),"Проверить данные, нетипичная должность")</f>
        <v>Проверить данные, нетипичная должность</v>
      </c>
      <c r="BE136" s="3" t="str">
        <f t="shared" si="63"/>
        <v/>
      </c>
      <c r="BF136" s="3" t="str">
        <f>IFERROR(INDEX('справочная информация'!$F$223:$F$261,MATCH('Расчет грейда'!$AZ136,'справочная информация'!$C$223:$C$261,1)),"")</f>
        <v/>
      </c>
    </row>
    <row r="137" spans="1:58" s="9" customFormat="1" x14ac:dyDescent="0.35">
      <c r="A137" s="120"/>
      <c r="B137" s="122"/>
      <c r="C137" s="140"/>
      <c r="D137" s="120"/>
      <c r="E137" s="120"/>
      <c r="F137" s="120"/>
      <c r="G137" s="120"/>
      <c r="H137" s="120"/>
      <c r="J137" s="142"/>
      <c r="K137" s="142"/>
      <c r="L137" s="142"/>
      <c r="R137" s="3"/>
      <c r="S137" s="138"/>
      <c r="T137" s="3"/>
      <c r="U137" s="3"/>
      <c r="V137" s="3"/>
      <c r="W137" s="3" t="str">
        <f t="shared" si="48"/>
        <v/>
      </c>
      <c r="X137" s="9" t="str">
        <f t="shared" si="49"/>
        <v/>
      </c>
      <c r="Y137" s="9" t="str">
        <f t="shared" si="50"/>
        <v/>
      </c>
      <c r="Z137" s="3" t="e">
        <f>INDEX('справочная информация'!$U$6:$AK$29,MATCH('Расчет грейда'!$Y137,'справочная информация'!$T$6:$T$29,0),MATCH('Расчет грейда'!$X137,'справочная информация'!$U$5:$AK$5,0))</f>
        <v>#N/A</v>
      </c>
      <c r="AA137" s="9" t="str">
        <f t="shared" si="51"/>
        <v/>
      </c>
      <c r="AB137" s="3" t="e">
        <f>INDEX('справочная информация'!$B$68:$H$83,MATCH('Расчет грейда'!$AA137,'справочная информация'!$A$68:$A$83,0),MATCH('Расчет грейда'!$N137,'справочная информация'!$B$67:$H$67,0))</f>
        <v>#N/A</v>
      </c>
      <c r="AC137" s="3" t="e">
        <f>INDEX('справочная информация'!$D$130:$AD$145,MATCH('Расчет грейда'!$AW137,'справочная информация'!$C$130:$C$145,0),MATCH('Расчет грейда'!$AV137,'справочная информация'!$D$129:$AD$129,0))</f>
        <v>#N/A</v>
      </c>
      <c r="AD137" s="9" t="str">
        <f t="shared" si="52"/>
        <v/>
      </c>
      <c r="AE137" s="9" t="str">
        <f t="shared" si="53"/>
        <v/>
      </c>
      <c r="AF137" s="3" t="str">
        <f>IFERROR(IF(AND(AD137="",AE137=""),"",INDEX('справочная информация'!$B$188:$Y$211,MATCH('Расчет грейда'!$AE137,'справочная информация'!$A$188:$A$211,0),MATCH('Расчет грейда'!$AD137,'справочная информация'!$B$187:$Y$187,0))),"НЕТ")</f>
        <v/>
      </c>
      <c r="AG137" s="3" t="e">
        <f>VLOOKUP(J137,'справочная информация'!$D$267:$E$274,2,0)</f>
        <v>#N/A</v>
      </c>
      <c r="AH137" s="3" t="e">
        <f>VLOOKUP(K137,'справочная информация'!$D$279:$E$283,2,0)</f>
        <v>#N/A</v>
      </c>
      <c r="AI137" s="3" t="e">
        <f>VLOOKUP(L137,'справочная информация'!$D$288:$E$290,2,0)</f>
        <v>#N/A</v>
      </c>
      <c r="AJ137" s="3" t="str">
        <f t="shared" si="54"/>
        <v/>
      </c>
      <c r="AK137" s="169" t="e">
        <f>VLOOKUP(M137,'справочная информация'!$D$294:$E$301,2,0)</f>
        <v>#N/A</v>
      </c>
      <c r="AL137" s="3" t="e">
        <f>VLOOKUP(N137,'справочная информация'!$D$306:$E$310,2,0)</f>
        <v>#N/A</v>
      </c>
      <c r="AM137" s="169" t="str">
        <f t="shared" si="55"/>
        <v>()</v>
      </c>
      <c r="AN137" s="3" t="str">
        <f t="shared" si="56"/>
        <v/>
      </c>
      <c r="AO137" s="3" t="e">
        <f>VLOOKUP(O137,'справочная информация'!$D$329:$E$336,2,0)</f>
        <v>#N/A</v>
      </c>
      <c r="AP137" s="3" t="e">
        <f>VLOOKUP(P137,'справочная информация'!$D$342:$E$349,2,0)</f>
        <v>#N/A</v>
      </c>
      <c r="AQ137" s="3" t="e">
        <f>VLOOKUP(Q137,'справочная информация'!$D$316:$E$325,2,0)</f>
        <v>#N/A</v>
      </c>
      <c r="AR137" s="3" t="str">
        <f t="shared" si="57"/>
        <v/>
      </c>
      <c r="AS137" s="170" t="str">
        <f t="shared" si="58"/>
        <v/>
      </c>
      <c r="AT137" s="3" t="str">
        <f t="shared" si="59"/>
        <v/>
      </c>
      <c r="AU137" s="3" t="e">
        <f>ABS(MATCH($AX137,'справочная информация'!$A$354:$A$391,0)-MATCH($AY137,'справочная информация'!$A$354:$A$391,0))</f>
        <v>#N/A</v>
      </c>
      <c r="AV137" s="3" t="str">
        <f>IFERROR(INDEX('справочная информация'!$B$6:$R$29,MATCH('Расчет грейда'!$Y137,'справочная информация'!$A$6:$A$29,0),MATCH('Расчет грейда'!$X137,'справочная информация'!$B$5:$R$5,0)),"")</f>
        <v/>
      </c>
      <c r="AW137" s="171" t="str">
        <f>IFERROR(INDEX('справочная информация'!$B$37:$H$52,MATCH('Расчет грейда'!$AA137,'справочная информация'!$A$37:$A$52,0),MATCH('Расчет грейда'!$N137,'справочная информация'!$B$36:$H$36,0)),"")</f>
        <v/>
      </c>
      <c r="AX137" s="122" t="str">
        <f>IFERROR(INDEX('справочная информация'!$D$108:$AD$123,MATCH('Расчет грейда'!$AW137,'справочная информация'!$C$108:$C$123,0),MATCH('Расчет грейда'!$AV137,'справочная информация'!$D$107:$AD$107,0)),"")</f>
        <v/>
      </c>
      <c r="AY137" s="133" t="str">
        <f>IFERROR(INDEX('справочная информация'!$B$158:$Y$181,MATCH('Расчет грейда'!$AE137,'справочная информация'!$A$158:$A$181,0),MATCH('Расчет грейда'!$AD137,'справочная информация'!$B$157:$Y$157,0)),"")</f>
        <v/>
      </c>
      <c r="AZ137" s="170" t="str">
        <f t="shared" si="60"/>
        <v/>
      </c>
      <c r="BA137" s="172" t="str">
        <f>IFERROR(CONCATENATE(TEXT(AZ137/INDEX('справочная информация'!$D$223:$D$261,MATCH('Расчет грейда'!$AZ137,'справочная информация'!$C$223:$C$261,1)),"0%")," - процент относительно медианы 100%. ","MIN балл на грейде ",INDEX('справочная информация'!$C$223:$C$261,MATCH('Расчет грейда'!$AZ137,'справочная информация'!$C$223:$C$261,1)),", "," MAX балл на грейде ",INDEX('справочная информация'!$E$223:$E$261,MATCH('Расчет грейда'!$AZ137,'справочная информация'!$C$223:$C$261,1))),"")</f>
        <v/>
      </c>
      <c r="BB137" s="120" t="str">
        <f t="shared" si="61"/>
        <v/>
      </c>
      <c r="BC137" s="3" t="str">
        <f t="shared" si="62"/>
        <v/>
      </c>
      <c r="BD137" s="121" t="str">
        <f>IFERROR(VLOOKUP(BC137,'справочная информация'!$B$416:$C$424,2,0),"Проверить данные, нетипичная должность")</f>
        <v>Проверить данные, нетипичная должность</v>
      </c>
      <c r="BE137" s="3" t="str">
        <f t="shared" si="63"/>
        <v/>
      </c>
      <c r="BF137" s="3" t="str">
        <f>IFERROR(INDEX('справочная информация'!$F$223:$F$261,MATCH('Расчет грейда'!$AZ137,'справочная информация'!$C$223:$C$261,1)),"")</f>
        <v/>
      </c>
    </row>
    <row r="138" spans="1:58" s="9" customFormat="1" x14ac:dyDescent="0.35">
      <c r="A138" s="120"/>
      <c r="B138" s="122"/>
      <c r="C138" s="140"/>
      <c r="D138" s="120"/>
      <c r="E138" s="120"/>
      <c r="F138" s="120"/>
      <c r="G138" s="120"/>
      <c r="H138" s="120"/>
      <c r="J138" s="142"/>
      <c r="K138" s="142"/>
      <c r="L138" s="142"/>
      <c r="R138" s="3"/>
      <c r="S138" s="138"/>
      <c r="T138" s="3"/>
      <c r="U138" s="3"/>
      <c r="V138" s="3"/>
      <c r="W138" s="3" t="str">
        <f t="shared" si="48"/>
        <v/>
      </c>
      <c r="X138" s="9" t="str">
        <f t="shared" si="49"/>
        <v/>
      </c>
      <c r="Y138" s="9" t="str">
        <f t="shared" si="50"/>
        <v/>
      </c>
      <c r="Z138" s="3" t="e">
        <f>INDEX('справочная информация'!$U$6:$AK$29,MATCH('Расчет грейда'!$Y138,'справочная информация'!$T$6:$T$29,0),MATCH('Расчет грейда'!$X138,'справочная информация'!$U$5:$AK$5,0))</f>
        <v>#N/A</v>
      </c>
      <c r="AA138" s="9" t="str">
        <f t="shared" si="51"/>
        <v/>
      </c>
      <c r="AB138" s="3" t="e">
        <f>INDEX('справочная информация'!$B$68:$H$83,MATCH('Расчет грейда'!$AA138,'справочная информация'!$A$68:$A$83,0),MATCH('Расчет грейда'!$N138,'справочная информация'!$B$67:$H$67,0))</f>
        <v>#N/A</v>
      </c>
      <c r="AC138" s="3" t="e">
        <f>INDEX('справочная информация'!$D$130:$AD$145,MATCH('Расчет грейда'!$AW138,'справочная информация'!$C$130:$C$145,0),MATCH('Расчет грейда'!$AV138,'справочная информация'!$D$129:$AD$129,0))</f>
        <v>#N/A</v>
      </c>
      <c r="AD138" s="9" t="str">
        <f t="shared" si="52"/>
        <v/>
      </c>
      <c r="AE138" s="9" t="str">
        <f t="shared" si="53"/>
        <v/>
      </c>
      <c r="AF138" s="3" t="str">
        <f>IFERROR(IF(AND(AD138="",AE138=""),"",INDEX('справочная информация'!$B$188:$Y$211,MATCH('Расчет грейда'!$AE138,'справочная информация'!$A$188:$A$211,0),MATCH('Расчет грейда'!$AD138,'справочная информация'!$B$187:$Y$187,0))),"НЕТ")</f>
        <v/>
      </c>
      <c r="AG138" s="3" t="e">
        <f>VLOOKUP(J138,'справочная информация'!$D$267:$E$274,2,0)</f>
        <v>#N/A</v>
      </c>
      <c r="AH138" s="3" t="e">
        <f>VLOOKUP(K138,'справочная информация'!$D$279:$E$283,2,0)</f>
        <v>#N/A</v>
      </c>
      <c r="AI138" s="3" t="e">
        <f>VLOOKUP(L138,'справочная информация'!$D$288:$E$290,2,0)</f>
        <v>#N/A</v>
      </c>
      <c r="AJ138" s="3" t="str">
        <f t="shared" si="54"/>
        <v/>
      </c>
      <c r="AK138" s="169" t="e">
        <f>VLOOKUP(M138,'справочная информация'!$D$294:$E$301,2,0)</f>
        <v>#N/A</v>
      </c>
      <c r="AL138" s="3" t="e">
        <f>VLOOKUP(N138,'справочная информация'!$D$306:$E$310,2,0)</f>
        <v>#N/A</v>
      </c>
      <c r="AM138" s="169" t="str">
        <f t="shared" si="55"/>
        <v>()</v>
      </c>
      <c r="AN138" s="3" t="str">
        <f t="shared" si="56"/>
        <v/>
      </c>
      <c r="AO138" s="3" t="e">
        <f>VLOOKUP(O138,'справочная информация'!$D$329:$E$336,2,0)</f>
        <v>#N/A</v>
      </c>
      <c r="AP138" s="3" t="e">
        <f>VLOOKUP(P138,'справочная информация'!$D$342:$E$349,2,0)</f>
        <v>#N/A</v>
      </c>
      <c r="AQ138" s="3" t="e">
        <f>VLOOKUP(Q138,'справочная информация'!$D$316:$E$325,2,0)</f>
        <v>#N/A</v>
      </c>
      <c r="AR138" s="3" t="str">
        <f t="shared" si="57"/>
        <v/>
      </c>
      <c r="AS138" s="170" t="str">
        <f t="shared" si="58"/>
        <v/>
      </c>
      <c r="AT138" s="3" t="str">
        <f t="shared" si="59"/>
        <v/>
      </c>
      <c r="AU138" s="3" t="e">
        <f>ABS(MATCH($AX138,'справочная информация'!$A$354:$A$391,0)-MATCH($AY138,'справочная информация'!$A$354:$A$391,0))</f>
        <v>#N/A</v>
      </c>
      <c r="AV138" s="3" t="str">
        <f>IFERROR(INDEX('справочная информация'!$B$6:$R$29,MATCH('Расчет грейда'!$Y138,'справочная информация'!$A$6:$A$29,0),MATCH('Расчет грейда'!$X138,'справочная информация'!$B$5:$R$5,0)),"")</f>
        <v/>
      </c>
      <c r="AW138" s="171" t="str">
        <f>IFERROR(INDEX('справочная информация'!$B$37:$H$52,MATCH('Расчет грейда'!$AA138,'справочная информация'!$A$37:$A$52,0),MATCH('Расчет грейда'!$N138,'справочная информация'!$B$36:$H$36,0)),"")</f>
        <v/>
      </c>
      <c r="AX138" s="122" t="str">
        <f>IFERROR(INDEX('справочная информация'!$D$108:$AD$123,MATCH('Расчет грейда'!$AW138,'справочная информация'!$C$108:$C$123,0),MATCH('Расчет грейда'!$AV138,'справочная информация'!$D$107:$AD$107,0)),"")</f>
        <v/>
      </c>
      <c r="AY138" s="133" t="str">
        <f>IFERROR(INDEX('справочная информация'!$B$158:$Y$181,MATCH('Расчет грейда'!$AE138,'справочная информация'!$A$158:$A$181,0),MATCH('Расчет грейда'!$AD138,'справочная информация'!$B$157:$Y$157,0)),"")</f>
        <v/>
      </c>
      <c r="AZ138" s="170" t="str">
        <f t="shared" si="60"/>
        <v/>
      </c>
      <c r="BA138" s="172" t="str">
        <f>IFERROR(CONCATENATE(TEXT(AZ138/INDEX('справочная информация'!$D$223:$D$261,MATCH('Расчет грейда'!$AZ138,'справочная информация'!$C$223:$C$261,1)),"0%")," - процент относительно медианы 100%. ","MIN балл на грейде ",INDEX('справочная информация'!$C$223:$C$261,MATCH('Расчет грейда'!$AZ138,'справочная информация'!$C$223:$C$261,1)),", "," MAX балл на грейде ",INDEX('справочная информация'!$E$223:$E$261,MATCH('Расчет грейда'!$AZ138,'справочная информация'!$C$223:$C$261,1))),"")</f>
        <v/>
      </c>
      <c r="BB138" s="120" t="str">
        <f t="shared" si="61"/>
        <v/>
      </c>
      <c r="BC138" s="3" t="str">
        <f t="shared" si="62"/>
        <v/>
      </c>
      <c r="BD138" s="121" t="str">
        <f>IFERROR(VLOOKUP(BC138,'справочная информация'!$B$416:$C$424,2,0),"Проверить данные, нетипичная должность")</f>
        <v>Проверить данные, нетипичная должность</v>
      </c>
      <c r="BE138" s="3" t="str">
        <f t="shared" si="63"/>
        <v/>
      </c>
      <c r="BF138" s="3" t="str">
        <f>IFERROR(INDEX('справочная информация'!$F$223:$F$261,MATCH('Расчет грейда'!$AZ138,'справочная информация'!$C$223:$C$261,1)),"")</f>
        <v/>
      </c>
    </row>
    <row r="139" spans="1:58" s="9" customFormat="1" x14ac:dyDescent="0.35">
      <c r="A139" s="120"/>
      <c r="B139" s="122"/>
      <c r="C139" s="140"/>
      <c r="D139" s="120"/>
      <c r="E139" s="120"/>
      <c r="F139" s="120"/>
      <c r="G139" s="120"/>
      <c r="H139" s="120"/>
      <c r="J139" s="142"/>
      <c r="K139" s="142"/>
      <c r="L139" s="142"/>
      <c r="R139" s="3"/>
      <c r="S139" s="138"/>
      <c r="T139" s="3"/>
      <c r="U139" s="3"/>
      <c r="V139" s="3"/>
      <c r="W139" s="3" t="str">
        <f t="shared" si="48"/>
        <v/>
      </c>
      <c r="X139" s="9" t="str">
        <f t="shared" si="49"/>
        <v/>
      </c>
      <c r="Y139" s="9" t="str">
        <f t="shared" si="50"/>
        <v/>
      </c>
      <c r="Z139" s="3" t="e">
        <f>INDEX('справочная информация'!$U$6:$AK$29,MATCH('Расчет грейда'!$Y139,'справочная информация'!$T$6:$T$29,0),MATCH('Расчет грейда'!$X139,'справочная информация'!$U$5:$AK$5,0))</f>
        <v>#N/A</v>
      </c>
      <c r="AA139" s="9" t="str">
        <f t="shared" si="51"/>
        <v/>
      </c>
      <c r="AB139" s="3" t="e">
        <f>INDEX('справочная информация'!$B$68:$H$83,MATCH('Расчет грейда'!$AA139,'справочная информация'!$A$68:$A$83,0),MATCH('Расчет грейда'!$N139,'справочная информация'!$B$67:$H$67,0))</f>
        <v>#N/A</v>
      </c>
      <c r="AC139" s="3" t="e">
        <f>INDEX('справочная информация'!$D$130:$AD$145,MATCH('Расчет грейда'!$AW139,'справочная информация'!$C$130:$C$145,0),MATCH('Расчет грейда'!$AV139,'справочная информация'!$D$129:$AD$129,0))</f>
        <v>#N/A</v>
      </c>
      <c r="AD139" s="9" t="str">
        <f t="shared" si="52"/>
        <v/>
      </c>
      <c r="AE139" s="9" t="str">
        <f t="shared" si="53"/>
        <v/>
      </c>
      <c r="AF139" s="3" t="str">
        <f>IFERROR(IF(AND(AD139="",AE139=""),"",INDEX('справочная информация'!$B$188:$Y$211,MATCH('Расчет грейда'!$AE139,'справочная информация'!$A$188:$A$211,0),MATCH('Расчет грейда'!$AD139,'справочная информация'!$B$187:$Y$187,0))),"НЕТ")</f>
        <v/>
      </c>
      <c r="AG139" s="3" t="e">
        <f>VLOOKUP(J139,'справочная информация'!$D$267:$E$274,2,0)</f>
        <v>#N/A</v>
      </c>
      <c r="AH139" s="3" t="e">
        <f>VLOOKUP(K139,'справочная информация'!$D$279:$E$283,2,0)</f>
        <v>#N/A</v>
      </c>
      <c r="AI139" s="3" t="e">
        <f>VLOOKUP(L139,'справочная информация'!$D$288:$E$290,2,0)</f>
        <v>#N/A</v>
      </c>
      <c r="AJ139" s="3" t="str">
        <f t="shared" si="54"/>
        <v/>
      </c>
      <c r="AK139" s="169" t="e">
        <f>VLOOKUP(M139,'справочная информация'!$D$294:$E$301,2,0)</f>
        <v>#N/A</v>
      </c>
      <c r="AL139" s="3" t="e">
        <f>VLOOKUP(N139,'справочная информация'!$D$306:$E$310,2,0)</f>
        <v>#N/A</v>
      </c>
      <c r="AM139" s="169" t="str">
        <f t="shared" si="55"/>
        <v>()</v>
      </c>
      <c r="AN139" s="3" t="str">
        <f t="shared" si="56"/>
        <v/>
      </c>
      <c r="AO139" s="3" t="e">
        <f>VLOOKUP(O139,'справочная информация'!$D$329:$E$336,2,0)</f>
        <v>#N/A</v>
      </c>
      <c r="AP139" s="3" t="e">
        <f>VLOOKUP(P139,'справочная информация'!$D$342:$E$349,2,0)</f>
        <v>#N/A</v>
      </c>
      <c r="AQ139" s="3" t="e">
        <f>VLOOKUP(Q139,'справочная информация'!$D$316:$E$325,2,0)</f>
        <v>#N/A</v>
      </c>
      <c r="AR139" s="3" t="str">
        <f t="shared" si="57"/>
        <v/>
      </c>
      <c r="AS139" s="170" t="str">
        <f t="shared" si="58"/>
        <v/>
      </c>
      <c r="AT139" s="3" t="str">
        <f t="shared" si="59"/>
        <v/>
      </c>
      <c r="AU139" s="3" t="e">
        <f>ABS(MATCH($AX139,'справочная информация'!$A$354:$A$391,0)-MATCH($AY139,'справочная информация'!$A$354:$A$391,0))</f>
        <v>#N/A</v>
      </c>
      <c r="AV139" s="3" t="str">
        <f>IFERROR(INDEX('справочная информация'!$B$6:$R$29,MATCH('Расчет грейда'!$Y139,'справочная информация'!$A$6:$A$29,0),MATCH('Расчет грейда'!$X139,'справочная информация'!$B$5:$R$5,0)),"")</f>
        <v/>
      </c>
      <c r="AW139" s="171" t="str">
        <f>IFERROR(INDEX('справочная информация'!$B$37:$H$52,MATCH('Расчет грейда'!$AA139,'справочная информация'!$A$37:$A$52,0),MATCH('Расчет грейда'!$N139,'справочная информация'!$B$36:$H$36,0)),"")</f>
        <v/>
      </c>
      <c r="AX139" s="122" t="str">
        <f>IFERROR(INDEX('справочная информация'!$D$108:$AD$123,MATCH('Расчет грейда'!$AW139,'справочная информация'!$C$108:$C$123,0),MATCH('Расчет грейда'!$AV139,'справочная информация'!$D$107:$AD$107,0)),"")</f>
        <v/>
      </c>
      <c r="AY139" s="133" t="str">
        <f>IFERROR(INDEX('справочная информация'!$B$158:$Y$181,MATCH('Расчет грейда'!$AE139,'справочная информация'!$A$158:$A$181,0),MATCH('Расчет грейда'!$AD139,'справочная информация'!$B$157:$Y$157,0)),"")</f>
        <v/>
      </c>
      <c r="AZ139" s="170" t="str">
        <f t="shared" si="60"/>
        <v/>
      </c>
      <c r="BA139" s="172" t="str">
        <f>IFERROR(CONCATENATE(TEXT(AZ139/INDEX('справочная информация'!$D$223:$D$261,MATCH('Расчет грейда'!$AZ139,'справочная информация'!$C$223:$C$261,1)),"0%")," - процент относительно медианы 100%. ","MIN балл на грейде ",INDEX('справочная информация'!$C$223:$C$261,MATCH('Расчет грейда'!$AZ139,'справочная информация'!$C$223:$C$261,1)),", "," MAX балл на грейде ",INDEX('справочная информация'!$E$223:$E$261,MATCH('Расчет грейда'!$AZ139,'справочная информация'!$C$223:$C$261,1))),"")</f>
        <v/>
      </c>
      <c r="BB139" s="120" t="str">
        <f t="shared" si="61"/>
        <v/>
      </c>
      <c r="BC139" s="3" t="str">
        <f t="shared" si="62"/>
        <v/>
      </c>
      <c r="BD139" s="121" t="str">
        <f>IFERROR(VLOOKUP(BC139,'справочная информация'!$B$416:$C$424,2,0),"Проверить данные, нетипичная должность")</f>
        <v>Проверить данные, нетипичная должность</v>
      </c>
      <c r="BE139" s="3" t="str">
        <f t="shared" si="63"/>
        <v/>
      </c>
      <c r="BF139" s="3" t="str">
        <f>IFERROR(INDEX('справочная информация'!$F$223:$F$261,MATCH('Расчет грейда'!$AZ139,'справочная информация'!$C$223:$C$261,1)),"")</f>
        <v/>
      </c>
    </row>
    <row r="140" spans="1:58" s="9" customFormat="1" x14ac:dyDescent="0.35">
      <c r="A140" s="120"/>
      <c r="B140" s="122"/>
      <c r="C140" s="140"/>
      <c r="D140" s="120"/>
      <c r="E140" s="120"/>
      <c r="F140" s="120"/>
      <c r="G140" s="120"/>
      <c r="H140" s="120"/>
      <c r="J140" s="142"/>
      <c r="K140" s="142"/>
      <c r="L140" s="142"/>
      <c r="R140" s="3"/>
      <c r="S140" s="138"/>
      <c r="T140" s="3"/>
      <c r="U140" s="3"/>
      <c r="V140" s="3"/>
      <c r="W140" s="3" t="str">
        <f t="shared" si="48"/>
        <v/>
      </c>
      <c r="X140" s="9" t="str">
        <f t="shared" si="49"/>
        <v/>
      </c>
      <c r="Y140" s="9" t="str">
        <f t="shared" si="50"/>
        <v/>
      </c>
      <c r="Z140" s="3" t="e">
        <f>INDEX('справочная информация'!$U$6:$AK$29,MATCH('Расчет грейда'!$Y140,'справочная информация'!$T$6:$T$29,0),MATCH('Расчет грейда'!$X140,'справочная информация'!$U$5:$AK$5,0))</f>
        <v>#N/A</v>
      </c>
      <c r="AA140" s="9" t="str">
        <f t="shared" si="51"/>
        <v/>
      </c>
      <c r="AB140" s="3" t="e">
        <f>INDEX('справочная информация'!$B$68:$H$83,MATCH('Расчет грейда'!$AA140,'справочная информация'!$A$68:$A$83,0),MATCH('Расчет грейда'!$N140,'справочная информация'!$B$67:$H$67,0))</f>
        <v>#N/A</v>
      </c>
      <c r="AC140" s="3" t="e">
        <f>INDEX('справочная информация'!$D$130:$AD$145,MATCH('Расчет грейда'!$AW140,'справочная информация'!$C$130:$C$145,0),MATCH('Расчет грейда'!$AV140,'справочная информация'!$D$129:$AD$129,0))</f>
        <v>#N/A</v>
      </c>
      <c r="AD140" s="9" t="str">
        <f t="shared" si="52"/>
        <v/>
      </c>
      <c r="AE140" s="9" t="str">
        <f t="shared" si="53"/>
        <v/>
      </c>
      <c r="AF140" s="3" t="str">
        <f>IFERROR(IF(AND(AD140="",AE140=""),"",INDEX('справочная информация'!$B$188:$Y$211,MATCH('Расчет грейда'!$AE140,'справочная информация'!$A$188:$A$211,0),MATCH('Расчет грейда'!$AD140,'справочная информация'!$B$187:$Y$187,0))),"НЕТ")</f>
        <v/>
      </c>
      <c r="AG140" s="3" t="e">
        <f>VLOOKUP(J140,'справочная информация'!$D$267:$E$274,2,0)</f>
        <v>#N/A</v>
      </c>
      <c r="AH140" s="3" t="e">
        <f>VLOOKUP(K140,'справочная информация'!$D$279:$E$283,2,0)</f>
        <v>#N/A</v>
      </c>
      <c r="AI140" s="3" t="e">
        <f>VLOOKUP(L140,'справочная информация'!$D$288:$E$290,2,0)</f>
        <v>#N/A</v>
      </c>
      <c r="AJ140" s="3" t="str">
        <f t="shared" si="54"/>
        <v/>
      </c>
      <c r="AK140" s="169" t="e">
        <f>VLOOKUP(M140,'справочная информация'!$D$294:$E$301,2,0)</f>
        <v>#N/A</v>
      </c>
      <c r="AL140" s="3" t="e">
        <f>VLOOKUP(N140,'справочная информация'!$D$306:$E$310,2,0)</f>
        <v>#N/A</v>
      </c>
      <c r="AM140" s="169" t="str">
        <f t="shared" si="55"/>
        <v>()</v>
      </c>
      <c r="AN140" s="3" t="str">
        <f t="shared" si="56"/>
        <v/>
      </c>
      <c r="AO140" s="3" t="e">
        <f>VLOOKUP(O140,'справочная информация'!$D$329:$E$336,2,0)</f>
        <v>#N/A</v>
      </c>
      <c r="AP140" s="3" t="e">
        <f>VLOOKUP(P140,'справочная информация'!$D$342:$E$349,2,0)</f>
        <v>#N/A</v>
      </c>
      <c r="AQ140" s="3" t="e">
        <f>VLOOKUP(Q140,'справочная информация'!$D$316:$E$325,2,0)</f>
        <v>#N/A</v>
      </c>
      <c r="AR140" s="3" t="str">
        <f t="shared" si="57"/>
        <v/>
      </c>
      <c r="AS140" s="170" t="str">
        <f t="shared" si="58"/>
        <v/>
      </c>
      <c r="AT140" s="3" t="str">
        <f t="shared" si="59"/>
        <v/>
      </c>
      <c r="AU140" s="3" t="e">
        <f>ABS(MATCH($AX140,'справочная информация'!$A$354:$A$391,0)-MATCH($AY140,'справочная информация'!$A$354:$A$391,0))</f>
        <v>#N/A</v>
      </c>
      <c r="AV140" s="3" t="str">
        <f>IFERROR(INDEX('справочная информация'!$B$6:$R$29,MATCH('Расчет грейда'!$Y140,'справочная информация'!$A$6:$A$29,0),MATCH('Расчет грейда'!$X140,'справочная информация'!$B$5:$R$5,0)),"")</f>
        <v/>
      </c>
      <c r="AW140" s="171" t="str">
        <f>IFERROR(INDEX('справочная информация'!$B$37:$H$52,MATCH('Расчет грейда'!$AA140,'справочная информация'!$A$37:$A$52,0),MATCH('Расчет грейда'!$N140,'справочная информация'!$B$36:$H$36,0)),"")</f>
        <v/>
      </c>
      <c r="AX140" s="122" t="str">
        <f>IFERROR(INDEX('справочная информация'!$D$108:$AD$123,MATCH('Расчет грейда'!$AW140,'справочная информация'!$C$108:$C$123,0),MATCH('Расчет грейда'!$AV140,'справочная информация'!$D$107:$AD$107,0)),"")</f>
        <v/>
      </c>
      <c r="AY140" s="133" t="str">
        <f>IFERROR(INDEX('справочная информация'!$B$158:$Y$181,MATCH('Расчет грейда'!$AE140,'справочная информация'!$A$158:$A$181,0),MATCH('Расчет грейда'!$AD140,'справочная информация'!$B$157:$Y$157,0)),"")</f>
        <v/>
      </c>
      <c r="AZ140" s="170" t="str">
        <f t="shared" si="60"/>
        <v/>
      </c>
      <c r="BA140" s="172" t="str">
        <f>IFERROR(CONCATENATE(TEXT(AZ140/INDEX('справочная информация'!$D$223:$D$261,MATCH('Расчет грейда'!$AZ140,'справочная информация'!$C$223:$C$261,1)),"0%")," - процент относительно медианы 100%. ","MIN балл на грейде ",INDEX('справочная информация'!$C$223:$C$261,MATCH('Расчет грейда'!$AZ140,'справочная информация'!$C$223:$C$261,1)),", "," MAX балл на грейде ",INDEX('справочная информация'!$E$223:$E$261,MATCH('Расчет грейда'!$AZ140,'справочная информация'!$C$223:$C$261,1))),"")</f>
        <v/>
      </c>
      <c r="BB140" s="120" t="str">
        <f t="shared" si="61"/>
        <v/>
      </c>
      <c r="BC140" s="3" t="str">
        <f t="shared" si="62"/>
        <v/>
      </c>
      <c r="BD140" s="121" t="str">
        <f>IFERROR(VLOOKUP(BC140,'справочная информация'!$B$416:$C$424,2,0),"Проверить данные, нетипичная должность")</f>
        <v>Проверить данные, нетипичная должность</v>
      </c>
      <c r="BE140" s="3" t="str">
        <f t="shared" si="63"/>
        <v/>
      </c>
      <c r="BF140" s="3" t="str">
        <f>IFERROR(INDEX('справочная информация'!$F$223:$F$261,MATCH('Расчет грейда'!$AZ140,'справочная информация'!$C$223:$C$261,1)),"")</f>
        <v/>
      </c>
    </row>
    <row r="141" spans="1:58" s="9" customFormat="1" x14ac:dyDescent="0.35">
      <c r="A141" s="120"/>
      <c r="B141" s="122"/>
      <c r="C141" s="140"/>
      <c r="D141" s="120"/>
      <c r="E141" s="120"/>
      <c r="F141" s="120"/>
      <c r="G141" s="120"/>
      <c r="H141" s="120"/>
      <c r="J141" s="142"/>
      <c r="K141" s="142"/>
      <c r="L141" s="142"/>
      <c r="R141" s="3"/>
      <c r="S141" s="138"/>
      <c r="T141" s="3"/>
      <c r="U141" s="3"/>
      <c r="V141" s="3"/>
      <c r="W141" s="3" t="str">
        <f t="shared" si="48"/>
        <v/>
      </c>
      <c r="X141" s="9" t="str">
        <f t="shared" si="49"/>
        <v/>
      </c>
      <c r="Y141" s="9" t="str">
        <f t="shared" si="50"/>
        <v/>
      </c>
      <c r="Z141" s="3" t="e">
        <f>INDEX('справочная информация'!$U$6:$AK$29,MATCH('Расчет грейда'!$Y141,'справочная информация'!$T$6:$T$29,0),MATCH('Расчет грейда'!$X141,'справочная информация'!$U$5:$AK$5,0))</f>
        <v>#N/A</v>
      </c>
      <c r="AA141" s="9" t="str">
        <f t="shared" si="51"/>
        <v/>
      </c>
      <c r="AB141" s="3" t="e">
        <f>INDEX('справочная информация'!$B$68:$H$83,MATCH('Расчет грейда'!$AA141,'справочная информация'!$A$68:$A$83,0),MATCH('Расчет грейда'!$N141,'справочная информация'!$B$67:$H$67,0))</f>
        <v>#N/A</v>
      </c>
      <c r="AC141" s="3" t="e">
        <f>INDEX('справочная информация'!$D$130:$AD$145,MATCH('Расчет грейда'!$AW141,'справочная информация'!$C$130:$C$145,0),MATCH('Расчет грейда'!$AV141,'справочная информация'!$D$129:$AD$129,0))</f>
        <v>#N/A</v>
      </c>
      <c r="AD141" s="9" t="str">
        <f t="shared" si="52"/>
        <v/>
      </c>
      <c r="AE141" s="9" t="str">
        <f t="shared" si="53"/>
        <v/>
      </c>
      <c r="AF141" s="3" t="str">
        <f>IFERROR(IF(AND(AD141="",AE141=""),"",INDEX('справочная информация'!$B$188:$Y$211,MATCH('Расчет грейда'!$AE141,'справочная информация'!$A$188:$A$211,0),MATCH('Расчет грейда'!$AD141,'справочная информация'!$B$187:$Y$187,0))),"НЕТ")</f>
        <v/>
      </c>
      <c r="AG141" s="3" t="e">
        <f>VLOOKUP(J141,'справочная информация'!$D$267:$E$274,2,0)</f>
        <v>#N/A</v>
      </c>
      <c r="AH141" s="3" t="e">
        <f>VLOOKUP(K141,'справочная информация'!$D$279:$E$283,2,0)</f>
        <v>#N/A</v>
      </c>
      <c r="AI141" s="3" t="e">
        <f>VLOOKUP(L141,'справочная информация'!$D$288:$E$290,2,0)</f>
        <v>#N/A</v>
      </c>
      <c r="AJ141" s="3" t="str">
        <f t="shared" si="54"/>
        <v/>
      </c>
      <c r="AK141" s="169" t="e">
        <f>VLOOKUP(M141,'справочная информация'!$D$294:$E$301,2,0)</f>
        <v>#N/A</v>
      </c>
      <c r="AL141" s="3" t="e">
        <f>VLOOKUP(N141,'справочная информация'!$D$306:$E$310,2,0)</f>
        <v>#N/A</v>
      </c>
      <c r="AM141" s="169" t="str">
        <f t="shared" si="55"/>
        <v>()</v>
      </c>
      <c r="AN141" s="3" t="str">
        <f t="shared" si="56"/>
        <v/>
      </c>
      <c r="AO141" s="3" t="e">
        <f>VLOOKUP(O141,'справочная информация'!$D$329:$E$336,2,0)</f>
        <v>#N/A</v>
      </c>
      <c r="AP141" s="3" t="e">
        <f>VLOOKUP(P141,'справочная информация'!$D$342:$E$349,2,0)</f>
        <v>#N/A</v>
      </c>
      <c r="AQ141" s="3" t="e">
        <f>VLOOKUP(Q141,'справочная информация'!$D$316:$E$325,2,0)</f>
        <v>#N/A</v>
      </c>
      <c r="AR141" s="3" t="str">
        <f t="shared" si="57"/>
        <v/>
      </c>
      <c r="AS141" s="170" t="str">
        <f t="shared" si="58"/>
        <v/>
      </c>
      <c r="AT141" s="3" t="str">
        <f t="shared" si="59"/>
        <v/>
      </c>
      <c r="AU141" s="3" t="e">
        <f>ABS(MATCH($AX141,'справочная информация'!$A$354:$A$391,0)-MATCH($AY141,'справочная информация'!$A$354:$A$391,0))</f>
        <v>#N/A</v>
      </c>
      <c r="AV141" s="3" t="str">
        <f>IFERROR(INDEX('справочная информация'!$B$6:$R$29,MATCH('Расчет грейда'!$Y141,'справочная информация'!$A$6:$A$29,0),MATCH('Расчет грейда'!$X141,'справочная информация'!$B$5:$R$5,0)),"")</f>
        <v/>
      </c>
      <c r="AW141" s="171" t="str">
        <f>IFERROR(INDEX('справочная информация'!$B$37:$H$52,MATCH('Расчет грейда'!$AA141,'справочная информация'!$A$37:$A$52,0),MATCH('Расчет грейда'!$N141,'справочная информация'!$B$36:$H$36,0)),"")</f>
        <v/>
      </c>
      <c r="AX141" s="122" t="str">
        <f>IFERROR(INDEX('справочная информация'!$D$108:$AD$123,MATCH('Расчет грейда'!$AW141,'справочная информация'!$C$108:$C$123,0),MATCH('Расчет грейда'!$AV141,'справочная информация'!$D$107:$AD$107,0)),"")</f>
        <v/>
      </c>
      <c r="AY141" s="133" t="str">
        <f>IFERROR(INDEX('справочная информация'!$B$158:$Y$181,MATCH('Расчет грейда'!$AE141,'справочная информация'!$A$158:$A$181,0),MATCH('Расчет грейда'!$AD141,'справочная информация'!$B$157:$Y$157,0)),"")</f>
        <v/>
      </c>
      <c r="AZ141" s="170" t="str">
        <f t="shared" si="60"/>
        <v/>
      </c>
      <c r="BA141" s="172" t="str">
        <f>IFERROR(CONCATENATE(TEXT(AZ141/INDEX('справочная информация'!$D$223:$D$261,MATCH('Расчет грейда'!$AZ141,'справочная информация'!$C$223:$C$261,1)),"0%")," - процент относительно медианы 100%. ","MIN балл на грейде ",INDEX('справочная информация'!$C$223:$C$261,MATCH('Расчет грейда'!$AZ141,'справочная информация'!$C$223:$C$261,1)),", "," MAX балл на грейде ",INDEX('справочная информация'!$E$223:$E$261,MATCH('Расчет грейда'!$AZ141,'справочная информация'!$C$223:$C$261,1))),"")</f>
        <v/>
      </c>
      <c r="BB141" s="120" t="str">
        <f t="shared" si="61"/>
        <v/>
      </c>
      <c r="BC141" s="3" t="str">
        <f t="shared" si="62"/>
        <v/>
      </c>
      <c r="BD141" s="121" t="str">
        <f>IFERROR(VLOOKUP(BC141,'справочная информация'!$B$416:$C$424,2,0),"Проверить данные, нетипичная должность")</f>
        <v>Проверить данные, нетипичная должность</v>
      </c>
      <c r="BE141" s="3" t="str">
        <f t="shared" si="63"/>
        <v/>
      </c>
      <c r="BF141" s="3" t="str">
        <f>IFERROR(INDEX('справочная информация'!$F$223:$F$261,MATCH('Расчет грейда'!$AZ141,'справочная информация'!$C$223:$C$261,1)),"")</f>
        <v/>
      </c>
    </row>
    <row r="142" spans="1:58" s="9" customFormat="1" x14ac:dyDescent="0.35">
      <c r="A142" s="120"/>
      <c r="B142" s="122"/>
      <c r="C142" s="140"/>
      <c r="D142" s="120"/>
      <c r="E142" s="120"/>
      <c r="F142" s="120"/>
      <c r="G142" s="120"/>
      <c r="H142" s="120"/>
      <c r="J142" s="142"/>
      <c r="K142" s="142"/>
      <c r="L142" s="142"/>
      <c r="R142" s="3"/>
      <c r="S142" s="138"/>
      <c r="T142" s="3"/>
      <c r="U142" s="3"/>
      <c r="V142" s="3"/>
      <c r="W142" s="3" t="str">
        <f t="shared" si="48"/>
        <v/>
      </c>
      <c r="X142" s="9" t="str">
        <f t="shared" si="49"/>
        <v/>
      </c>
      <c r="Y142" s="9" t="str">
        <f t="shared" si="50"/>
        <v/>
      </c>
      <c r="Z142" s="3" t="e">
        <f>INDEX('справочная информация'!$U$6:$AK$29,MATCH('Расчет грейда'!$Y142,'справочная информация'!$T$6:$T$29,0),MATCH('Расчет грейда'!$X142,'справочная информация'!$U$5:$AK$5,0))</f>
        <v>#N/A</v>
      </c>
      <c r="AA142" s="9" t="str">
        <f t="shared" si="51"/>
        <v/>
      </c>
      <c r="AB142" s="3" t="e">
        <f>INDEX('справочная информация'!$B$68:$H$83,MATCH('Расчет грейда'!$AA142,'справочная информация'!$A$68:$A$83,0),MATCH('Расчет грейда'!$N142,'справочная информация'!$B$67:$H$67,0))</f>
        <v>#N/A</v>
      </c>
      <c r="AC142" s="3" t="e">
        <f>INDEX('справочная информация'!$D$130:$AD$145,MATCH('Расчет грейда'!$AW142,'справочная информация'!$C$130:$C$145,0),MATCH('Расчет грейда'!$AV142,'справочная информация'!$D$129:$AD$129,0))</f>
        <v>#N/A</v>
      </c>
      <c r="AD142" s="9" t="str">
        <f t="shared" si="52"/>
        <v/>
      </c>
      <c r="AE142" s="9" t="str">
        <f t="shared" si="53"/>
        <v/>
      </c>
      <c r="AF142" s="3" t="str">
        <f>IFERROR(IF(AND(AD142="",AE142=""),"",INDEX('справочная информация'!$B$188:$Y$211,MATCH('Расчет грейда'!$AE142,'справочная информация'!$A$188:$A$211,0),MATCH('Расчет грейда'!$AD142,'справочная информация'!$B$187:$Y$187,0))),"НЕТ")</f>
        <v/>
      </c>
      <c r="AG142" s="3" t="e">
        <f>VLOOKUP(J142,'справочная информация'!$D$267:$E$274,2,0)</f>
        <v>#N/A</v>
      </c>
      <c r="AH142" s="3" t="e">
        <f>VLOOKUP(K142,'справочная информация'!$D$279:$E$283,2,0)</f>
        <v>#N/A</v>
      </c>
      <c r="AI142" s="3" t="e">
        <f>VLOOKUP(L142,'справочная информация'!$D$288:$E$290,2,0)</f>
        <v>#N/A</v>
      </c>
      <c r="AJ142" s="3" t="str">
        <f t="shared" si="54"/>
        <v/>
      </c>
      <c r="AK142" s="169" t="e">
        <f>VLOOKUP(M142,'справочная информация'!$D$294:$E$301,2,0)</f>
        <v>#N/A</v>
      </c>
      <c r="AL142" s="3" t="e">
        <f>VLOOKUP(N142,'справочная информация'!$D$306:$E$310,2,0)</f>
        <v>#N/A</v>
      </c>
      <c r="AM142" s="169" t="str">
        <f t="shared" si="55"/>
        <v>()</v>
      </c>
      <c r="AN142" s="3" t="str">
        <f t="shared" si="56"/>
        <v/>
      </c>
      <c r="AO142" s="3" t="e">
        <f>VLOOKUP(O142,'справочная информация'!$D$329:$E$336,2,0)</f>
        <v>#N/A</v>
      </c>
      <c r="AP142" s="3" t="e">
        <f>VLOOKUP(P142,'справочная информация'!$D$342:$E$349,2,0)</f>
        <v>#N/A</v>
      </c>
      <c r="AQ142" s="3" t="e">
        <f>VLOOKUP(Q142,'справочная информация'!$D$316:$E$325,2,0)</f>
        <v>#N/A</v>
      </c>
      <c r="AR142" s="3" t="str">
        <f t="shared" si="57"/>
        <v/>
      </c>
      <c r="AS142" s="170" t="str">
        <f t="shared" si="58"/>
        <v/>
      </c>
      <c r="AT142" s="3" t="str">
        <f t="shared" si="59"/>
        <v/>
      </c>
      <c r="AU142" s="3" t="e">
        <f>ABS(MATCH($AX142,'справочная информация'!$A$354:$A$391,0)-MATCH($AY142,'справочная информация'!$A$354:$A$391,0))</f>
        <v>#N/A</v>
      </c>
      <c r="AV142" s="3" t="str">
        <f>IFERROR(INDEX('справочная информация'!$B$6:$R$29,MATCH('Расчет грейда'!$Y142,'справочная информация'!$A$6:$A$29,0),MATCH('Расчет грейда'!$X142,'справочная информация'!$B$5:$R$5,0)),"")</f>
        <v/>
      </c>
      <c r="AW142" s="171" t="str">
        <f>IFERROR(INDEX('справочная информация'!$B$37:$H$52,MATCH('Расчет грейда'!$AA142,'справочная информация'!$A$37:$A$52,0),MATCH('Расчет грейда'!$N142,'справочная информация'!$B$36:$H$36,0)),"")</f>
        <v/>
      </c>
      <c r="AX142" s="122" t="str">
        <f>IFERROR(INDEX('справочная информация'!$D$108:$AD$123,MATCH('Расчет грейда'!$AW142,'справочная информация'!$C$108:$C$123,0),MATCH('Расчет грейда'!$AV142,'справочная информация'!$D$107:$AD$107,0)),"")</f>
        <v/>
      </c>
      <c r="AY142" s="133" t="str">
        <f>IFERROR(INDEX('справочная информация'!$B$158:$Y$181,MATCH('Расчет грейда'!$AE142,'справочная информация'!$A$158:$A$181,0),MATCH('Расчет грейда'!$AD142,'справочная информация'!$B$157:$Y$157,0)),"")</f>
        <v/>
      </c>
      <c r="AZ142" s="170" t="str">
        <f t="shared" si="60"/>
        <v/>
      </c>
      <c r="BA142" s="172" t="str">
        <f>IFERROR(CONCATENATE(TEXT(AZ142/INDEX('справочная информация'!$D$223:$D$261,MATCH('Расчет грейда'!$AZ142,'справочная информация'!$C$223:$C$261,1)),"0%")," - процент относительно медианы 100%. ","MIN балл на грейде ",INDEX('справочная информация'!$C$223:$C$261,MATCH('Расчет грейда'!$AZ142,'справочная информация'!$C$223:$C$261,1)),", "," MAX балл на грейде ",INDEX('справочная информация'!$E$223:$E$261,MATCH('Расчет грейда'!$AZ142,'справочная информация'!$C$223:$C$261,1))),"")</f>
        <v/>
      </c>
      <c r="BB142" s="120" t="str">
        <f t="shared" si="61"/>
        <v/>
      </c>
      <c r="BC142" s="3" t="str">
        <f t="shared" si="62"/>
        <v/>
      </c>
      <c r="BD142" s="121" t="str">
        <f>IFERROR(VLOOKUP(BC142,'справочная информация'!$B$416:$C$424,2,0),"Проверить данные, нетипичная должность")</f>
        <v>Проверить данные, нетипичная должность</v>
      </c>
      <c r="BE142" s="3" t="str">
        <f t="shared" si="63"/>
        <v/>
      </c>
      <c r="BF142" s="3" t="str">
        <f>IFERROR(INDEX('справочная информация'!$F$223:$F$261,MATCH('Расчет грейда'!$AZ142,'справочная информация'!$C$223:$C$261,1)),"")</f>
        <v/>
      </c>
    </row>
    <row r="143" spans="1:58" s="9" customFormat="1" x14ac:dyDescent="0.35">
      <c r="A143" s="120"/>
      <c r="B143" s="122"/>
      <c r="C143" s="140"/>
      <c r="D143" s="120"/>
      <c r="E143" s="120"/>
      <c r="F143" s="120"/>
      <c r="G143" s="120"/>
      <c r="H143" s="120"/>
      <c r="J143" s="142"/>
      <c r="K143" s="142"/>
      <c r="L143" s="142"/>
      <c r="R143" s="3"/>
      <c r="S143" s="138"/>
      <c r="T143" s="3"/>
      <c r="U143" s="3"/>
      <c r="V143" s="3"/>
      <c r="W143" s="3" t="str">
        <f t="shared" si="48"/>
        <v/>
      </c>
      <c r="X143" s="9" t="str">
        <f t="shared" si="49"/>
        <v/>
      </c>
      <c r="Y143" s="9" t="str">
        <f t="shared" si="50"/>
        <v/>
      </c>
      <c r="Z143" s="3" t="e">
        <f>INDEX('справочная информация'!$U$6:$AK$29,MATCH('Расчет грейда'!$Y143,'справочная информация'!$T$6:$T$29,0),MATCH('Расчет грейда'!$X143,'справочная информация'!$U$5:$AK$5,0))</f>
        <v>#N/A</v>
      </c>
      <c r="AA143" s="9" t="str">
        <f t="shared" si="51"/>
        <v/>
      </c>
      <c r="AB143" s="3" t="e">
        <f>INDEX('справочная информация'!$B$68:$H$83,MATCH('Расчет грейда'!$AA143,'справочная информация'!$A$68:$A$83,0),MATCH('Расчет грейда'!$N143,'справочная информация'!$B$67:$H$67,0))</f>
        <v>#N/A</v>
      </c>
      <c r="AC143" s="3" t="e">
        <f>INDEX('справочная информация'!$D$130:$AD$145,MATCH('Расчет грейда'!$AW143,'справочная информация'!$C$130:$C$145,0),MATCH('Расчет грейда'!$AV143,'справочная информация'!$D$129:$AD$129,0))</f>
        <v>#N/A</v>
      </c>
      <c r="AD143" s="9" t="str">
        <f t="shared" si="52"/>
        <v/>
      </c>
      <c r="AE143" s="9" t="str">
        <f t="shared" si="53"/>
        <v/>
      </c>
      <c r="AF143" s="3" t="str">
        <f>IFERROR(IF(AND(AD143="",AE143=""),"",INDEX('справочная информация'!$B$188:$Y$211,MATCH('Расчет грейда'!$AE143,'справочная информация'!$A$188:$A$211,0),MATCH('Расчет грейда'!$AD143,'справочная информация'!$B$187:$Y$187,0))),"НЕТ")</f>
        <v/>
      </c>
      <c r="AG143" s="3" t="e">
        <f>VLOOKUP(J143,'справочная информация'!$D$267:$E$274,2,0)</f>
        <v>#N/A</v>
      </c>
      <c r="AH143" s="3" t="e">
        <f>VLOOKUP(K143,'справочная информация'!$D$279:$E$283,2,0)</f>
        <v>#N/A</v>
      </c>
      <c r="AI143" s="3" t="e">
        <f>VLOOKUP(L143,'справочная информация'!$D$288:$E$290,2,0)</f>
        <v>#N/A</v>
      </c>
      <c r="AJ143" s="3" t="str">
        <f t="shared" si="54"/>
        <v/>
      </c>
      <c r="AK143" s="169" t="e">
        <f>VLOOKUP(M143,'справочная информация'!$D$294:$E$301,2,0)</f>
        <v>#N/A</v>
      </c>
      <c r="AL143" s="3" t="e">
        <f>VLOOKUP(N143,'справочная информация'!$D$306:$E$310,2,0)</f>
        <v>#N/A</v>
      </c>
      <c r="AM143" s="169" t="str">
        <f t="shared" si="55"/>
        <v>()</v>
      </c>
      <c r="AN143" s="3" t="str">
        <f t="shared" si="56"/>
        <v/>
      </c>
      <c r="AO143" s="3" t="e">
        <f>VLOOKUP(O143,'справочная информация'!$D$329:$E$336,2,0)</f>
        <v>#N/A</v>
      </c>
      <c r="AP143" s="3" t="e">
        <f>VLOOKUP(P143,'справочная информация'!$D$342:$E$349,2,0)</f>
        <v>#N/A</v>
      </c>
      <c r="AQ143" s="3" t="e">
        <f>VLOOKUP(Q143,'справочная информация'!$D$316:$E$325,2,0)</f>
        <v>#N/A</v>
      </c>
      <c r="AR143" s="3" t="str">
        <f t="shared" si="57"/>
        <v/>
      </c>
      <c r="AS143" s="170" t="str">
        <f t="shared" si="58"/>
        <v/>
      </c>
      <c r="AT143" s="3" t="str">
        <f t="shared" si="59"/>
        <v/>
      </c>
      <c r="AU143" s="3" t="e">
        <f>ABS(MATCH($AX143,'справочная информация'!$A$354:$A$391,0)-MATCH($AY143,'справочная информация'!$A$354:$A$391,0))</f>
        <v>#N/A</v>
      </c>
      <c r="AV143" s="3" t="str">
        <f>IFERROR(INDEX('справочная информация'!$B$6:$R$29,MATCH('Расчет грейда'!$Y143,'справочная информация'!$A$6:$A$29,0),MATCH('Расчет грейда'!$X143,'справочная информация'!$B$5:$R$5,0)),"")</f>
        <v/>
      </c>
      <c r="AW143" s="171" t="str">
        <f>IFERROR(INDEX('справочная информация'!$B$37:$H$52,MATCH('Расчет грейда'!$AA143,'справочная информация'!$A$37:$A$52,0),MATCH('Расчет грейда'!$N143,'справочная информация'!$B$36:$H$36,0)),"")</f>
        <v/>
      </c>
      <c r="AX143" s="122" t="str">
        <f>IFERROR(INDEX('справочная информация'!$D$108:$AD$123,MATCH('Расчет грейда'!$AW143,'справочная информация'!$C$108:$C$123,0),MATCH('Расчет грейда'!$AV143,'справочная информация'!$D$107:$AD$107,0)),"")</f>
        <v/>
      </c>
      <c r="AY143" s="133" t="str">
        <f>IFERROR(INDEX('справочная информация'!$B$158:$Y$181,MATCH('Расчет грейда'!$AE143,'справочная информация'!$A$158:$A$181,0),MATCH('Расчет грейда'!$AD143,'справочная информация'!$B$157:$Y$157,0)),"")</f>
        <v/>
      </c>
      <c r="AZ143" s="170" t="str">
        <f t="shared" si="60"/>
        <v/>
      </c>
      <c r="BA143" s="172" t="str">
        <f>IFERROR(CONCATENATE(TEXT(AZ143/INDEX('справочная информация'!$D$223:$D$261,MATCH('Расчет грейда'!$AZ143,'справочная информация'!$C$223:$C$261,1)),"0%")," - процент относительно медианы 100%. ","MIN балл на грейде ",INDEX('справочная информация'!$C$223:$C$261,MATCH('Расчет грейда'!$AZ143,'справочная информация'!$C$223:$C$261,1)),", "," MAX балл на грейде ",INDEX('справочная информация'!$E$223:$E$261,MATCH('Расчет грейда'!$AZ143,'справочная информация'!$C$223:$C$261,1))),"")</f>
        <v/>
      </c>
      <c r="BB143" s="120" t="str">
        <f t="shared" si="61"/>
        <v/>
      </c>
      <c r="BC143" s="3" t="str">
        <f t="shared" si="62"/>
        <v/>
      </c>
      <c r="BD143" s="121" t="str">
        <f>IFERROR(VLOOKUP(BC143,'справочная информация'!$B$416:$C$424,2,0),"Проверить данные, нетипичная должность")</f>
        <v>Проверить данные, нетипичная должность</v>
      </c>
      <c r="BE143" s="3" t="str">
        <f t="shared" si="63"/>
        <v/>
      </c>
      <c r="BF143" s="3" t="str">
        <f>IFERROR(INDEX('справочная информация'!$F$223:$F$261,MATCH('Расчет грейда'!$AZ143,'справочная информация'!$C$223:$C$261,1)),"")</f>
        <v/>
      </c>
    </row>
    <row r="144" spans="1:58" s="9" customFormat="1" x14ac:dyDescent="0.35">
      <c r="A144" s="120"/>
      <c r="B144" s="122"/>
      <c r="C144" s="140"/>
      <c r="D144" s="120"/>
      <c r="E144" s="120"/>
      <c r="F144" s="120"/>
      <c r="G144" s="120"/>
      <c r="H144" s="120"/>
      <c r="J144" s="142"/>
      <c r="K144" s="142"/>
      <c r="L144" s="142"/>
      <c r="R144" s="3"/>
      <c r="S144" s="138"/>
      <c r="T144" s="3"/>
      <c r="U144" s="3"/>
      <c r="V144" s="3"/>
      <c r="W144" s="3" t="str">
        <f t="shared" si="48"/>
        <v/>
      </c>
      <c r="X144" s="9" t="str">
        <f t="shared" si="49"/>
        <v/>
      </c>
      <c r="Y144" s="9" t="str">
        <f t="shared" si="50"/>
        <v/>
      </c>
      <c r="Z144" s="3" t="e">
        <f>INDEX('справочная информация'!$U$6:$AK$29,MATCH('Расчет грейда'!$Y144,'справочная информация'!$T$6:$T$29,0),MATCH('Расчет грейда'!$X144,'справочная информация'!$U$5:$AK$5,0))</f>
        <v>#N/A</v>
      </c>
      <c r="AA144" s="9" t="str">
        <f t="shared" si="51"/>
        <v/>
      </c>
      <c r="AB144" s="3" t="e">
        <f>INDEX('справочная информация'!$B$68:$H$83,MATCH('Расчет грейда'!$AA144,'справочная информация'!$A$68:$A$83,0),MATCH('Расчет грейда'!$N144,'справочная информация'!$B$67:$H$67,0))</f>
        <v>#N/A</v>
      </c>
      <c r="AC144" s="3" t="e">
        <f>INDEX('справочная информация'!$D$130:$AD$145,MATCH('Расчет грейда'!$AW144,'справочная информация'!$C$130:$C$145,0),MATCH('Расчет грейда'!$AV144,'справочная информация'!$D$129:$AD$129,0))</f>
        <v>#N/A</v>
      </c>
      <c r="AD144" s="9" t="str">
        <f t="shared" si="52"/>
        <v/>
      </c>
      <c r="AE144" s="9" t="str">
        <f t="shared" si="53"/>
        <v/>
      </c>
      <c r="AF144" s="3" t="str">
        <f>IFERROR(IF(AND(AD144="",AE144=""),"",INDEX('справочная информация'!$B$188:$Y$211,MATCH('Расчет грейда'!$AE144,'справочная информация'!$A$188:$A$211,0),MATCH('Расчет грейда'!$AD144,'справочная информация'!$B$187:$Y$187,0))),"НЕТ")</f>
        <v/>
      </c>
      <c r="AG144" s="3" t="e">
        <f>VLOOKUP(J144,'справочная информация'!$D$267:$E$274,2,0)</f>
        <v>#N/A</v>
      </c>
      <c r="AH144" s="3" t="e">
        <f>VLOOKUP(K144,'справочная информация'!$D$279:$E$283,2,0)</f>
        <v>#N/A</v>
      </c>
      <c r="AI144" s="3" t="e">
        <f>VLOOKUP(L144,'справочная информация'!$D$288:$E$290,2,0)</f>
        <v>#N/A</v>
      </c>
      <c r="AJ144" s="3" t="str">
        <f t="shared" si="54"/>
        <v/>
      </c>
      <c r="AK144" s="169" t="e">
        <f>VLOOKUP(M144,'справочная информация'!$D$294:$E$301,2,0)</f>
        <v>#N/A</v>
      </c>
      <c r="AL144" s="3" t="e">
        <f>VLOOKUP(N144,'справочная информация'!$D$306:$E$310,2,0)</f>
        <v>#N/A</v>
      </c>
      <c r="AM144" s="169" t="str">
        <f t="shared" si="55"/>
        <v>()</v>
      </c>
      <c r="AN144" s="3" t="str">
        <f t="shared" si="56"/>
        <v/>
      </c>
      <c r="AO144" s="3" t="e">
        <f>VLOOKUP(O144,'справочная информация'!$D$329:$E$336,2,0)</f>
        <v>#N/A</v>
      </c>
      <c r="AP144" s="3" t="e">
        <f>VLOOKUP(P144,'справочная информация'!$D$342:$E$349,2,0)</f>
        <v>#N/A</v>
      </c>
      <c r="AQ144" s="3" t="e">
        <f>VLOOKUP(Q144,'справочная информация'!$D$316:$E$325,2,0)</f>
        <v>#N/A</v>
      </c>
      <c r="AR144" s="3" t="str">
        <f t="shared" si="57"/>
        <v/>
      </c>
      <c r="AS144" s="170" t="str">
        <f t="shared" si="58"/>
        <v/>
      </c>
      <c r="AT144" s="3" t="str">
        <f t="shared" si="59"/>
        <v/>
      </c>
      <c r="AU144" s="3" t="e">
        <f>ABS(MATCH($AX144,'справочная информация'!$A$354:$A$391,0)-MATCH($AY144,'справочная информация'!$A$354:$A$391,0))</f>
        <v>#N/A</v>
      </c>
      <c r="AV144" s="3" t="str">
        <f>IFERROR(INDEX('справочная информация'!$B$6:$R$29,MATCH('Расчет грейда'!$Y144,'справочная информация'!$A$6:$A$29,0),MATCH('Расчет грейда'!$X144,'справочная информация'!$B$5:$R$5,0)),"")</f>
        <v/>
      </c>
      <c r="AW144" s="171" t="str">
        <f>IFERROR(INDEX('справочная информация'!$B$37:$H$52,MATCH('Расчет грейда'!$AA144,'справочная информация'!$A$37:$A$52,0),MATCH('Расчет грейда'!$N144,'справочная информация'!$B$36:$H$36,0)),"")</f>
        <v/>
      </c>
      <c r="AX144" s="122" t="str">
        <f>IFERROR(INDEX('справочная информация'!$D$108:$AD$123,MATCH('Расчет грейда'!$AW144,'справочная информация'!$C$108:$C$123,0),MATCH('Расчет грейда'!$AV144,'справочная информация'!$D$107:$AD$107,0)),"")</f>
        <v/>
      </c>
      <c r="AY144" s="133" t="str">
        <f>IFERROR(INDEX('справочная информация'!$B$158:$Y$181,MATCH('Расчет грейда'!$AE144,'справочная информация'!$A$158:$A$181,0),MATCH('Расчет грейда'!$AD144,'справочная информация'!$B$157:$Y$157,0)),"")</f>
        <v/>
      </c>
      <c r="AZ144" s="170" t="str">
        <f t="shared" si="60"/>
        <v/>
      </c>
      <c r="BA144" s="172" t="str">
        <f>IFERROR(CONCATENATE(TEXT(AZ144/INDEX('справочная информация'!$D$223:$D$261,MATCH('Расчет грейда'!$AZ144,'справочная информация'!$C$223:$C$261,1)),"0%")," - процент относительно медианы 100%. ","MIN балл на грейде ",INDEX('справочная информация'!$C$223:$C$261,MATCH('Расчет грейда'!$AZ144,'справочная информация'!$C$223:$C$261,1)),", "," MAX балл на грейде ",INDEX('справочная информация'!$E$223:$E$261,MATCH('Расчет грейда'!$AZ144,'справочная информация'!$C$223:$C$261,1))),"")</f>
        <v/>
      </c>
      <c r="BB144" s="120" t="str">
        <f t="shared" si="61"/>
        <v/>
      </c>
      <c r="BC144" s="3" t="str">
        <f t="shared" si="62"/>
        <v/>
      </c>
      <c r="BD144" s="121" t="str">
        <f>IFERROR(VLOOKUP(BC144,'справочная информация'!$B$416:$C$424,2,0),"Проверить данные, нетипичная должность")</f>
        <v>Проверить данные, нетипичная должность</v>
      </c>
      <c r="BE144" s="3" t="str">
        <f t="shared" si="63"/>
        <v/>
      </c>
      <c r="BF144" s="3" t="str">
        <f>IFERROR(INDEX('справочная информация'!$F$223:$F$261,MATCH('Расчет грейда'!$AZ144,'справочная информация'!$C$223:$C$261,1)),"")</f>
        <v/>
      </c>
    </row>
    <row r="145" spans="1:58" s="9" customFormat="1" x14ac:dyDescent="0.35">
      <c r="A145" s="120"/>
      <c r="B145" s="122"/>
      <c r="C145" s="140"/>
      <c r="D145" s="120"/>
      <c r="E145" s="120"/>
      <c r="F145" s="120"/>
      <c r="G145" s="120"/>
      <c r="H145" s="120"/>
      <c r="J145" s="142"/>
      <c r="K145" s="142"/>
      <c r="L145" s="142"/>
      <c r="R145" s="3"/>
      <c r="S145" s="138"/>
      <c r="T145" s="3"/>
      <c r="U145" s="3"/>
      <c r="V145" s="3"/>
      <c r="W145" s="3" t="str">
        <f t="shared" si="48"/>
        <v/>
      </c>
      <c r="X145" s="9" t="str">
        <f t="shared" si="49"/>
        <v/>
      </c>
      <c r="Y145" s="9" t="str">
        <f t="shared" si="50"/>
        <v/>
      </c>
      <c r="Z145" s="3" t="e">
        <f>INDEX('справочная информация'!$U$6:$AK$29,MATCH('Расчет грейда'!$Y145,'справочная информация'!$T$6:$T$29,0),MATCH('Расчет грейда'!$X145,'справочная информация'!$U$5:$AK$5,0))</f>
        <v>#N/A</v>
      </c>
      <c r="AA145" s="9" t="str">
        <f t="shared" si="51"/>
        <v/>
      </c>
      <c r="AB145" s="3" t="e">
        <f>INDEX('справочная информация'!$B$68:$H$83,MATCH('Расчет грейда'!$AA145,'справочная информация'!$A$68:$A$83,0),MATCH('Расчет грейда'!$N145,'справочная информация'!$B$67:$H$67,0))</f>
        <v>#N/A</v>
      </c>
      <c r="AC145" s="3" t="e">
        <f>INDEX('справочная информация'!$D$130:$AD$145,MATCH('Расчет грейда'!$AW145,'справочная информация'!$C$130:$C$145,0),MATCH('Расчет грейда'!$AV145,'справочная информация'!$D$129:$AD$129,0))</f>
        <v>#N/A</v>
      </c>
      <c r="AD145" s="9" t="str">
        <f t="shared" si="52"/>
        <v/>
      </c>
      <c r="AE145" s="9" t="str">
        <f t="shared" si="53"/>
        <v/>
      </c>
      <c r="AF145" s="3" t="str">
        <f>IFERROR(IF(AND(AD145="",AE145=""),"",INDEX('справочная информация'!$B$188:$Y$211,MATCH('Расчет грейда'!$AE145,'справочная информация'!$A$188:$A$211,0),MATCH('Расчет грейда'!$AD145,'справочная информация'!$B$187:$Y$187,0))),"НЕТ")</f>
        <v/>
      </c>
      <c r="AG145" s="3" t="e">
        <f>VLOOKUP(J145,'справочная информация'!$D$267:$E$274,2,0)</f>
        <v>#N/A</v>
      </c>
      <c r="AH145" s="3" t="e">
        <f>VLOOKUP(K145,'справочная информация'!$D$279:$E$283,2,0)</f>
        <v>#N/A</v>
      </c>
      <c r="AI145" s="3" t="e">
        <f>VLOOKUP(L145,'справочная информация'!$D$288:$E$290,2,0)</f>
        <v>#N/A</v>
      </c>
      <c r="AJ145" s="3" t="str">
        <f t="shared" si="54"/>
        <v/>
      </c>
      <c r="AK145" s="169" t="e">
        <f>VLOOKUP(M145,'справочная информация'!$D$294:$E$301,2,0)</f>
        <v>#N/A</v>
      </c>
      <c r="AL145" s="3" t="e">
        <f>VLOOKUP(N145,'справочная информация'!$D$306:$E$310,2,0)</f>
        <v>#N/A</v>
      </c>
      <c r="AM145" s="169" t="str">
        <f t="shared" si="55"/>
        <v>()</v>
      </c>
      <c r="AN145" s="3" t="str">
        <f t="shared" si="56"/>
        <v/>
      </c>
      <c r="AO145" s="3" t="e">
        <f>VLOOKUP(O145,'справочная информация'!$D$329:$E$336,2,0)</f>
        <v>#N/A</v>
      </c>
      <c r="AP145" s="3" t="e">
        <f>VLOOKUP(P145,'справочная информация'!$D$342:$E$349,2,0)</f>
        <v>#N/A</v>
      </c>
      <c r="AQ145" s="3" t="e">
        <f>VLOOKUP(Q145,'справочная информация'!$D$316:$E$325,2,0)</f>
        <v>#N/A</v>
      </c>
      <c r="AR145" s="3" t="str">
        <f t="shared" si="57"/>
        <v/>
      </c>
      <c r="AS145" s="170" t="str">
        <f t="shared" si="58"/>
        <v/>
      </c>
      <c r="AT145" s="3" t="str">
        <f t="shared" si="59"/>
        <v/>
      </c>
      <c r="AU145" s="3" t="e">
        <f>ABS(MATCH($AX145,'справочная информация'!$A$354:$A$391,0)-MATCH($AY145,'справочная информация'!$A$354:$A$391,0))</f>
        <v>#N/A</v>
      </c>
      <c r="AV145" s="3" t="str">
        <f>IFERROR(INDEX('справочная информация'!$B$6:$R$29,MATCH('Расчет грейда'!$Y145,'справочная информация'!$A$6:$A$29,0),MATCH('Расчет грейда'!$X145,'справочная информация'!$B$5:$R$5,0)),"")</f>
        <v/>
      </c>
      <c r="AW145" s="171" t="str">
        <f>IFERROR(INDEX('справочная информация'!$B$37:$H$52,MATCH('Расчет грейда'!$AA145,'справочная информация'!$A$37:$A$52,0),MATCH('Расчет грейда'!$N145,'справочная информация'!$B$36:$H$36,0)),"")</f>
        <v/>
      </c>
      <c r="AX145" s="122" t="str">
        <f>IFERROR(INDEX('справочная информация'!$D$108:$AD$123,MATCH('Расчет грейда'!$AW145,'справочная информация'!$C$108:$C$123,0),MATCH('Расчет грейда'!$AV145,'справочная информация'!$D$107:$AD$107,0)),"")</f>
        <v/>
      </c>
      <c r="AY145" s="133" t="str">
        <f>IFERROR(INDEX('справочная информация'!$B$158:$Y$181,MATCH('Расчет грейда'!$AE145,'справочная информация'!$A$158:$A$181,0),MATCH('Расчет грейда'!$AD145,'справочная информация'!$B$157:$Y$157,0)),"")</f>
        <v/>
      </c>
      <c r="AZ145" s="170" t="str">
        <f t="shared" si="60"/>
        <v/>
      </c>
      <c r="BA145" s="172" t="str">
        <f>IFERROR(CONCATENATE(TEXT(AZ145/INDEX('справочная информация'!$D$223:$D$261,MATCH('Расчет грейда'!$AZ145,'справочная информация'!$C$223:$C$261,1)),"0%")," - процент относительно медианы 100%. ","MIN балл на грейде ",INDEX('справочная информация'!$C$223:$C$261,MATCH('Расчет грейда'!$AZ145,'справочная информация'!$C$223:$C$261,1)),", "," MAX балл на грейде ",INDEX('справочная информация'!$E$223:$E$261,MATCH('Расчет грейда'!$AZ145,'справочная информация'!$C$223:$C$261,1))),"")</f>
        <v/>
      </c>
      <c r="BB145" s="120" t="str">
        <f t="shared" si="61"/>
        <v/>
      </c>
      <c r="BC145" s="3" t="str">
        <f t="shared" si="62"/>
        <v/>
      </c>
      <c r="BD145" s="121" t="str">
        <f>IFERROR(VLOOKUP(BC145,'справочная информация'!$B$416:$C$424,2,0),"Проверить данные, нетипичная должность")</f>
        <v>Проверить данные, нетипичная должность</v>
      </c>
      <c r="BE145" s="3" t="str">
        <f t="shared" si="63"/>
        <v/>
      </c>
      <c r="BF145" s="3" t="str">
        <f>IFERROR(INDEX('справочная информация'!$F$223:$F$261,MATCH('Расчет грейда'!$AZ145,'справочная информация'!$C$223:$C$261,1)),"")</f>
        <v/>
      </c>
    </row>
    <row r="146" spans="1:58" s="9" customFormat="1" x14ac:dyDescent="0.35">
      <c r="A146" s="120"/>
      <c r="B146" s="122"/>
      <c r="C146" s="140"/>
      <c r="D146" s="120"/>
      <c r="E146" s="120"/>
      <c r="F146" s="120"/>
      <c r="G146" s="120"/>
      <c r="H146" s="120"/>
      <c r="J146" s="142"/>
      <c r="K146" s="142"/>
      <c r="L146" s="142"/>
      <c r="R146" s="3"/>
      <c r="S146" s="138"/>
      <c r="T146" s="3"/>
      <c r="U146" s="3"/>
      <c r="V146" s="3"/>
      <c r="W146" s="3" t="str">
        <f t="shared" si="48"/>
        <v/>
      </c>
      <c r="X146" s="9" t="str">
        <f t="shared" si="49"/>
        <v/>
      </c>
      <c r="Y146" s="9" t="str">
        <f t="shared" si="50"/>
        <v/>
      </c>
      <c r="Z146" s="3" t="e">
        <f>INDEX('справочная информация'!$U$6:$AK$29,MATCH('Расчет грейда'!$Y146,'справочная информация'!$T$6:$T$29,0),MATCH('Расчет грейда'!$X146,'справочная информация'!$U$5:$AK$5,0))</f>
        <v>#N/A</v>
      </c>
      <c r="AA146" s="9" t="str">
        <f t="shared" si="51"/>
        <v/>
      </c>
      <c r="AB146" s="3" t="e">
        <f>INDEX('справочная информация'!$B$68:$H$83,MATCH('Расчет грейда'!$AA146,'справочная информация'!$A$68:$A$83,0),MATCH('Расчет грейда'!$N146,'справочная информация'!$B$67:$H$67,0))</f>
        <v>#N/A</v>
      </c>
      <c r="AC146" s="3" t="e">
        <f>INDEX('справочная информация'!$D$130:$AD$145,MATCH('Расчет грейда'!$AW146,'справочная информация'!$C$130:$C$145,0),MATCH('Расчет грейда'!$AV146,'справочная информация'!$D$129:$AD$129,0))</f>
        <v>#N/A</v>
      </c>
      <c r="AD146" s="9" t="str">
        <f t="shared" si="52"/>
        <v/>
      </c>
      <c r="AE146" s="9" t="str">
        <f t="shared" si="53"/>
        <v/>
      </c>
      <c r="AF146" s="3" t="str">
        <f>IFERROR(IF(AND(AD146="",AE146=""),"",INDEX('справочная информация'!$B$188:$Y$211,MATCH('Расчет грейда'!$AE146,'справочная информация'!$A$188:$A$211,0),MATCH('Расчет грейда'!$AD146,'справочная информация'!$B$187:$Y$187,0))),"НЕТ")</f>
        <v/>
      </c>
      <c r="AG146" s="3" t="e">
        <f>VLOOKUP(J146,'справочная информация'!$D$267:$E$274,2,0)</f>
        <v>#N/A</v>
      </c>
      <c r="AH146" s="3" t="e">
        <f>VLOOKUP(K146,'справочная информация'!$D$279:$E$283,2,0)</f>
        <v>#N/A</v>
      </c>
      <c r="AI146" s="3" t="e">
        <f>VLOOKUP(L146,'справочная информация'!$D$288:$E$290,2,0)</f>
        <v>#N/A</v>
      </c>
      <c r="AJ146" s="3" t="str">
        <f t="shared" si="54"/>
        <v/>
      </c>
      <c r="AK146" s="169" t="e">
        <f>VLOOKUP(M146,'справочная информация'!$D$294:$E$301,2,0)</f>
        <v>#N/A</v>
      </c>
      <c r="AL146" s="3" t="e">
        <f>VLOOKUP(N146,'справочная информация'!$D$306:$E$310,2,0)</f>
        <v>#N/A</v>
      </c>
      <c r="AM146" s="169" t="str">
        <f t="shared" si="55"/>
        <v>()</v>
      </c>
      <c r="AN146" s="3" t="str">
        <f t="shared" si="56"/>
        <v/>
      </c>
      <c r="AO146" s="3" t="e">
        <f>VLOOKUP(O146,'справочная информация'!$D$329:$E$336,2,0)</f>
        <v>#N/A</v>
      </c>
      <c r="AP146" s="3" t="e">
        <f>VLOOKUP(P146,'справочная информация'!$D$342:$E$349,2,0)</f>
        <v>#N/A</v>
      </c>
      <c r="AQ146" s="3" t="e">
        <f>VLOOKUP(Q146,'справочная информация'!$D$316:$E$325,2,0)</f>
        <v>#N/A</v>
      </c>
      <c r="AR146" s="3" t="str">
        <f t="shared" si="57"/>
        <v/>
      </c>
      <c r="AS146" s="170" t="str">
        <f t="shared" si="58"/>
        <v/>
      </c>
      <c r="AT146" s="3" t="str">
        <f t="shared" si="59"/>
        <v/>
      </c>
      <c r="AU146" s="3" t="e">
        <f>ABS(MATCH($AX146,'справочная информация'!$A$354:$A$391,0)-MATCH($AY146,'справочная информация'!$A$354:$A$391,0))</f>
        <v>#N/A</v>
      </c>
      <c r="AV146" s="3" t="str">
        <f>IFERROR(INDEX('справочная информация'!$B$6:$R$29,MATCH('Расчет грейда'!$Y146,'справочная информация'!$A$6:$A$29,0),MATCH('Расчет грейда'!$X146,'справочная информация'!$B$5:$R$5,0)),"")</f>
        <v/>
      </c>
      <c r="AW146" s="171" t="str">
        <f>IFERROR(INDEX('справочная информация'!$B$37:$H$52,MATCH('Расчет грейда'!$AA146,'справочная информация'!$A$37:$A$52,0),MATCH('Расчет грейда'!$N146,'справочная информация'!$B$36:$H$36,0)),"")</f>
        <v/>
      </c>
      <c r="AX146" s="122" t="str">
        <f>IFERROR(INDEX('справочная информация'!$D$108:$AD$123,MATCH('Расчет грейда'!$AW146,'справочная информация'!$C$108:$C$123,0),MATCH('Расчет грейда'!$AV146,'справочная информация'!$D$107:$AD$107,0)),"")</f>
        <v/>
      </c>
      <c r="AY146" s="133" t="str">
        <f>IFERROR(INDEX('справочная информация'!$B$158:$Y$181,MATCH('Расчет грейда'!$AE146,'справочная информация'!$A$158:$A$181,0),MATCH('Расчет грейда'!$AD146,'справочная информация'!$B$157:$Y$157,0)),"")</f>
        <v/>
      </c>
      <c r="AZ146" s="170" t="str">
        <f t="shared" si="60"/>
        <v/>
      </c>
      <c r="BA146" s="172" t="str">
        <f>IFERROR(CONCATENATE(TEXT(AZ146/INDEX('справочная информация'!$D$223:$D$261,MATCH('Расчет грейда'!$AZ146,'справочная информация'!$C$223:$C$261,1)),"0%")," - процент относительно медианы 100%. ","MIN балл на грейде ",INDEX('справочная информация'!$C$223:$C$261,MATCH('Расчет грейда'!$AZ146,'справочная информация'!$C$223:$C$261,1)),", "," MAX балл на грейде ",INDEX('справочная информация'!$E$223:$E$261,MATCH('Расчет грейда'!$AZ146,'справочная информация'!$C$223:$C$261,1))),"")</f>
        <v/>
      </c>
      <c r="BB146" s="120" t="str">
        <f t="shared" si="61"/>
        <v/>
      </c>
      <c r="BC146" s="3" t="str">
        <f t="shared" si="62"/>
        <v/>
      </c>
      <c r="BD146" s="121" t="str">
        <f>IFERROR(VLOOKUP(BC146,'справочная информация'!$B$416:$C$424,2,0),"Проверить данные, нетипичная должность")</f>
        <v>Проверить данные, нетипичная должность</v>
      </c>
      <c r="BE146" s="3" t="str">
        <f t="shared" si="63"/>
        <v/>
      </c>
      <c r="BF146" s="3" t="str">
        <f>IFERROR(INDEX('справочная информация'!$F$223:$F$261,MATCH('Расчет грейда'!$AZ146,'справочная информация'!$C$223:$C$261,1)),"")</f>
        <v/>
      </c>
    </row>
    <row r="147" spans="1:58" s="9" customFormat="1" x14ac:dyDescent="0.35">
      <c r="A147" s="120"/>
      <c r="B147" s="122"/>
      <c r="C147" s="140"/>
      <c r="D147" s="120"/>
      <c r="E147" s="120"/>
      <c r="F147" s="120"/>
      <c r="G147" s="120"/>
      <c r="H147" s="120"/>
      <c r="J147" s="142"/>
      <c r="K147" s="142"/>
      <c r="L147" s="142"/>
      <c r="R147" s="3"/>
      <c r="S147" s="138"/>
      <c r="T147" s="3"/>
      <c r="U147" s="3"/>
      <c r="V147" s="3"/>
      <c r="W147" s="3" t="str">
        <f t="shared" ref="W147:W178" si="64">IF(IFERROR(BF147-6,"")&lt;0,0,IFERROR(BF147-6,""))</f>
        <v/>
      </c>
      <c r="X147" s="9" t="str">
        <f t="shared" ref="X147:X178" si="65">CONCATENATE(K147,L147)</f>
        <v/>
      </c>
      <c r="Y147" s="9" t="str">
        <f t="shared" ref="Y147:Y178" si="66">CONCATENATE(J147,T147)</f>
        <v/>
      </c>
      <c r="Z147" s="3" t="e">
        <f>INDEX('справочная информация'!$U$6:$AK$29,MATCH('Расчет грейда'!$Y147,'справочная информация'!$T$6:$T$29,0),MATCH('Расчет грейда'!$X147,'справочная информация'!$U$5:$AK$5,0))</f>
        <v>#N/A</v>
      </c>
      <c r="AA147" s="9" t="str">
        <f t="shared" ref="AA147:AA178" si="67">CONCATENATE(M147,U147)</f>
        <v/>
      </c>
      <c r="AB147" s="3" t="e">
        <f>INDEX('справочная информация'!$B$68:$H$83,MATCH('Расчет грейда'!$AA147,'справочная информация'!$A$68:$A$83,0),MATCH('Расчет грейда'!$N147,'справочная информация'!$B$67:$H$67,0))</f>
        <v>#N/A</v>
      </c>
      <c r="AC147" s="3" t="e">
        <f>INDEX('справочная информация'!$D$130:$AD$145,MATCH('Расчет грейда'!$AW147,'справочная информация'!$C$130:$C$145,0),MATCH('Расчет грейда'!$AV147,'справочная информация'!$D$129:$AD$129,0))</f>
        <v>#N/A</v>
      </c>
      <c r="AD147" s="9" t="str">
        <f t="shared" ref="AD147:AD178" si="68">CONCATENATE(P147,Q147)</f>
        <v/>
      </c>
      <c r="AE147" s="9" t="str">
        <f t="shared" ref="AE147:AE178" si="69">CONCATENATE(O147,V147)</f>
        <v/>
      </c>
      <c r="AF147" s="3" t="str">
        <f>IFERROR(IF(AND(AD147="",AE147=""),"",INDEX('справочная информация'!$B$188:$Y$211,MATCH('Расчет грейда'!$AE147,'справочная информация'!$A$188:$A$211,0),MATCH('Расчет грейда'!$AD147,'справочная информация'!$B$187:$Y$187,0))),"НЕТ")</f>
        <v/>
      </c>
      <c r="AG147" s="3" t="e">
        <f>VLOOKUP(J147,'справочная информация'!$D$267:$E$274,2,0)</f>
        <v>#N/A</v>
      </c>
      <c r="AH147" s="3" t="e">
        <f>VLOOKUP(K147,'справочная информация'!$D$279:$E$283,2,0)</f>
        <v>#N/A</v>
      </c>
      <c r="AI147" s="3" t="e">
        <f>VLOOKUP(L147,'справочная информация'!$D$288:$E$290,2,0)</f>
        <v>#N/A</v>
      </c>
      <c r="AJ147" s="3" t="str">
        <f t="shared" ref="AJ147:AJ178" si="70">AV147</f>
        <v/>
      </c>
      <c r="AK147" s="169" t="e">
        <f>VLOOKUP(M147,'справочная информация'!$D$294:$E$301,2,0)</f>
        <v>#N/A</v>
      </c>
      <c r="AL147" s="3" t="e">
        <f>VLOOKUP(N147,'справочная информация'!$D$306:$E$310,2,0)</f>
        <v>#N/A</v>
      </c>
      <c r="AM147" s="169" t="str">
        <f t="shared" ref="AM147:AM178" si="71">CONCATENATE("(",AW147,")")</f>
        <v>()</v>
      </c>
      <c r="AN147" s="3" t="str">
        <f t="shared" ref="AN147:AN178" si="72">AX147</f>
        <v/>
      </c>
      <c r="AO147" s="3" t="e">
        <f>VLOOKUP(O147,'справочная информация'!$D$329:$E$336,2,0)</f>
        <v>#N/A</v>
      </c>
      <c r="AP147" s="3" t="e">
        <f>VLOOKUP(P147,'справочная информация'!$D$342:$E$349,2,0)</f>
        <v>#N/A</v>
      </c>
      <c r="AQ147" s="3" t="e">
        <f>VLOOKUP(Q147,'справочная информация'!$D$316:$E$325,2,0)</f>
        <v>#N/A</v>
      </c>
      <c r="AR147" s="3" t="str">
        <f t="shared" ref="AR147:AR178" si="73">AY147</f>
        <v/>
      </c>
      <c r="AS147" s="170" t="str">
        <f t="shared" ref="AS147:AS178" si="74">AZ147</f>
        <v/>
      </c>
      <c r="AT147" s="3" t="str">
        <f t="shared" ref="AT147:AT178" si="75">IF(AND(AX147="",AY147=""),"",IF(AY147&gt;AX147,"A",IF(AX147=AY147,"L","P")))</f>
        <v/>
      </c>
      <c r="AU147" s="3" t="e">
        <f>ABS(MATCH($AX147,'справочная информация'!$A$354:$A$391,0)-MATCH($AY147,'справочная информация'!$A$354:$A$391,0))</f>
        <v>#N/A</v>
      </c>
      <c r="AV147" s="3" t="str">
        <f>IFERROR(INDEX('справочная информация'!$B$6:$R$29,MATCH('Расчет грейда'!$Y147,'справочная информация'!$A$6:$A$29,0),MATCH('Расчет грейда'!$X147,'справочная информация'!$B$5:$R$5,0)),"")</f>
        <v/>
      </c>
      <c r="AW147" s="171" t="str">
        <f>IFERROR(INDEX('справочная информация'!$B$37:$H$52,MATCH('Расчет грейда'!$AA147,'справочная информация'!$A$37:$A$52,0),MATCH('Расчет грейда'!$N147,'справочная информация'!$B$36:$H$36,0)),"")</f>
        <v/>
      </c>
      <c r="AX147" s="122" t="str">
        <f>IFERROR(INDEX('справочная информация'!$D$108:$AD$123,MATCH('Расчет грейда'!$AW147,'справочная информация'!$C$108:$C$123,0),MATCH('Расчет грейда'!$AV147,'справочная информация'!$D$107:$AD$107,0)),"")</f>
        <v/>
      </c>
      <c r="AY147" s="133" t="str">
        <f>IFERROR(INDEX('справочная информация'!$B$158:$Y$181,MATCH('Расчет грейда'!$AE147,'справочная информация'!$A$158:$A$181,0),MATCH('Расчет грейда'!$AD147,'справочная информация'!$B$157:$Y$157,0)),"")</f>
        <v/>
      </c>
      <c r="AZ147" s="170" t="str">
        <f t="shared" ref="AZ147:AZ178" si="76">IFERROR(AV147+AX147+AY147,"")</f>
        <v/>
      </c>
      <c r="BA147" s="172" t="str">
        <f>IFERROR(CONCATENATE(TEXT(AZ147/INDEX('справочная информация'!$D$223:$D$261,MATCH('Расчет грейда'!$AZ147,'справочная информация'!$C$223:$C$261,1)),"0%")," - процент относительно медианы 100%. ","MIN балл на грейде ",INDEX('справочная информация'!$C$223:$C$261,MATCH('Расчет грейда'!$AZ147,'справочная информация'!$C$223:$C$261,1)),", "," MAX балл на грейде ",INDEX('справочная информация'!$E$223:$E$261,MATCH('Расчет грейда'!$AZ147,'справочная информация'!$C$223:$C$261,1))),"")</f>
        <v/>
      </c>
      <c r="BB147" s="120" t="str">
        <f t="shared" ref="BB147:BB178" si="77">IFERROR(IF(AND(AX147="",AY147=""),"",IF(AY147&gt;AX147,"Ответственный профиль (ACC)",IF(AY147=AX147,"Профиль равный (L)","Профиль решения вопросов (PS)"))),"")</f>
        <v/>
      </c>
      <c r="BC147" s="3" t="str">
        <f t="shared" ref="BC147:BC178" si="78">IFERROR(CONCATENATE(AT147,AU147),"")</f>
        <v/>
      </c>
      <c r="BD147" s="121" t="str">
        <f>IFERROR(VLOOKUP(BC147,'справочная информация'!$B$416:$C$424,2,0),"Проверить данные, нетипичная должность")</f>
        <v>Проверить данные, нетипичная должность</v>
      </c>
      <c r="BE147" s="3" t="str">
        <f t="shared" ref="BE147:BE178" si="79">IFERROR(CONCATENATE(AG147,AH147,AI147,"  ",AJ147,"  ",AK147,AL147,"  ",AM147,"  ",AN147,"  ",AO147,AP147,AQ147,"  ",AR147,"  ",AS147,"  ",BC147),"")</f>
        <v/>
      </c>
      <c r="BF147" s="3" t="str">
        <f>IFERROR(INDEX('справочная информация'!$F$223:$F$261,MATCH('Расчет грейда'!$AZ147,'справочная информация'!$C$223:$C$261,1)),"")</f>
        <v/>
      </c>
    </row>
    <row r="148" spans="1:58" s="9" customFormat="1" x14ac:dyDescent="0.35">
      <c r="A148" s="120"/>
      <c r="B148" s="122"/>
      <c r="C148" s="140"/>
      <c r="D148" s="120"/>
      <c r="E148" s="120"/>
      <c r="F148" s="120"/>
      <c r="G148" s="120"/>
      <c r="H148" s="120"/>
      <c r="J148" s="142"/>
      <c r="K148" s="142"/>
      <c r="L148" s="142"/>
      <c r="R148" s="3"/>
      <c r="S148" s="138"/>
      <c r="T148" s="3"/>
      <c r="U148" s="3"/>
      <c r="V148" s="3"/>
      <c r="W148" s="3" t="str">
        <f t="shared" si="64"/>
        <v/>
      </c>
      <c r="X148" s="9" t="str">
        <f t="shared" si="65"/>
        <v/>
      </c>
      <c r="Y148" s="9" t="str">
        <f t="shared" si="66"/>
        <v/>
      </c>
      <c r="Z148" s="3" t="e">
        <f>INDEX('справочная информация'!$U$6:$AK$29,MATCH('Расчет грейда'!$Y148,'справочная информация'!$T$6:$T$29,0),MATCH('Расчет грейда'!$X148,'справочная информация'!$U$5:$AK$5,0))</f>
        <v>#N/A</v>
      </c>
      <c r="AA148" s="9" t="str">
        <f t="shared" si="67"/>
        <v/>
      </c>
      <c r="AB148" s="3" t="e">
        <f>INDEX('справочная информация'!$B$68:$H$83,MATCH('Расчет грейда'!$AA148,'справочная информация'!$A$68:$A$83,0),MATCH('Расчет грейда'!$N148,'справочная информация'!$B$67:$H$67,0))</f>
        <v>#N/A</v>
      </c>
      <c r="AC148" s="3" t="e">
        <f>INDEX('справочная информация'!$D$130:$AD$145,MATCH('Расчет грейда'!$AW148,'справочная информация'!$C$130:$C$145,0),MATCH('Расчет грейда'!$AV148,'справочная информация'!$D$129:$AD$129,0))</f>
        <v>#N/A</v>
      </c>
      <c r="AD148" s="9" t="str">
        <f t="shared" si="68"/>
        <v/>
      </c>
      <c r="AE148" s="9" t="str">
        <f t="shared" si="69"/>
        <v/>
      </c>
      <c r="AF148" s="3" t="str">
        <f>IFERROR(IF(AND(AD148="",AE148=""),"",INDEX('справочная информация'!$B$188:$Y$211,MATCH('Расчет грейда'!$AE148,'справочная информация'!$A$188:$A$211,0),MATCH('Расчет грейда'!$AD148,'справочная информация'!$B$187:$Y$187,0))),"НЕТ")</f>
        <v/>
      </c>
      <c r="AG148" s="3" t="e">
        <f>VLOOKUP(J148,'справочная информация'!$D$267:$E$274,2,0)</f>
        <v>#N/A</v>
      </c>
      <c r="AH148" s="3" t="e">
        <f>VLOOKUP(K148,'справочная информация'!$D$279:$E$283,2,0)</f>
        <v>#N/A</v>
      </c>
      <c r="AI148" s="3" t="e">
        <f>VLOOKUP(L148,'справочная информация'!$D$288:$E$290,2,0)</f>
        <v>#N/A</v>
      </c>
      <c r="AJ148" s="3" t="str">
        <f t="shared" si="70"/>
        <v/>
      </c>
      <c r="AK148" s="169" t="e">
        <f>VLOOKUP(M148,'справочная информация'!$D$294:$E$301,2,0)</f>
        <v>#N/A</v>
      </c>
      <c r="AL148" s="3" t="e">
        <f>VLOOKUP(N148,'справочная информация'!$D$306:$E$310,2,0)</f>
        <v>#N/A</v>
      </c>
      <c r="AM148" s="169" t="str">
        <f t="shared" si="71"/>
        <v>()</v>
      </c>
      <c r="AN148" s="3" t="str">
        <f t="shared" si="72"/>
        <v/>
      </c>
      <c r="AO148" s="3" t="e">
        <f>VLOOKUP(O148,'справочная информация'!$D$329:$E$336,2,0)</f>
        <v>#N/A</v>
      </c>
      <c r="AP148" s="3" t="e">
        <f>VLOOKUP(P148,'справочная информация'!$D$342:$E$349,2,0)</f>
        <v>#N/A</v>
      </c>
      <c r="AQ148" s="3" t="e">
        <f>VLOOKUP(Q148,'справочная информация'!$D$316:$E$325,2,0)</f>
        <v>#N/A</v>
      </c>
      <c r="AR148" s="3" t="str">
        <f t="shared" si="73"/>
        <v/>
      </c>
      <c r="AS148" s="170" t="str">
        <f t="shared" si="74"/>
        <v/>
      </c>
      <c r="AT148" s="3" t="str">
        <f t="shared" si="75"/>
        <v/>
      </c>
      <c r="AU148" s="3" t="e">
        <f>ABS(MATCH($AX148,'справочная информация'!$A$354:$A$391,0)-MATCH($AY148,'справочная информация'!$A$354:$A$391,0))</f>
        <v>#N/A</v>
      </c>
      <c r="AV148" s="3" t="str">
        <f>IFERROR(INDEX('справочная информация'!$B$6:$R$29,MATCH('Расчет грейда'!$Y148,'справочная информация'!$A$6:$A$29,0),MATCH('Расчет грейда'!$X148,'справочная информация'!$B$5:$R$5,0)),"")</f>
        <v/>
      </c>
      <c r="AW148" s="171" t="str">
        <f>IFERROR(INDEX('справочная информация'!$B$37:$H$52,MATCH('Расчет грейда'!$AA148,'справочная информация'!$A$37:$A$52,0),MATCH('Расчет грейда'!$N148,'справочная информация'!$B$36:$H$36,0)),"")</f>
        <v/>
      </c>
      <c r="AX148" s="122" t="str">
        <f>IFERROR(INDEX('справочная информация'!$D$108:$AD$123,MATCH('Расчет грейда'!$AW148,'справочная информация'!$C$108:$C$123,0),MATCH('Расчет грейда'!$AV148,'справочная информация'!$D$107:$AD$107,0)),"")</f>
        <v/>
      </c>
      <c r="AY148" s="133" t="str">
        <f>IFERROR(INDEX('справочная информация'!$B$158:$Y$181,MATCH('Расчет грейда'!$AE148,'справочная информация'!$A$158:$A$181,0),MATCH('Расчет грейда'!$AD148,'справочная информация'!$B$157:$Y$157,0)),"")</f>
        <v/>
      </c>
      <c r="AZ148" s="170" t="str">
        <f t="shared" si="76"/>
        <v/>
      </c>
      <c r="BA148" s="172" t="str">
        <f>IFERROR(CONCATENATE(TEXT(AZ148/INDEX('справочная информация'!$D$223:$D$261,MATCH('Расчет грейда'!$AZ148,'справочная информация'!$C$223:$C$261,1)),"0%")," - процент относительно медианы 100%. ","MIN балл на грейде ",INDEX('справочная информация'!$C$223:$C$261,MATCH('Расчет грейда'!$AZ148,'справочная информация'!$C$223:$C$261,1)),", "," MAX балл на грейде ",INDEX('справочная информация'!$E$223:$E$261,MATCH('Расчет грейда'!$AZ148,'справочная информация'!$C$223:$C$261,1))),"")</f>
        <v/>
      </c>
      <c r="BB148" s="120" t="str">
        <f t="shared" si="77"/>
        <v/>
      </c>
      <c r="BC148" s="3" t="str">
        <f t="shared" si="78"/>
        <v/>
      </c>
      <c r="BD148" s="121" t="str">
        <f>IFERROR(VLOOKUP(BC148,'справочная информация'!$B$416:$C$424,2,0),"Проверить данные, нетипичная должность")</f>
        <v>Проверить данные, нетипичная должность</v>
      </c>
      <c r="BE148" s="3" t="str">
        <f t="shared" si="79"/>
        <v/>
      </c>
      <c r="BF148" s="3" t="str">
        <f>IFERROR(INDEX('справочная информация'!$F$223:$F$261,MATCH('Расчет грейда'!$AZ148,'справочная информация'!$C$223:$C$261,1)),"")</f>
        <v/>
      </c>
    </row>
    <row r="149" spans="1:58" s="9" customFormat="1" x14ac:dyDescent="0.35">
      <c r="A149" s="120"/>
      <c r="B149" s="122"/>
      <c r="C149" s="140"/>
      <c r="D149" s="120"/>
      <c r="E149" s="120"/>
      <c r="F149" s="120"/>
      <c r="G149" s="120"/>
      <c r="H149" s="120"/>
      <c r="J149" s="142"/>
      <c r="K149" s="142"/>
      <c r="L149" s="142"/>
      <c r="R149" s="3"/>
      <c r="S149" s="138"/>
      <c r="T149" s="3"/>
      <c r="U149" s="3"/>
      <c r="V149" s="3"/>
      <c r="W149" s="3" t="str">
        <f t="shared" si="64"/>
        <v/>
      </c>
      <c r="X149" s="9" t="str">
        <f t="shared" si="65"/>
        <v/>
      </c>
      <c r="Y149" s="9" t="str">
        <f t="shared" si="66"/>
        <v/>
      </c>
      <c r="Z149" s="3" t="e">
        <f>INDEX('справочная информация'!$U$6:$AK$29,MATCH('Расчет грейда'!$Y149,'справочная информация'!$T$6:$T$29,0),MATCH('Расчет грейда'!$X149,'справочная информация'!$U$5:$AK$5,0))</f>
        <v>#N/A</v>
      </c>
      <c r="AA149" s="9" t="str">
        <f t="shared" si="67"/>
        <v/>
      </c>
      <c r="AB149" s="3" t="e">
        <f>INDEX('справочная информация'!$B$68:$H$83,MATCH('Расчет грейда'!$AA149,'справочная информация'!$A$68:$A$83,0),MATCH('Расчет грейда'!$N149,'справочная информация'!$B$67:$H$67,0))</f>
        <v>#N/A</v>
      </c>
      <c r="AC149" s="3" t="e">
        <f>INDEX('справочная информация'!$D$130:$AD$145,MATCH('Расчет грейда'!$AW149,'справочная информация'!$C$130:$C$145,0),MATCH('Расчет грейда'!$AV149,'справочная информация'!$D$129:$AD$129,0))</f>
        <v>#N/A</v>
      </c>
      <c r="AD149" s="9" t="str">
        <f t="shared" si="68"/>
        <v/>
      </c>
      <c r="AE149" s="9" t="str">
        <f t="shared" si="69"/>
        <v/>
      </c>
      <c r="AF149" s="3" t="str">
        <f>IFERROR(IF(AND(AD149="",AE149=""),"",INDEX('справочная информация'!$B$188:$Y$211,MATCH('Расчет грейда'!$AE149,'справочная информация'!$A$188:$A$211,0),MATCH('Расчет грейда'!$AD149,'справочная информация'!$B$187:$Y$187,0))),"НЕТ")</f>
        <v/>
      </c>
      <c r="AG149" s="3" t="e">
        <f>VLOOKUP(J149,'справочная информация'!$D$267:$E$274,2,0)</f>
        <v>#N/A</v>
      </c>
      <c r="AH149" s="3" t="e">
        <f>VLOOKUP(K149,'справочная информация'!$D$279:$E$283,2,0)</f>
        <v>#N/A</v>
      </c>
      <c r="AI149" s="3" t="e">
        <f>VLOOKUP(L149,'справочная информация'!$D$288:$E$290,2,0)</f>
        <v>#N/A</v>
      </c>
      <c r="AJ149" s="3" t="str">
        <f t="shared" si="70"/>
        <v/>
      </c>
      <c r="AK149" s="169" t="e">
        <f>VLOOKUP(M149,'справочная информация'!$D$294:$E$301,2,0)</f>
        <v>#N/A</v>
      </c>
      <c r="AL149" s="3" t="e">
        <f>VLOOKUP(N149,'справочная информация'!$D$306:$E$310,2,0)</f>
        <v>#N/A</v>
      </c>
      <c r="AM149" s="169" t="str">
        <f t="shared" si="71"/>
        <v>()</v>
      </c>
      <c r="AN149" s="3" t="str">
        <f t="shared" si="72"/>
        <v/>
      </c>
      <c r="AO149" s="3" t="e">
        <f>VLOOKUP(O149,'справочная информация'!$D$329:$E$336,2,0)</f>
        <v>#N/A</v>
      </c>
      <c r="AP149" s="3" t="e">
        <f>VLOOKUP(P149,'справочная информация'!$D$342:$E$349,2,0)</f>
        <v>#N/A</v>
      </c>
      <c r="AQ149" s="3" t="e">
        <f>VLOOKUP(Q149,'справочная информация'!$D$316:$E$325,2,0)</f>
        <v>#N/A</v>
      </c>
      <c r="AR149" s="3" t="str">
        <f t="shared" si="73"/>
        <v/>
      </c>
      <c r="AS149" s="170" t="str">
        <f t="shared" si="74"/>
        <v/>
      </c>
      <c r="AT149" s="3" t="str">
        <f t="shared" si="75"/>
        <v/>
      </c>
      <c r="AU149" s="3" t="e">
        <f>ABS(MATCH($AX149,'справочная информация'!$A$354:$A$391,0)-MATCH($AY149,'справочная информация'!$A$354:$A$391,0))</f>
        <v>#N/A</v>
      </c>
      <c r="AV149" s="3" t="str">
        <f>IFERROR(INDEX('справочная информация'!$B$6:$R$29,MATCH('Расчет грейда'!$Y149,'справочная информация'!$A$6:$A$29,0),MATCH('Расчет грейда'!$X149,'справочная информация'!$B$5:$R$5,0)),"")</f>
        <v/>
      </c>
      <c r="AW149" s="171" t="str">
        <f>IFERROR(INDEX('справочная информация'!$B$37:$H$52,MATCH('Расчет грейда'!$AA149,'справочная информация'!$A$37:$A$52,0),MATCH('Расчет грейда'!$N149,'справочная информация'!$B$36:$H$36,0)),"")</f>
        <v/>
      </c>
      <c r="AX149" s="122" t="str">
        <f>IFERROR(INDEX('справочная информация'!$D$108:$AD$123,MATCH('Расчет грейда'!$AW149,'справочная информация'!$C$108:$C$123,0),MATCH('Расчет грейда'!$AV149,'справочная информация'!$D$107:$AD$107,0)),"")</f>
        <v/>
      </c>
      <c r="AY149" s="133" t="str">
        <f>IFERROR(INDEX('справочная информация'!$B$158:$Y$181,MATCH('Расчет грейда'!$AE149,'справочная информация'!$A$158:$A$181,0),MATCH('Расчет грейда'!$AD149,'справочная информация'!$B$157:$Y$157,0)),"")</f>
        <v/>
      </c>
      <c r="AZ149" s="170" t="str">
        <f t="shared" si="76"/>
        <v/>
      </c>
      <c r="BA149" s="172" t="str">
        <f>IFERROR(CONCATENATE(TEXT(AZ149/INDEX('справочная информация'!$D$223:$D$261,MATCH('Расчет грейда'!$AZ149,'справочная информация'!$C$223:$C$261,1)),"0%")," - процент относительно медианы 100%. ","MIN балл на грейде ",INDEX('справочная информация'!$C$223:$C$261,MATCH('Расчет грейда'!$AZ149,'справочная информация'!$C$223:$C$261,1)),", "," MAX балл на грейде ",INDEX('справочная информация'!$E$223:$E$261,MATCH('Расчет грейда'!$AZ149,'справочная информация'!$C$223:$C$261,1))),"")</f>
        <v/>
      </c>
      <c r="BB149" s="120" t="str">
        <f t="shared" si="77"/>
        <v/>
      </c>
      <c r="BC149" s="3" t="str">
        <f t="shared" si="78"/>
        <v/>
      </c>
      <c r="BD149" s="121" t="str">
        <f>IFERROR(VLOOKUP(BC149,'справочная информация'!$B$416:$C$424,2,0),"Проверить данные, нетипичная должность")</f>
        <v>Проверить данные, нетипичная должность</v>
      </c>
      <c r="BE149" s="3" t="str">
        <f t="shared" si="79"/>
        <v/>
      </c>
      <c r="BF149" s="3" t="str">
        <f>IFERROR(INDEX('справочная информация'!$F$223:$F$261,MATCH('Расчет грейда'!$AZ149,'справочная информация'!$C$223:$C$261,1)),"")</f>
        <v/>
      </c>
    </row>
    <row r="150" spans="1:58" s="9" customFormat="1" x14ac:dyDescent="0.35">
      <c r="A150" s="120"/>
      <c r="B150" s="122"/>
      <c r="C150" s="140"/>
      <c r="D150" s="120"/>
      <c r="E150" s="120"/>
      <c r="F150" s="120"/>
      <c r="G150" s="120"/>
      <c r="H150" s="120"/>
      <c r="J150" s="142"/>
      <c r="K150" s="142"/>
      <c r="L150" s="142"/>
      <c r="R150" s="3"/>
      <c r="S150" s="138"/>
      <c r="T150" s="3"/>
      <c r="U150" s="3"/>
      <c r="V150" s="3"/>
      <c r="W150" s="3" t="str">
        <f t="shared" si="64"/>
        <v/>
      </c>
      <c r="X150" s="9" t="str">
        <f t="shared" si="65"/>
        <v/>
      </c>
      <c r="Y150" s="9" t="str">
        <f t="shared" si="66"/>
        <v/>
      </c>
      <c r="Z150" s="3" t="e">
        <f>INDEX('справочная информация'!$U$6:$AK$29,MATCH('Расчет грейда'!$Y150,'справочная информация'!$T$6:$T$29,0),MATCH('Расчет грейда'!$X150,'справочная информация'!$U$5:$AK$5,0))</f>
        <v>#N/A</v>
      </c>
      <c r="AA150" s="9" t="str">
        <f t="shared" si="67"/>
        <v/>
      </c>
      <c r="AB150" s="3" t="e">
        <f>INDEX('справочная информация'!$B$68:$H$83,MATCH('Расчет грейда'!$AA150,'справочная информация'!$A$68:$A$83,0),MATCH('Расчет грейда'!$N150,'справочная информация'!$B$67:$H$67,0))</f>
        <v>#N/A</v>
      </c>
      <c r="AC150" s="3" t="e">
        <f>INDEX('справочная информация'!$D$130:$AD$145,MATCH('Расчет грейда'!$AW150,'справочная информация'!$C$130:$C$145,0),MATCH('Расчет грейда'!$AV150,'справочная информация'!$D$129:$AD$129,0))</f>
        <v>#N/A</v>
      </c>
      <c r="AD150" s="9" t="str">
        <f t="shared" si="68"/>
        <v/>
      </c>
      <c r="AE150" s="9" t="str">
        <f t="shared" si="69"/>
        <v/>
      </c>
      <c r="AF150" s="3" t="str">
        <f>IFERROR(IF(AND(AD150="",AE150=""),"",INDEX('справочная информация'!$B$188:$Y$211,MATCH('Расчет грейда'!$AE150,'справочная информация'!$A$188:$A$211,0),MATCH('Расчет грейда'!$AD150,'справочная информация'!$B$187:$Y$187,0))),"НЕТ")</f>
        <v/>
      </c>
      <c r="AG150" s="3" t="e">
        <f>VLOOKUP(J150,'справочная информация'!$D$267:$E$274,2,0)</f>
        <v>#N/A</v>
      </c>
      <c r="AH150" s="3" t="e">
        <f>VLOOKUP(K150,'справочная информация'!$D$279:$E$283,2,0)</f>
        <v>#N/A</v>
      </c>
      <c r="AI150" s="3" t="e">
        <f>VLOOKUP(L150,'справочная информация'!$D$288:$E$290,2,0)</f>
        <v>#N/A</v>
      </c>
      <c r="AJ150" s="3" t="str">
        <f t="shared" si="70"/>
        <v/>
      </c>
      <c r="AK150" s="169" t="e">
        <f>VLOOKUP(M150,'справочная информация'!$D$294:$E$301,2,0)</f>
        <v>#N/A</v>
      </c>
      <c r="AL150" s="3" t="e">
        <f>VLOOKUP(N150,'справочная информация'!$D$306:$E$310,2,0)</f>
        <v>#N/A</v>
      </c>
      <c r="AM150" s="169" t="str">
        <f t="shared" si="71"/>
        <v>()</v>
      </c>
      <c r="AN150" s="3" t="str">
        <f t="shared" si="72"/>
        <v/>
      </c>
      <c r="AO150" s="3" t="e">
        <f>VLOOKUP(O150,'справочная информация'!$D$329:$E$336,2,0)</f>
        <v>#N/A</v>
      </c>
      <c r="AP150" s="3" t="e">
        <f>VLOOKUP(P150,'справочная информация'!$D$342:$E$349,2,0)</f>
        <v>#N/A</v>
      </c>
      <c r="AQ150" s="3" t="e">
        <f>VLOOKUP(Q150,'справочная информация'!$D$316:$E$325,2,0)</f>
        <v>#N/A</v>
      </c>
      <c r="AR150" s="3" t="str">
        <f t="shared" si="73"/>
        <v/>
      </c>
      <c r="AS150" s="170" t="str">
        <f t="shared" si="74"/>
        <v/>
      </c>
      <c r="AT150" s="3" t="str">
        <f t="shared" si="75"/>
        <v/>
      </c>
      <c r="AU150" s="3" t="e">
        <f>ABS(MATCH($AX150,'справочная информация'!$A$354:$A$391,0)-MATCH($AY150,'справочная информация'!$A$354:$A$391,0))</f>
        <v>#N/A</v>
      </c>
      <c r="AV150" s="3" t="str">
        <f>IFERROR(INDEX('справочная информация'!$B$6:$R$29,MATCH('Расчет грейда'!$Y150,'справочная информация'!$A$6:$A$29,0),MATCH('Расчет грейда'!$X150,'справочная информация'!$B$5:$R$5,0)),"")</f>
        <v/>
      </c>
      <c r="AW150" s="171" t="str">
        <f>IFERROR(INDEX('справочная информация'!$B$37:$H$52,MATCH('Расчет грейда'!$AA150,'справочная информация'!$A$37:$A$52,0),MATCH('Расчет грейда'!$N150,'справочная информация'!$B$36:$H$36,0)),"")</f>
        <v/>
      </c>
      <c r="AX150" s="122" t="str">
        <f>IFERROR(INDEX('справочная информация'!$D$108:$AD$123,MATCH('Расчет грейда'!$AW150,'справочная информация'!$C$108:$C$123,0),MATCH('Расчет грейда'!$AV150,'справочная информация'!$D$107:$AD$107,0)),"")</f>
        <v/>
      </c>
      <c r="AY150" s="133" t="str">
        <f>IFERROR(INDEX('справочная информация'!$B$158:$Y$181,MATCH('Расчет грейда'!$AE150,'справочная информация'!$A$158:$A$181,0),MATCH('Расчет грейда'!$AD150,'справочная информация'!$B$157:$Y$157,0)),"")</f>
        <v/>
      </c>
      <c r="AZ150" s="170" t="str">
        <f t="shared" si="76"/>
        <v/>
      </c>
      <c r="BA150" s="172" t="str">
        <f>IFERROR(CONCATENATE(TEXT(AZ150/INDEX('справочная информация'!$D$223:$D$261,MATCH('Расчет грейда'!$AZ150,'справочная информация'!$C$223:$C$261,1)),"0%")," - процент относительно медианы 100%. ","MIN балл на грейде ",INDEX('справочная информация'!$C$223:$C$261,MATCH('Расчет грейда'!$AZ150,'справочная информация'!$C$223:$C$261,1)),", "," MAX балл на грейде ",INDEX('справочная информация'!$E$223:$E$261,MATCH('Расчет грейда'!$AZ150,'справочная информация'!$C$223:$C$261,1))),"")</f>
        <v/>
      </c>
      <c r="BB150" s="120" t="str">
        <f t="shared" si="77"/>
        <v/>
      </c>
      <c r="BC150" s="3" t="str">
        <f t="shared" si="78"/>
        <v/>
      </c>
      <c r="BD150" s="121" t="str">
        <f>IFERROR(VLOOKUP(BC150,'справочная информация'!$B$416:$C$424,2,0),"Проверить данные, нетипичная должность")</f>
        <v>Проверить данные, нетипичная должность</v>
      </c>
      <c r="BE150" s="3" t="str">
        <f t="shared" si="79"/>
        <v/>
      </c>
      <c r="BF150" s="3" t="str">
        <f>IFERROR(INDEX('справочная информация'!$F$223:$F$261,MATCH('Расчет грейда'!$AZ150,'справочная информация'!$C$223:$C$261,1)),"")</f>
        <v/>
      </c>
    </row>
    <row r="151" spans="1:58" s="9" customFormat="1" x14ac:dyDescent="0.35">
      <c r="A151" s="120"/>
      <c r="B151" s="122"/>
      <c r="C151" s="140"/>
      <c r="D151" s="120"/>
      <c r="E151" s="120"/>
      <c r="F151" s="120"/>
      <c r="G151" s="120"/>
      <c r="H151" s="120"/>
      <c r="J151" s="142"/>
      <c r="K151" s="142"/>
      <c r="L151" s="142"/>
      <c r="R151" s="3"/>
      <c r="S151" s="138"/>
      <c r="T151" s="3"/>
      <c r="U151" s="3"/>
      <c r="V151" s="3"/>
      <c r="W151" s="3" t="str">
        <f t="shared" si="64"/>
        <v/>
      </c>
      <c r="X151" s="9" t="str">
        <f t="shared" si="65"/>
        <v/>
      </c>
      <c r="Y151" s="9" t="str">
        <f t="shared" si="66"/>
        <v/>
      </c>
      <c r="Z151" s="3" t="e">
        <f>INDEX('справочная информация'!$U$6:$AK$29,MATCH('Расчет грейда'!$Y151,'справочная информация'!$T$6:$T$29,0),MATCH('Расчет грейда'!$X151,'справочная информация'!$U$5:$AK$5,0))</f>
        <v>#N/A</v>
      </c>
      <c r="AA151" s="9" t="str">
        <f t="shared" si="67"/>
        <v/>
      </c>
      <c r="AB151" s="3" t="e">
        <f>INDEX('справочная информация'!$B$68:$H$83,MATCH('Расчет грейда'!$AA151,'справочная информация'!$A$68:$A$83,0),MATCH('Расчет грейда'!$N151,'справочная информация'!$B$67:$H$67,0))</f>
        <v>#N/A</v>
      </c>
      <c r="AC151" s="3" t="e">
        <f>INDEX('справочная информация'!$D$130:$AD$145,MATCH('Расчет грейда'!$AW151,'справочная информация'!$C$130:$C$145,0),MATCH('Расчет грейда'!$AV151,'справочная информация'!$D$129:$AD$129,0))</f>
        <v>#N/A</v>
      </c>
      <c r="AD151" s="9" t="str">
        <f t="shared" si="68"/>
        <v/>
      </c>
      <c r="AE151" s="9" t="str">
        <f t="shared" si="69"/>
        <v/>
      </c>
      <c r="AF151" s="3" t="str">
        <f>IFERROR(IF(AND(AD151="",AE151=""),"",INDEX('справочная информация'!$B$188:$Y$211,MATCH('Расчет грейда'!$AE151,'справочная информация'!$A$188:$A$211,0),MATCH('Расчет грейда'!$AD151,'справочная информация'!$B$187:$Y$187,0))),"НЕТ")</f>
        <v/>
      </c>
      <c r="AG151" s="3" t="e">
        <f>VLOOKUP(J151,'справочная информация'!$D$267:$E$274,2,0)</f>
        <v>#N/A</v>
      </c>
      <c r="AH151" s="3" t="e">
        <f>VLOOKUP(K151,'справочная информация'!$D$279:$E$283,2,0)</f>
        <v>#N/A</v>
      </c>
      <c r="AI151" s="3" t="e">
        <f>VLOOKUP(L151,'справочная информация'!$D$288:$E$290,2,0)</f>
        <v>#N/A</v>
      </c>
      <c r="AJ151" s="3" t="str">
        <f t="shared" si="70"/>
        <v/>
      </c>
      <c r="AK151" s="169" t="e">
        <f>VLOOKUP(M151,'справочная информация'!$D$294:$E$301,2,0)</f>
        <v>#N/A</v>
      </c>
      <c r="AL151" s="3" t="e">
        <f>VLOOKUP(N151,'справочная информация'!$D$306:$E$310,2,0)</f>
        <v>#N/A</v>
      </c>
      <c r="AM151" s="169" t="str">
        <f t="shared" si="71"/>
        <v>()</v>
      </c>
      <c r="AN151" s="3" t="str">
        <f t="shared" si="72"/>
        <v/>
      </c>
      <c r="AO151" s="3" t="e">
        <f>VLOOKUP(O151,'справочная информация'!$D$329:$E$336,2,0)</f>
        <v>#N/A</v>
      </c>
      <c r="AP151" s="3" t="e">
        <f>VLOOKUP(P151,'справочная информация'!$D$342:$E$349,2,0)</f>
        <v>#N/A</v>
      </c>
      <c r="AQ151" s="3" t="e">
        <f>VLOOKUP(Q151,'справочная информация'!$D$316:$E$325,2,0)</f>
        <v>#N/A</v>
      </c>
      <c r="AR151" s="3" t="str">
        <f t="shared" si="73"/>
        <v/>
      </c>
      <c r="AS151" s="170" t="str">
        <f t="shared" si="74"/>
        <v/>
      </c>
      <c r="AT151" s="3" t="str">
        <f t="shared" si="75"/>
        <v/>
      </c>
      <c r="AU151" s="3" t="e">
        <f>ABS(MATCH($AX151,'справочная информация'!$A$354:$A$391,0)-MATCH($AY151,'справочная информация'!$A$354:$A$391,0))</f>
        <v>#N/A</v>
      </c>
      <c r="AV151" s="3" t="str">
        <f>IFERROR(INDEX('справочная информация'!$B$6:$R$29,MATCH('Расчет грейда'!$Y151,'справочная информация'!$A$6:$A$29,0),MATCH('Расчет грейда'!$X151,'справочная информация'!$B$5:$R$5,0)),"")</f>
        <v/>
      </c>
      <c r="AW151" s="171" t="str">
        <f>IFERROR(INDEX('справочная информация'!$B$37:$H$52,MATCH('Расчет грейда'!$AA151,'справочная информация'!$A$37:$A$52,0),MATCH('Расчет грейда'!$N151,'справочная информация'!$B$36:$H$36,0)),"")</f>
        <v/>
      </c>
      <c r="AX151" s="122" t="str">
        <f>IFERROR(INDEX('справочная информация'!$D$108:$AD$123,MATCH('Расчет грейда'!$AW151,'справочная информация'!$C$108:$C$123,0),MATCH('Расчет грейда'!$AV151,'справочная информация'!$D$107:$AD$107,0)),"")</f>
        <v/>
      </c>
      <c r="AY151" s="133" t="str">
        <f>IFERROR(INDEX('справочная информация'!$B$158:$Y$181,MATCH('Расчет грейда'!$AE151,'справочная информация'!$A$158:$A$181,0),MATCH('Расчет грейда'!$AD151,'справочная информация'!$B$157:$Y$157,0)),"")</f>
        <v/>
      </c>
      <c r="AZ151" s="170" t="str">
        <f t="shared" si="76"/>
        <v/>
      </c>
      <c r="BA151" s="172" t="str">
        <f>IFERROR(CONCATENATE(TEXT(AZ151/INDEX('справочная информация'!$D$223:$D$261,MATCH('Расчет грейда'!$AZ151,'справочная информация'!$C$223:$C$261,1)),"0%")," - процент относительно медианы 100%. ","MIN балл на грейде ",INDEX('справочная информация'!$C$223:$C$261,MATCH('Расчет грейда'!$AZ151,'справочная информация'!$C$223:$C$261,1)),", "," MAX балл на грейде ",INDEX('справочная информация'!$E$223:$E$261,MATCH('Расчет грейда'!$AZ151,'справочная информация'!$C$223:$C$261,1))),"")</f>
        <v/>
      </c>
      <c r="BB151" s="120" t="str">
        <f t="shared" si="77"/>
        <v/>
      </c>
      <c r="BC151" s="3" t="str">
        <f t="shared" si="78"/>
        <v/>
      </c>
      <c r="BD151" s="121" t="str">
        <f>IFERROR(VLOOKUP(BC151,'справочная информация'!$B$416:$C$424,2,0),"Проверить данные, нетипичная должность")</f>
        <v>Проверить данные, нетипичная должность</v>
      </c>
      <c r="BE151" s="3" t="str">
        <f t="shared" si="79"/>
        <v/>
      </c>
      <c r="BF151" s="3" t="str">
        <f>IFERROR(INDEX('справочная информация'!$F$223:$F$261,MATCH('Расчет грейда'!$AZ151,'справочная информация'!$C$223:$C$261,1)),"")</f>
        <v/>
      </c>
    </row>
    <row r="152" spans="1:58" s="9" customFormat="1" x14ac:dyDescent="0.35">
      <c r="A152" s="120"/>
      <c r="B152" s="122"/>
      <c r="C152" s="140"/>
      <c r="D152" s="120"/>
      <c r="E152" s="120"/>
      <c r="F152" s="120"/>
      <c r="G152" s="120"/>
      <c r="H152" s="120"/>
      <c r="J152" s="142"/>
      <c r="K152" s="142"/>
      <c r="L152" s="142"/>
      <c r="R152" s="3"/>
      <c r="S152" s="138"/>
      <c r="T152" s="3"/>
      <c r="U152" s="3"/>
      <c r="V152" s="3"/>
      <c r="W152" s="3" t="str">
        <f t="shared" si="64"/>
        <v/>
      </c>
      <c r="X152" s="9" t="str">
        <f t="shared" si="65"/>
        <v/>
      </c>
      <c r="Y152" s="9" t="str">
        <f t="shared" si="66"/>
        <v/>
      </c>
      <c r="Z152" s="3" t="e">
        <f>INDEX('справочная информация'!$U$6:$AK$29,MATCH('Расчет грейда'!$Y152,'справочная информация'!$T$6:$T$29,0),MATCH('Расчет грейда'!$X152,'справочная информация'!$U$5:$AK$5,0))</f>
        <v>#N/A</v>
      </c>
      <c r="AA152" s="9" t="str">
        <f t="shared" si="67"/>
        <v/>
      </c>
      <c r="AB152" s="3" t="e">
        <f>INDEX('справочная информация'!$B$68:$H$83,MATCH('Расчет грейда'!$AA152,'справочная информация'!$A$68:$A$83,0),MATCH('Расчет грейда'!$N152,'справочная информация'!$B$67:$H$67,0))</f>
        <v>#N/A</v>
      </c>
      <c r="AC152" s="3" t="e">
        <f>INDEX('справочная информация'!$D$130:$AD$145,MATCH('Расчет грейда'!$AW152,'справочная информация'!$C$130:$C$145,0),MATCH('Расчет грейда'!$AV152,'справочная информация'!$D$129:$AD$129,0))</f>
        <v>#N/A</v>
      </c>
      <c r="AD152" s="9" t="str">
        <f t="shared" si="68"/>
        <v/>
      </c>
      <c r="AE152" s="9" t="str">
        <f t="shared" si="69"/>
        <v/>
      </c>
      <c r="AF152" s="3" t="str">
        <f>IFERROR(IF(AND(AD152="",AE152=""),"",INDEX('справочная информация'!$B$188:$Y$211,MATCH('Расчет грейда'!$AE152,'справочная информация'!$A$188:$A$211,0),MATCH('Расчет грейда'!$AD152,'справочная информация'!$B$187:$Y$187,0))),"НЕТ")</f>
        <v/>
      </c>
      <c r="AG152" s="3" t="e">
        <f>VLOOKUP(J152,'справочная информация'!$D$267:$E$274,2,0)</f>
        <v>#N/A</v>
      </c>
      <c r="AH152" s="3" t="e">
        <f>VLOOKUP(K152,'справочная информация'!$D$279:$E$283,2,0)</f>
        <v>#N/A</v>
      </c>
      <c r="AI152" s="3" t="e">
        <f>VLOOKUP(L152,'справочная информация'!$D$288:$E$290,2,0)</f>
        <v>#N/A</v>
      </c>
      <c r="AJ152" s="3" t="str">
        <f t="shared" si="70"/>
        <v/>
      </c>
      <c r="AK152" s="169" t="e">
        <f>VLOOKUP(M152,'справочная информация'!$D$294:$E$301,2,0)</f>
        <v>#N/A</v>
      </c>
      <c r="AL152" s="3" t="e">
        <f>VLOOKUP(N152,'справочная информация'!$D$306:$E$310,2,0)</f>
        <v>#N/A</v>
      </c>
      <c r="AM152" s="169" t="str">
        <f t="shared" si="71"/>
        <v>()</v>
      </c>
      <c r="AN152" s="3" t="str">
        <f t="shared" si="72"/>
        <v/>
      </c>
      <c r="AO152" s="3" t="e">
        <f>VLOOKUP(O152,'справочная информация'!$D$329:$E$336,2,0)</f>
        <v>#N/A</v>
      </c>
      <c r="AP152" s="3" t="e">
        <f>VLOOKUP(P152,'справочная информация'!$D$342:$E$349,2,0)</f>
        <v>#N/A</v>
      </c>
      <c r="AQ152" s="3" t="e">
        <f>VLOOKUP(Q152,'справочная информация'!$D$316:$E$325,2,0)</f>
        <v>#N/A</v>
      </c>
      <c r="AR152" s="3" t="str">
        <f t="shared" si="73"/>
        <v/>
      </c>
      <c r="AS152" s="170" t="str">
        <f t="shared" si="74"/>
        <v/>
      </c>
      <c r="AT152" s="3" t="str">
        <f t="shared" si="75"/>
        <v/>
      </c>
      <c r="AU152" s="3" t="e">
        <f>ABS(MATCH($AX152,'справочная информация'!$A$354:$A$391,0)-MATCH($AY152,'справочная информация'!$A$354:$A$391,0))</f>
        <v>#N/A</v>
      </c>
      <c r="AV152" s="3" t="str">
        <f>IFERROR(INDEX('справочная информация'!$B$6:$R$29,MATCH('Расчет грейда'!$Y152,'справочная информация'!$A$6:$A$29,0),MATCH('Расчет грейда'!$X152,'справочная информация'!$B$5:$R$5,0)),"")</f>
        <v/>
      </c>
      <c r="AW152" s="171" t="str">
        <f>IFERROR(INDEX('справочная информация'!$B$37:$H$52,MATCH('Расчет грейда'!$AA152,'справочная информация'!$A$37:$A$52,0),MATCH('Расчет грейда'!$N152,'справочная информация'!$B$36:$H$36,0)),"")</f>
        <v/>
      </c>
      <c r="AX152" s="122" t="str">
        <f>IFERROR(INDEX('справочная информация'!$D$108:$AD$123,MATCH('Расчет грейда'!$AW152,'справочная информация'!$C$108:$C$123,0),MATCH('Расчет грейда'!$AV152,'справочная информация'!$D$107:$AD$107,0)),"")</f>
        <v/>
      </c>
      <c r="AY152" s="133" t="str">
        <f>IFERROR(INDEX('справочная информация'!$B$158:$Y$181,MATCH('Расчет грейда'!$AE152,'справочная информация'!$A$158:$A$181,0),MATCH('Расчет грейда'!$AD152,'справочная информация'!$B$157:$Y$157,0)),"")</f>
        <v/>
      </c>
      <c r="AZ152" s="170" t="str">
        <f t="shared" si="76"/>
        <v/>
      </c>
      <c r="BA152" s="172" t="str">
        <f>IFERROR(CONCATENATE(TEXT(AZ152/INDEX('справочная информация'!$D$223:$D$261,MATCH('Расчет грейда'!$AZ152,'справочная информация'!$C$223:$C$261,1)),"0%")," - процент относительно медианы 100%. ","MIN балл на грейде ",INDEX('справочная информация'!$C$223:$C$261,MATCH('Расчет грейда'!$AZ152,'справочная информация'!$C$223:$C$261,1)),", "," MAX балл на грейде ",INDEX('справочная информация'!$E$223:$E$261,MATCH('Расчет грейда'!$AZ152,'справочная информация'!$C$223:$C$261,1))),"")</f>
        <v/>
      </c>
      <c r="BB152" s="120" t="str">
        <f t="shared" si="77"/>
        <v/>
      </c>
      <c r="BC152" s="3" t="str">
        <f t="shared" si="78"/>
        <v/>
      </c>
      <c r="BD152" s="121" t="str">
        <f>IFERROR(VLOOKUP(BC152,'справочная информация'!$B$416:$C$424,2,0),"Проверить данные, нетипичная должность")</f>
        <v>Проверить данные, нетипичная должность</v>
      </c>
      <c r="BE152" s="3" t="str">
        <f t="shared" si="79"/>
        <v/>
      </c>
      <c r="BF152" s="3" t="str">
        <f>IFERROR(INDEX('справочная информация'!$F$223:$F$261,MATCH('Расчет грейда'!$AZ152,'справочная информация'!$C$223:$C$261,1)),"")</f>
        <v/>
      </c>
    </row>
    <row r="153" spans="1:58" s="9" customFormat="1" x14ac:dyDescent="0.35">
      <c r="A153" s="120"/>
      <c r="B153" s="122"/>
      <c r="C153" s="140"/>
      <c r="D153" s="120"/>
      <c r="E153" s="120"/>
      <c r="F153" s="120"/>
      <c r="G153" s="120"/>
      <c r="H153" s="120"/>
      <c r="J153" s="142"/>
      <c r="K153" s="142"/>
      <c r="L153" s="142"/>
      <c r="R153" s="3"/>
      <c r="S153" s="138"/>
      <c r="T153" s="3"/>
      <c r="U153" s="3"/>
      <c r="V153" s="3"/>
      <c r="W153" s="3" t="str">
        <f t="shared" si="64"/>
        <v/>
      </c>
      <c r="X153" s="9" t="str">
        <f t="shared" si="65"/>
        <v/>
      </c>
      <c r="Y153" s="9" t="str">
        <f t="shared" si="66"/>
        <v/>
      </c>
      <c r="Z153" s="3" t="e">
        <f>INDEX('справочная информация'!$U$6:$AK$29,MATCH('Расчет грейда'!$Y153,'справочная информация'!$T$6:$T$29,0),MATCH('Расчет грейда'!$X153,'справочная информация'!$U$5:$AK$5,0))</f>
        <v>#N/A</v>
      </c>
      <c r="AA153" s="9" t="str">
        <f t="shared" si="67"/>
        <v/>
      </c>
      <c r="AB153" s="3" t="e">
        <f>INDEX('справочная информация'!$B$68:$H$83,MATCH('Расчет грейда'!$AA153,'справочная информация'!$A$68:$A$83,0),MATCH('Расчет грейда'!$N153,'справочная информация'!$B$67:$H$67,0))</f>
        <v>#N/A</v>
      </c>
      <c r="AC153" s="3" t="e">
        <f>INDEX('справочная информация'!$D$130:$AD$145,MATCH('Расчет грейда'!$AW153,'справочная информация'!$C$130:$C$145,0),MATCH('Расчет грейда'!$AV153,'справочная информация'!$D$129:$AD$129,0))</f>
        <v>#N/A</v>
      </c>
      <c r="AD153" s="9" t="str">
        <f t="shared" si="68"/>
        <v/>
      </c>
      <c r="AE153" s="9" t="str">
        <f t="shared" si="69"/>
        <v/>
      </c>
      <c r="AF153" s="3" t="str">
        <f>IFERROR(IF(AND(AD153="",AE153=""),"",INDEX('справочная информация'!$B$188:$Y$211,MATCH('Расчет грейда'!$AE153,'справочная информация'!$A$188:$A$211,0),MATCH('Расчет грейда'!$AD153,'справочная информация'!$B$187:$Y$187,0))),"НЕТ")</f>
        <v/>
      </c>
      <c r="AG153" s="3" t="e">
        <f>VLOOKUP(J153,'справочная информация'!$D$267:$E$274,2,0)</f>
        <v>#N/A</v>
      </c>
      <c r="AH153" s="3" t="e">
        <f>VLOOKUP(K153,'справочная информация'!$D$279:$E$283,2,0)</f>
        <v>#N/A</v>
      </c>
      <c r="AI153" s="3" t="e">
        <f>VLOOKUP(L153,'справочная информация'!$D$288:$E$290,2,0)</f>
        <v>#N/A</v>
      </c>
      <c r="AJ153" s="3" t="str">
        <f t="shared" si="70"/>
        <v/>
      </c>
      <c r="AK153" s="169" t="e">
        <f>VLOOKUP(M153,'справочная информация'!$D$294:$E$301,2,0)</f>
        <v>#N/A</v>
      </c>
      <c r="AL153" s="3" t="e">
        <f>VLOOKUP(N153,'справочная информация'!$D$306:$E$310,2,0)</f>
        <v>#N/A</v>
      </c>
      <c r="AM153" s="169" t="str">
        <f t="shared" si="71"/>
        <v>()</v>
      </c>
      <c r="AN153" s="3" t="str">
        <f t="shared" si="72"/>
        <v/>
      </c>
      <c r="AO153" s="3" t="e">
        <f>VLOOKUP(O153,'справочная информация'!$D$329:$E$336,2,0)</f>
        <v>#N/A</v>
      </c>
      <c r="AP153" s="3" t="e">
        <f>VLOOKUP(P153,'справочная информация'!$D$342:$E$349,2,0)</f>
        <v>#N/A</v>
      </c>
      <c r="AQ153" s="3" t="e">
        <f>VLOOKUP(Q153,'справочная информация'!$D$316:$E$325,2,0)</f>
        <v>#N/A</v>
      </c>
      <c r="AR153" s="3" t="str">
        <f t="shared" si="73"/>
        <v/>
      </c>
      <c r="AS153" s="170" t="str">
        <f t="shared" si="74"/>
        <v/>
      </c>
      <c r="AT153" s="3" t="str">
        <f t="shared" si="75"/>
        <v/>
      </c>
      <c r="AU153" s="3" t="e">
        <f>ABS(MATCH($AX153,'справочная информация'!$A$354:$A$391,0)-MATCH($AY153,'справочная информация'!$A$354:$A$391,0))</f>
        <v>#N/A</v>
      </c>
      <c r="AV153" s="3" t="str">
        <f>IFERROR(INDEX('справочная информация'!$B$6:$R$29,MATCH('Расчет грейда'!$Y153,'справочная информация'!$A$6:$A$29,0),MATCH('Расчет грейда'!$X153,'справочная информация'!$B$5:$R$5,0)),"")</f>
        <v/>
      </c>
      <c r="AW153" s="171" t="str">
        <f>IFERROR(INDEX('справочная информация'!$B$37:$H$52,MATCH('Расчет грейда'!$AA153,'справочная информация'!$A$37:$A$52,0),MATCH('Расчет грейда'!$N153,'справочная информация'!$B$36:$H$36,0)),"")</f>
        <v/>
      </c>
      <c r="AX153" s="122" t="str">
        <f>IFERROR(INDEX('справочная информация'!$D$108:$AD$123,MATCH('Расчет грейда'!$AW153,'справочная информация'!$C$108:$C$123,0),MATCH('Расчет грейда'!$AV153,'справочная информация'!$D$107:$AD$107,0)),"")</f>
        <v/>
      </c>
      <c r="AY153" s="133" t="str">
        <f>IFERROR(INDEX('справочная информация'!$B$158:$Y$181,MATCH('Расчет грейда'!$AE153,'справочная информация'!$A$158:$A$181,0),MATCH('Расчет грейда'!$AD153,'справочная информация'!$B$157:$Y$157,0)),"")</f>
        <v/>
      </c>
      <c r="AZ153" s="170" t="str">
        <f t="shared" si="76"/>
        <v/>
      </c>
      <c r="BA153" s="172" t="str">
        <f>IFERROR(CONCATENATE(TEXT(AZ153/INDEX('справочная информация'!$D$223:$D$261,MATCH('Расчет грейда'!$AZ153,'справочная информация'!$C$223:$C$261,1)),"0%")," - процент относительно медианы 100%. ","MIN балл на грейде ",INDEX('справочная информация'!$C$223:$C$261,MATCH('Расчет грейда'!$AZ153,'справочная информация'!$C$223:$C$261,1)),", "," MAX балл на грейде ",INDEX('справочная информация'!$E$223:$E$261,MATCH('Расчет грейда'!$AZ153,'справочная информация'!$C$223:$C$261,1))),"")</f>
        <v/>
      </c>
      <c r="BB153" s="120" t="str">
        <f t="shared" si="77"/>
        <v/>
      </c>
      <c r="BC153" s="3" t="str">
        <f t="shared" si="78"/>
        <v/>
      </c>
      <c r="BD153" s="121" t="str">
        <f>IFERROR(VLOOKUP(BC153,'справочная информация'!$B$416:$C$424,2,0),"Проверить данные, нетипичная должность")</f>
        <v>Проверить данные, нетипичная должность</v>
      </c>
      <c r="BE153" s="3" t="str">
        <f t="shared" si="79"/>
        <v/>
      </c>
      <c r="BF153" s="3" t="str">
        <f>IFERROR(INDEX('справочная информация'!$F$223:$F$261,MATCH('Расчет грейда'!$AZ153,'справочная информация'!$C$223:$C$261,1)),"")</f>
        <v/>
      </c>
    </row>
    <row r="154" spans="1:58" s="9" customFormat="1" x14ac:dyDescent="0.35">
      <c r="A154" s="120"/>
      <c r="B154" s="122"/>
      <c r="C154" s="140"/>
      <c r="D154" s="120"/>
      <c r="E154" s="120"/>
      <c r="F154" s="120"/>
      <c r="G154" s="120"/>
      <c r="H154" s="120"/>
      <c r="J154" s="142"/>
      <c r="K154" s="142"/>
      <c r="L154" s="142"/>
      <c r="R154" s="3"/>
      <c r="S154" s="138"/>
      <c r="T154" s="3"/>
      <c r="U154" s="3"/>
      <c r="V154" s="3"/>
      <c r="W154" s="3" t="str">
        <f t="shared" si="64"/>
        <v/>
      </c>
      <c r="X154" s="9" t="str">
        <f t="shared" si="65"/>
        <v/>
      </c>
      <c r="Y154" s="9" t="str">
        <f t="shared" si="66"/>
        <v/>
      </c>
      <c r="Z154" s="3" t="e">
        <f>INDEX('справочная информация'!$U$6:$AK$29,MATCH('Расчет грейда'!$Y154,'справочная информация'!$T$6:$T$29,0),MATCH('Расчет грейда'!$X154,'справочная информация'!$U$5:$AK$5,0))</f>
        <v>#N/A</v>
      </c>
      <c r="AA154" s="9" t="str">
        <f t="shared" si="67"/>
        <v/>
      </c>
      <c r="AB154" s="3" t="e">
        <f>INDEX('справочная информация'!$B$68:$H$83,MATCH('Расчет грейда'!$AA154,'справочная информация'!$A$68:$A$83,0),MATCH('Расчет грейда'!$N154,'справочная информация'!$B$67:$H$67,0))</f>
        <v>#N/A</v>
      </c>
      <c r="AC154" s="3" t="e">
        <f>INDEX('справочная информация'!$D$130:$AD$145,MATCH('Расчет грейда'!$AW154,'справочная информация'!$C$130:$C$145,0),MATCH('Расчет грейда'!$AV154,'справочная информация'!$D$129:$AD$129,0))</f>
        <v>#N/A</v>
      </c>
      <c r="AD154" s="9" t="str">
        <f t="shared" si="68"/>
        <v/>
      </c>
      <c r="AE154" s="9" t="str">
        <f t="shared" si="69"/>
        <v/>
      </c>
      <c r="AF154" s="3" t="str">
        <f>IFERROR(IF(AND(AD154="",AE154=""),"",INDEX('справочная информация'!$B$188:$Y$211,MATCH('Расчет грейда'!$AE154,'справочная информация'!$A$188:$A$211,0),MATCH('Расчет грейда'!$AD154,'справочная информация'!$B$187:$Y$187,0))),"НЕТ")</f>
        <v/>
      </c>
      <c r="AG154" s="3" t="e">
        <f>VLOOKUP(J154,'справочная информация'!$D$267:$E$274,2,0)</f>
        <v>#N/A</v>
      </c>
      <c r="AH154" s="3" t="e">
        <f>VLOOKUP(K154,'справочная информация'!$D$279:$E$283,2,0)</f>
        <v>#N/A</v>
      </c>
      <c r="AI154" s="3" t="e">
        <f>VLOOKUP(L154,'справочная информация'!$D$288:$E$290,2,0)</f>
        <v>#N/A</v>
      </c>
      <c r="AJ154" s="3" t="str">
        <f t="shared" si="70"/>
        <v/>
      </c>
      <c r="AK154" s="169" t="e">
        <f>VLOOKUP(M154,'справочная информация'!$D$294:$E$301,2,0)</f>
        <v>#N/A</v>
      </c>
      <c r="AL154" s="3" t="e">
        <f>VLOOKUP(N154,'справочная информация'!$D$306:$E$310,2,0)</f>
        <v>#N/A</v>
      </c>
      <c r="AM154" s="169" t="str">
        <f t="shared" si="71"/>
        <v>()</v>
      </c>
      <c r="AN154" s="3" t="str">
        <f t="shared" si="72"/>
        <v/>
      </c>
      <c r="AO154" s="3" t="e">
        <f>VLOOKUP(O154,'справочная информация'!$D$329:$E$336,2,0)</f>
        <v>#N/A</v>
      </c>
      <c r="AP154" s="3" t="e">
        <f>VLOOKUP(P154,'справочная информация'!$D$342:$E$349,2,0)</f>
        <v>#N/A</v>
      </c>
      <c r="AQ154" s="3" t="e">
        <f>VLOOKUP(Q154,'справочная информация'!$D$316:$E$325,2,0)</f>
        <v>#N/A</v>
      </c>
      <c r="AR154" s="3" t="str">
        <f t="shared" si="73"/>
        <v/>
      </c>
      <c r="AS154" s="170" t="str">
        <f t="shared" si="74"/>
        <v/>
      </c>
      <c r="AT154" s="3" t="str">
        <f t="shared" si="75"/>
        <v/>
      </c>
      <c r="AU154" s="3" t="e">
        <f>ABS(MATCH($AX154,'справочная информация'!$A$354:$A$391,0)-MATCH($AY154,'справочная информация'!$A$354:$A$391,0))</f>
        <v>#N/A</v>
      </c>
      <c r="AV154" s="3" t="str">
        <f>IFERROR(INDEX('справочная информация'!$B$6:$R$29,MATCH('Расчет грейда'!$Y154,'справочная информация'!$A$6:$A$29,0),MATCH('Расчет грейда'!$X154,'справочная информация'!$B$5:$R$5,0)),"")</f>
        <v/>
      </c>
      <c r="AW154" s="171" t="str">
        <f>IFERROR(INDEX('справочная информация'!$B$37:$H$52,MATCH('Расчет грейда'!$AA154,'справочная информация'!$A$37:$A$52,0),MATCH('Расчет грейда'!$N154,'справочная информация'!$B$36:$H$36,0)),"")</f>
        <v/>
      </c>
      <c r="AX154" s="122" t="str">
        <f>IFERROR(INDEX('справочная информация'!$D$108:$AD$123,MATCH('Расчет грейда'!$AW154,'справочная информация'!$C$108:$C$123,0),MATCH('Расчет грейда'!$AV154,'справочная информация'!$D$107:$AD$107,0)),"")</f>
        <v/>
      </c>
      <c r="AY154" s="133" t="str">
        <f>IFERROR(INDEX('справочная информация'!$B$158:$Y$181,MATCH('Расчет грейда'!$AE154,'справочная информация'!$A$158:$A$181,0),MATCH('Расчет грейда'!$AD154,'справочная информация'!$B$157:$Y$157,0)),"")</f>
        <v/>
      </c>
      <c r="AZ154" s="170" t="str">
        <f t="shared" si="76"/>
        <v/>
      </c>
      <c r="BA154" s="172" t="str">
        <f>IFERROR(CONCATENATE(TEXT(AZ154/INDEX('справочная информация'!$D$223:$D$261,MATCH('Расчет грейда'!$AZ154,'справочная информация'!$C$223:$C$261,1)),"0%")," - процент относительно медианы 100%. ","MIN балл на грейде ",INDEX('справочная информация'!$C$223:$C$261,MATCH('Расчет грейда'!$AZ154,'справочная информация'!$C$223:$C$261,1)),", "," MAX балл на грейде ",INDEX('справочная информация'!$E$223:$E$261,MATCH('Расчет грейда'!$AZ154,'справочная информация'!$C$223:$C$261,1))),"")</f>
        <v/>
      </c>
      <c r="BB154" s="120" t="str">
        <f t="shared" si="77"/>
        <v/>
      </c>
      <c r="BC154" s="3" t="str">
        <f t="shared" si="78"/>
        <v/>
      </c>
      <c r="BD154" s="121" t="str">
        <f>IFERROR(VLOOKUP(BC154,'справочная информация'!$B$416:$C$424,2,0),"Проверить данные, нетипичная должность")</f>
        <v>Проверить данные, нетипичная должность</v>
      </c>
      <c r="BE154" s="3" t="str">
        <f t="shared" si="79"/>
        <v/>
      </c>
      <c r="BF154" s="3" t="str">
        <f>IFERROR(INDEX('справочная информация'!$F$223:$F$261,MATCH('Расчет грейда'!$AZ154,'справочная информация'!$C$223:$C$261,1)),"")</f>
        <v/>
      </c>
    </row>
    <row r="155" spans="1:58" s="9" customFormat="1" x14ac:dyDescent="0.35">
      <c r="A155" s="120"/>
      <c r="B155" s="122"/>
      <c r="C155" s="140"/>
      <c r="D155" s="120"/>
      <c r="E155" s="120"/>
      <c r="F155" s="120"/>
      <c r="G155" s="120"/>
      <c r="H155" s="120"/>
      <c r="J155" s="142"/>
      <c r="K155" s="142"/>
      <c r="L155" s="142"/>
      <c r="R155" s="3"/>
      <c r="S155" s="138"/>
      <c r="T155" s="3"/>
      <c r="U155" s="3"/>
      <c r="V155" s="3"/>
      <c r="W155" s="3" t="str">
        <f t="shared" si="64"/>
        <v/>
      </c>
      <c r="X155" s="9" t="str">
        <f t="shared" si="65"/>
        <v/>
      </c>
      <c r="Y155" s="9" t="str">
        <f t="shared" si="66"/>
        <v/>
      </c>
      <c r="Z155" s="3" t="e">
        <f>INDEX('справочная информация'!$U$6:$AK$29,MATCH('Расчет грейда'!$Y155,'справочная информация'!$T$6:$T$29,0),MATCH('Расчет грейда'!$X155,'справочная информация'!$U$5:$AK$5,0))</f>
        <v>#N/A</v>
      </c>
      <c r="AA155" s="9" t="str">
        <f t="shared" si="67"/>
        <v/>
      </c>
      <c r="AB155" s="3" t="e">
        <f>INDEX('справочная информация'!$B$68:$H$83,MATCH('Расчет грейда'!$AA155,'справочная информация'!$A$68:$A$83,0),MATCH('Расчет грейда'!$N155,'справочная информация'!$B$67:$H$67,0))</f>
        <v>#N/A</v>
      </c>
      <c r="AC155" s="3" t="e">
        <f>INDEX('справочная информация'!$D$130:$AD$145,MATCH('Расчет грейда'!$AW155,'справочная информация'!$C$130:$C$145,0),MATCH('Расчет грейда'!$AV155,'справочная информация'!$D$129:$AD$129,0))</f>
        <v>#N/A</v>
      </c>
      <c r="AD155" s="9" t="str">
        <f t="shared" si="68"/>
        <v/>
      </c>
      <c r="AE155" s="9" t="str">
        <f t="shared" si="69"/>
        <v/>
      </c>
      <c r="AF155" s="3" t="str">
        <f>IFERROR(IF(AND(AD155="",AE155=""),"",INDEX('справочная информация'!$B$188:$Y$211,MATCH('Расчет грейда'!$AE155,'справочная информация'!$A$188:$A$211,0),MATCH('Расчет грейда'!$AD155,'справочная информация'!$B$187:$Y$187,0))),"НЕТ")</f>
        <v/>
      </c>
      <c r="AG155" s="3" t="e">
        <f>VLOOKUP(J155,'справочная информация'!$D$267:$E$274,2,0)</f>
        <v>#N/A</v>
      </c>
      <c r="AH155" s="3" t="e">
        <f>VLOOKUP(K155,'справочная информация'!$D$279:$E$283,2,0)</f>
        <v>#N/A</v>
      </c>
      <c r="AI155" s="3" t="e">
        <f>VLOOKUP(L155,'справочная информация'!$D$288:$E$290,2,0)</f>
        <v>#N/A</v>
      </c>
      <c r="AJ155" s="3" t="str">
        <f t="shared" si="70"/>
        <v/>
      </c>
      <c r="AK155" s="169" t="e">
        <f>VLOOKUP(M155,'справочная информация'!$D$294:$E$301,2,0)</f>
        <v>#N/A</v>
      </c>
      <c r="AL155" s="3" t="e">
        <f>VLOOKUP(N155,'справочная информация'!$D$306:$E$310,2,0)</f>
        <v>#N/A</v>
      </c>
      <c r="AM155" s="169" t="str">
        <f t="shared" si="71"/>
        <v>()</v>
      </c>
      <c r="AN155" s="3" t="str">
        <f t="shared" si="72"/>
        <v/>
      </c>
      <c r="AO155" s="3" t="e">
        <f>VLOOKUP(O155,'справочная информация'!$D$329:$E$336,2,0)</f>
        <v>#N/A</v>
      </c>
      <c r="AP155" s="3" t="e">
        <f>VLOOKUP(P155,'справочная информация'!$D$342:$E$349,2,0)</f>
        <v>#N/A</v>
      </c>
      <c r="AQ155" s="3" t="e">
        <f>VLOOKUP(Q155,'справочная информация'!$D$316:$E$325,2,0)</f>
        <v>#N/A</v>
      </c>
      <c r="AR155" s="3" t="str">
        <f t="shared" si="73"/>
        <v/>
      </c>
      <c r="AS155" s="170" t="str">
        <f t="shared" si="74"/>
        <v/>
      </c>
      <c r="AT155" s="3" t="str">
        <f t="shared" si="75"/>
        <v/>
      </c>
      <c r="AU155" s="3" t="e">
        <f>ABS(MATCH($AX155,'справочная информация'!$A$354:$A$391,0)-MATCH($AY155,'справочная информация'!$A$354:$A$391,0))</f>
        <v>#N/A</v>
      </c>
      <c r="AV155" s="3" t="str">
        <f>IFERROR(INDEX('справочная информация'!$B$6:$R$29,MATCH('Расчет грейда'!$Y155,'справочная информация'!$A$6:$A$29,0),MATCH('Расчет грейда'!$X155,'справочная информация'!$B$5:$R$5,0)),"")</f>
        <v/>
      </c>
      <c r="AW155" s="171" t="str">
        <f>IFERROR(INDEX('справочная информация'!$B$37:$H$52,MATCH('Расчет грейда'!$AA155,'справочная информация'!$A$37:$A$52,0),MATCH('Расчет грейда'!$N155,'справочная информация'!$B$36:$H$36,0)),"")</f>
        <v/>
      </c>
      <c r="AX155" s="122" t="str">
        <f>IFERROR(INDEX('справочная информация'!$D$108:$AD$123,MATCH('Расчет грейда'!$AW155,'справочная информация'!$C$108:$C$123,0),MATCH('Расчет грейда'!$AV155,'справочная информация'!$D$107:$AD$107,0)),"")</f>
        <v/>
      </c>
      <c r="AY155" s="133" t="str">
        <f>IFERROR(INDEX('справочная информация'!$B$158:$Y$181,MATCH('Расчет грейда'!$AE155,'справочная информация'!$A$158:$A$181,0),MATCH('Расчет грейда'!$AD155,'справочная информация'!$B$157:$Y$157,0)),"")</f>
        <v/>
      </c>
      <c r="AZ155" s="170" t="str">
        <f t="shared" si="76"/>
        <v/>
      </c>
      <c r="BA155" s="172" t="str">
        <f>IFERROR(CONCATENATE(TEXT(AZ155/INDEX('справочная информация'!$D$223:$D$261,MATCH('Расчет грейда'!$AZ155,'справочная информация'!$C$223:$C$261,1)),"0%")," - процент относительно медианы 100%. ","MIN балл на грейде ",INDEX('справочная информация'!$C$223:$C$261,MATCH('Расчет грейда'!$AZ155,'справочная информация'!$C$223:$C$261,1)),", "," MAX балл на грейде ",INDEX('справочная информация'!$E$223:$E$261,MATCH('Расчет грейда'!$AZ155,'справочная информация'!$C$223:$C$261,1))),"")</f>
        <v/>
      </c>
      <c r="BB155" s="120" t="str">
        <f t="shared" si="77"/>
        <v/>
      </c>
      <c r="BC155" s="3" t="str">
        <f t="shared" si="78"/>
        <v/>
      </c>
      <c r="BD155" s="121" t="str">
        <f>IFERROR(VLOOKUP(BC155,'справочная информация'!$B$416:$C$424,2,0),"Проверить данные, нетипичная должность")</f>
        <v>Проверить данные, нетипичная должность</v>
      </c>
      <c r="BE155" s="3" t="str">
        <f t="shared" si="79"/>
        <v/>
      </c>
      <c r="BF155" s="3" t="str">
        <f>IFERROR(INDEX('справочная информация'!$F$223:$F$261,MATCH('Расчет грейда'!$AZ155,'справочная информация'!$C$223:$C$261,1)),"")</f>
        <v/>
      </c>
    </row>
    <row r="156" spans="1:58" s="9" customFormat="1" x14ac:dyDescent="0.35">
      <c r="A156" s="120"/>
      <c r="B156" s="122"/>
      <c r="C156" s="140"/>
      <c r="D156" s="120"/>
      <c r="E156" s="120"/>
      <c r="F156" s="120"/>
      <c r="G156" s="120"/>
      <c r="H156" s="120"/>
      <c r="J156" s="142"/>
      <c r="K156" s="142"/>
      <c r="L156" s="142"/>
      <c r="R156" s="3"/>
      <c r="S156" s="138"/>
      <c r="T156" s="3"/>
      <c r="U156" s="3"/>
      <c r="V156" s="3"/>
      <c r="W156" s="3" t="str">
        <f t="shared" si="64"/>
        <v/>
      </c>
      <c r="X156" s="9" t="str">
        <f t="shared" si="65"/>
        <v/>
      </c>
      <c r="Y156" s="9" t="str">
        <f t="shared" si="66"/>
        <v/>
      </c>
      <c r="Z156" s="3" t="e">
        <f>INDEX('справочная информация'!$U$6:$AK$29,MATCH('Расчет грейда'!$Y156,'справочная информация'!$T$6:$T$29,0),MATCH('Расчет грейда'!$X156,'справочная информация'!$U$5:$AK$5,0))</f>
        <v>#N/A</v>
      </c>
      <c r="AA156" s="9" t="str">
        <f t="shared" si="67"/>
        <v/>
      </c>
      <c r="AB156" s="3" t="e">
        <f>INDEX('справочная информация'!$B$68:$H$83,MATCH('Расчет грейда'!$AA156,'справочная информация'!$A$68:$A$83,0),MATCH('Расчет грейда'!$N156,'справочная информация'!$B$67:$H$67,0))</f>
        <v>#N/A</v>
      </c>
      <c r="AC156" s="3" t="e">
        <f>INDEX('справочная информация'!$D$130:$AD$145,MATCH('Расчет грейда'!$AW156,'справочная информация'!$C$130:$C$145,0),MATCH('Расчет грейда'!$AV156,'справочная информация'!$D$129:$AD$129,0))</f>
        <v>#N/A</v>
      </c>
      <c r="AD156" s="9" t="str">
        <f t="shared" si="68"/>
        <v/>
      </c>
      <c r="AE156" s="9" t="str">
        <f t="shared" si="69"/>
        <v/>
      </c>
      <c r="AF156" s="3" t="str">
        <f>IFERROR(IF(AND(AD156="",AE156=""),"",INDEX('справочная информация'!$B$188:$Y$211,MATCH('Расчет грейда'!$AE156,'справочная информация'!$A$188:$A$211,0),MATCH('Расчет грейда'!$AD156,'справочная информация'!$B$187:$Y$187,0))),"НЕТ")</f>
        <v/>
      </c>
      <c r="AG156" s="3" t="e">
        <f>VLOOKUP(J156,'справочная информация'!$D$267:$E$274,2,0)</f>
        <v>#N/A</v>
      </c>
      <c r="AH156" s="3" t="e">
        <f>VLOOKUP(K156,'справочная информация'!$D$279:$E$283,2,0)</f>
        <v>#N/A</v>
      </c>
      <c r="AI156" s="3" t="e">
        <f>VLOOKUP(L156,'справочная информация'!$D$288:$E$290,2,0)</f>
        <v>#N/A</v>
      </c>
      <c r="AJ156" s="3" t="str">
        <f t="shared" si="70"/>
        <v/>
      </c>
      <c r="AK156" s="169" t="e">
        <f>VLOOKUP(M156,'справочная информация'!$D$294:$E$301,2,0)</f>
        <v>#N/A</v>
      </c>
      <c r="AL156" s="3" t="e">
        <f>VLOOKUP(N156,'справочная информация'!$D$306:$E$310,2,0)</f>
        <v>#N/A</v>
      </c>
      <c r="AM156" s="169" t="str">
        <f t="shared" si="71"/>
        <v>()</v>
      </c>
      <c r="AN156" s="3" t="str">
        <f t="shared" si="72"/>
        <v/>
      </c>
      <c r="AO156" s="3" t="e">
        <f>VLOOKUP(O156,'справочная информация'!$D$329:$E$336,2,0)</f>
        <v>#N/A</v>
      </c>
      <c r="AP156" s="3" t="e">
        <f>VLOOKUP(P156,'справочная информация'!$D$342:$E$349,2,0)</f>
        <v>#N/A</v>
      </c>
      <c r="AQ156" s="3" t="e">
        <f>VLOOKUP(Q156,'справочная информация'!$D$316:$E$325,2,0)</f>
        <v>#N/A</v>
      </c>
      <c r="AR156" s="3" t="str">
        <f t="shared" si="73"/>
        <v/>
      </c>
      <c r="AS156" s="170" t="str">
        <f t="shared" si="74"/>
        <v/>
      </c>
      <c r="AT156" s="3" t="str">
        <f t="shared" si="75"/>
        <v/>
      </c>
      <c r="AU156" s="3" t="e">
        <f>ABS(MATCH($AX156,'справочная информация'!$A$354:$A$391,0)-MATCH($AY156,'справочная информация'!$A$354:$A$391,0))</f>
        <v>#N/A</v>
      </c>
      <c r="AV156" s="3" t="str">
        <f>IFERROR(INDEX('справочная информация'!$B$6:$R$29,MATCH('Расчет грейда'!$Y156,'справочная информация'!$A$6:$A$29,0),MATCH('Расчет грейда'!$X156,'справочная информация'!$B$5:$R$5,0)),"")</f>
        <v/>
      </c>
      <c r="AW156" s="171" t="str">
        <f>IFERROR(INDEX('справочная информация'!$B$37:$H$52,MATCH('Расчет грейда'!$AA156,'справочная информация'!$A$37:$A$52,0),MATCH('Расчет грейда'!$N156,'справочная информация'!$B$36:$H$36,0)),"")</f>
        <v/>
      </c>
      <c r="AX156" s="122" t="str">
        <f>IFERROR(INDEX('справочная информация'!$D$108:$AD$123,MATCH('Расчет грейда'!$AW156,'справочная информация'!$C$108:$C$123,0),MATCH('Расчет грейда'!$AV156,'справочная информация'!$D$107:$AD$107,0)),"")</f>
        <v/>
      </c>
      <c r="AY156" s="133" t="str">
        <f>IFERROR(INDEX('справочная информация'!$B$158:$Y$181,MATCH('Расчет грейда'!$AE156,'справочная информация'!$A$158:$A$181,0),MATCH('Расчет грейда'!$AD156,'справочная информация'!$B$157:$Y$157,0)),"")</f>
        <v/>
      </c>
      <c r="AZ156" s="170" t="str">
        <f t="shared" si="76"/>
        <v/>
      </c>
      <c r="BA156" s="172" t="str">
        <f>IFERROR(CONCATENATE(TEXT(AZ156/INDEX('справочная информация'!$D$223:$D$261,MATCH('Расчет грейда'!$AZ156,'справочная информация'!$C$223:$C$261,1)),"0%")," - процент относительно медианы 100%. ","MIN балл на грейде ",INDEX('справочная информация'!$C$223:$C$261,MATCH('Расчет грейда'!$AZ156,'справочная информация'!$C$223:$C$261,1)),", "," MAX балл на грейде ",INDEX('справочная информация'!$E$223:$E$261,MATCH('Расчет грейда'!$AZ156,'справочная информация'!$C$223:$C$261,1))),"")</f>
        <v/>
      </c>
      <c r="BB156" s="120" t="str">
        <f t="shared" si="77"/>
        <v/>
      </c>
      <c r="BC156" s="3" t="str">
        <f t="shared" si="78"/>
        <v/>
      </c>
      <c r="BD156" s="121" t="str">
        <f>IFERROR(VLOOKUP(BC156,'справочная информация'!$B$416:$C$424,2,0),"Проверить данные, нетипичная должность")</f>
        <v>Проверить данные, нетипичная должность</v>
      </c>
      <c r="BE156" s="3" t="str">
        <f t="shared" si="79"/>
        <v/>
      </c>
      <c r="BF156" s="3" t="str">
        <f>IFERROR(INDEX('справочная информация'!$F$223:$F$261,MATCH('Расчет грейда'!$AZ156,'справочная информация'!$C$223:$C$261,1)),"")</f>
        <v/>
      </c>
    </row>
    <row r="157" spans="1:58" s="9" customFormat="1" x14ac:dyDescent="0.35">
      <c r="A157" s="120"/>
      <c r="B157" s="122"/>
      <c r="C157" s="140"/>
      <c r="D157" s="120"/>
      <c r="E157" s="120"/>
      <c r="F157" s="120"/>
      <c r="G157" s="120"/>
      <c r="H157" s="120"/>
      <c r="J157" s="142"/>
      <c r="K157" s="142"/>
      <c r="L157" s="142"/>
      <c r="R157" s="3"/>
      <c r="S157" s="138"/>
      <c r="T157" s="3"/>
      <c r="U157" s="3"/>
      <c r="V157" s="3"/>
      <c r="W157" s="3" t="str">
        <f t="shared" si="64"/>
        <v/>
      </c>
      <c r="X157" s="9" t="str">
        <f t="shared" si="65"/>
        <v/>
      </c>
      <c r="Y157" s="9" t="str">
        <f t="shared" si="66"/>
        <v/>
      </c>
      <c r="Z157" s="3" t="e">
        <f>INDEX('справочная информация'!$U$6:$AK$29,MATCH('Расчет грейда'!$Y157,'справочная информация'!$T$6:$T$29,0),MATCH('Расчет грейда'!$X157,'справочная информация'!$U$5:$AK$5,0))</f>
        <v>#N/A</v>
      </c>
      <c r="AA157" s="9" t="str">
        <f t="shared" si="67"/>
        <v/>
      </c>
      <c r="AB157" s="3" t="e">
        <f>INDEX('справочная информация'!$B$68:$H$83,MATCH('Расчет грейда'!$AA157,'справочная информация'!$A$68:$A$83,0),MATCH('Расчет грейда'!$N157,'справочная информация'!$B$67:$H$67,0))</f>
        <v>#N/A</v>
      </c>
      <c r="AC157" s="3" t="e">
        <f>INDEX('справочная информация'!$D$130:$AD$145,MATCH('Расчет грейда'!$AW157,'справочная информация'!$C$130:$C$145,0),MATCH('Расчет грейда'!$AV157,'справочная информация'!$D$129:$AD$129,0))</f>
        <v>#N/A</v>
      </c>
      <c r="AD157" s="9" t="str">
        <f t="shared" si="68"/>
        <v/>
      </c>
      <c r="AE157" s="9" t="str">
        <f t="shared" si="69"/>
        <v/>
      </c>
      <c r="AF157" s="3" t="str">
        <f>IFERROR(IF(AND(AD157="",AE157=""),"",INDEX('справочная информация'!$B$188:$Y$211,MATCH('Расчет грейда'!$AE157,'справочная информация'!$A$188:$A$211,0),MATCH('Расчет грейда'!$AD157,'справочная информация'!$B$187:$Y$187,0))),"НЕТ")</f>
        <v/>
      </c>
      <c r="AG157" s="3" t="e">
        <f>VLOOKUP(J157,'справочная информация'!$D$267:$E$274,2,0)</f>
        <v>#N/A</v>
      </c>
      <c r="AH157" s="3" t="e">
        <f>VLOOKUP(K157,'справочная информация'!$D$279:$E$283,2,0)</f>
        <v>#N/A</v>
      </c>
      <c r="AI157" s="3" t="e">
        <f>VLOOKUP(L157,'справочная информация'!$D$288:$E$290,2,0)</f>
        <v>#N/A</v>
      </c>
      <c r="AJ157" s="3" t="str">
        <f t="shared" si="70"/>
        <v/>
      </c>
      <c r="AK157" s="169" t="e">
        <f>VLOOKUP(M157,'справочная информация'!$D$294:$E$301,2,0)</f>
        <v>#N/A</v>
      </c>
      <c r="AL157" s="3" t="e">
        <f>VLOOKUP(N157,'справочная информация'!$D$306:$E$310,2,0)</f>
        <v>#N/A</v>
      </c>
      <c r="AM157" s="169" t="str">
        <f t="shared" si="71"/>
        <v>()</v>
      </c>
      <c r="AN157" s="3" t="str">
        <f t="shared" si="72"/>
        <v/>
      </c>
      <c r="AO157" s="3" t="e">
        <f>VLOOKUP(O157,'справочная информация'!$D$329:$E$336,2,0)</f>
        <v>#N/A</v>
      </c>
      <c r="AP157" s="3" t="e">
        <f>VLOOKUP(P157,'справочная информация'!$D$342:$E$349,2,0)</f>
        <v>#N/A</v>
      </c>
      <c r="AQ157" s="3" t="e">
        <f>VLOOKUP(Q157,'справочная информация'!$D$316:$E$325,2,0)</f>
        <v>#N/A</v>
      </c>
      <c r="AR157" s="3" t="str">
        <f t="shared" si="73"/>
        <v/>
      </c>
      <c r="AS157" s="170" t="str">
        <f t="shared" si="74"/>
        <v/>
      </c>
      <c r="AT157" s="3" t="str">
        <f t="shared" si="75"/>
        <v/>
      </c>
      <c r="AU157" s="3" t="e">
        <f>ABS(MATCH($AX157,'справочная информация'!$A$354:$A$391,0)-MATCH($AY157,'справочная информация'!$A$354:$A$391,0))</f>
        <v>#N/A</v>
      </c>
      <c r="AV157" s="3" t="str">
        <f>IFERROR(INDEX('справочная информация'!$B$6:$R$29,MATCH('Расчет грейда'!$Y157,'справочная информация'!$A$6:$A$29,0),MATCH('Расчет грейда'!$X157,'справочная информация'!$B$5:$R$5,0)),"")</f>
        <v/>
      </c>
      <c r="AW157" s="171" t="str">
        <f>IFERROR(INDEX('справочная информация'!$B$37:$H$52,MATCH('Расчет грейда'!$AA157,'справочная информация'!$A$37:$A$52,0),MATCH('Расчет грейда'!$N157,'справочная информация'!$B$36:$H$36,0)),"")</f>
        <v/>
      </c>
      <c r="AX157" s="122" t="str">
        <f>IFERROR(INDEX('справочная информация'!$D$108:$AD$123,MATCH('Расчет грейда'!$AW157,'справочная информация'!$C$108:$C$123,0),MATCH('Расчет грейда'!$AV157,'справочная информация'!$D$107:$AD$107,0)),"")</f>
        <v/>
      </c>
      <c r="AY157" s="133" t="str">
        <f>IFERROR(INDEX('справочная информация'!$B$158:$Y$181,MATCH('Расчет грейда'!$AE157,'справочная информация'!$A$158:$A$181,0),MATCH('Расчет грейда'!$AD157,'справочная информация'!$B$157:$Y$157,0)),"")</f>
        <v/>
      </c>
      <c r="AZ157" s="170" t="str">
        <f t="shared" si="76"/>
        <v/>
      </c>
      <c r="BA157" s="172" t="str">
        <f>IFERROR(CONCATENATE(TEXT(AZ157/INDEX('справочная информация'!$D$223:$D$261,MATCH('Расчет грейда'!$AZ157,'справочная информация'!$C$223:$C$261,1)),"0%")," - процент относительно медианы 100%. ","MIN балл на грейде ",INDEX('справочная информация'!$C$223:$C$261,MATCH('Расчет грейда'!$AZ157,'справочная информация'!$C$223:$C$261,1)),", "," MAX балл на грейде ",INDEX('справочная информация'!$E$223:$E$261,MATCH('Расчет грейда'!$AZ157,'справочная информация'!$C$223:$C$261,1))),"")</f>
        <v/>
      </c>
      <c r="BB157" s="120" t="str">
        <f t="shared" si="77"/>
        <v/>
      </c>
      <c r="BC157" s="3" t="str">
        <f t="shared" si="78"/>
        <v/>
      </c>
      <c r="BD157" s="121" t="str">
        <f>IFERROR(VLOOKUP(BC157,'справочная информация'!$B$416:$C$424,2,0),"Проверить данные, нетипичная должность")</f>
        <v>Проверить данные, нетипичная должность</v>
      </c>
      <c r="BE157" s="3" t="str">
        <f t="shared" si="79"/>
        <v/>
      </c>
      <c r="BF157" s="3" t="str">
        <f>IFERROR(INDEX('справочная информация'!$F$223:$F$261,MATCH('Расчет грейда'!$AZ157,'справочная информация'!$C$223:$C$261,1)),"")</f>
        <v/>
      </c>
    </row>
    <row r="158" spans="1:58" s="9" customFormat="1" x14ac:dyDescent="0.35">
      <c r="A158" s="120"/>
      <c r="B158" s="122"/>
      <c r="C158" s="140"/>
      <c r="D158" s="120"/>
      <c r="E158" s="120"/>
      <c r="F158" s="120"/>
      <c r="G158" s="120"/>
      <c r="H158" s="120"/>
      <c r="J158" s="142"/>
      <c r="K158" s="142"/>
      <c r="L158" s="142"/>
      <c r="R158" s="3"/>
      <c r="S158" s="138"/>
      <c r="T158" s="3"/>
      <c r="U158" s="3"/>
      <c r="V158" s="3"/>
      <c r="W158" s="3" t="str">
        <f t="shared" si="64"/>
        <v/>
      </c>
      <c r="X158" s="9" t="str">
        <f t="shared" si="65"/>
        <v/>
      </c>
      <c r="Y158" s="9" t="str">
        <f t="shared" si="66"/>
        <v/>
      </c>
      <c r="Z158" s="3" t="e">
        <f>INDEX('справочная информация'!$U$6:$AK$29,MATCH('Расчет грейда'!$Y158,'справочная информация'!$T$6:$T$29,0),MATCH('Расчет грейда'!$X158,'справочная информация'!$U$5:$AK$5,0))</f>
        <v>#N/A</v>
      </c>
      <c r="AA158" s="9" t="str">
        <f t="shared" si="67"/>
        <v/>
      </c>
      <c r="AB158" s="3" t="e">
        <f>INDEX('справочная информация'!$B$68:$H$83,MATCH('Расчет грейда'!$AA158,'справочная информация'!$A$68:$A$83,0),MATCH('Расчет грейда'!$N158,'справочная информация'!$B$67:$H$67,0))</f>
        <v>#N/A</v>
      </c>
      <c r="AC158" s="3" t="e">
        <f>INDEX('справочная информация'!$D$130:$AD$145,MATCH('Расчет грейда'!$AW158,'справочная информация'!$C$130:$C$145,0),MATCH('Расчет грейда'!$AV158,'справочная информация'!$D$129:$AD$129,0))</f>
        <v>#N/A</v>
      </c>
      <c r="AD158" s="9" t="str">
        <f t="shared" si="68"/>
        <v/>
      </c>
      <c r="AE158" s="9" t="str">
        <f t="shared" si="69"/>
        <v/>
      </c>
      <c r="AF158" s="3" t="str">
        <f>IFERROR(IF(AND(AD158="",AE158=""),"",INDEX('справочная информация'!$B$188:$Y$211,MATCH('Расчет грейда'!$AE158,'справочная информация'!$A$188:$A$211,0),MATCH('Расчет грейда'!$AD158,'справочная информация'!$B$187:$Y$187,0))),"НЕТ")</f>
        <v/>
      </c>
      <c r="AG158" s="3" t="e">
        <f>VLOOKUP(J158,'справочная информация'!$D$267:$E$274,2,0)</f>
        <v>#N/A</v>
      </c>
      <c r="AH158" s="3" t="e">
        <f>VLOOKUP(K158,'справочная информация'!$D$279:$E$283,2,0)</f>
        <v>#N/A</v>
      </c>
      <c r="AI158" s="3" t="e">
        <f>VLOOKUP(L158,'справочная информация'!$D$288:$E$290,2,0)</f>
        <v>#N/A</v>
      </c>
      <c r="AJ158" s="3" t="str">
        <f t="shared" si="70"/>
        <v/>
      </c>
      <c r="AK158" s="169" t="e">
        <f>VLOOKUP(M158,'справочная информация'!$D$294:$E$301,2,0)</f>
        <v>#N/A</v>
      </c>
      <c r="AL158" s="3" t="e">
        <f>VLOOKUP(N158,'справочная информация'!$D$306:$E$310,2,0)</f>
        <v>#N/A</v>
      </c>
      <c r="AM158" s="169" t="str">
        <f t="shared" si="71"/>
        <v>()</v>
      </c>
      <c r="AN158" s="3" t="str">
        <f t="shared" si="72"/>
        <v/>
      </c>
      <c r="AO158" s="3" t="e">
        <f>VLOOKUP(O158,'справочная информация'!$D$329:$E$336,2,0)</f>
        <v>#N/A</v>
      </c>
      <c r="AP158" s="3" t="e">
        <f>VLOOKUP(P158,'справочная информация'!$D$342:$E$349,2,0)</f>
        <v>#N/A</v>
      </c>
      <c r="AQ158" s="3" t="e">
        <f>VLOOKUP(Q158,'справочная информация'!$D$316:$E$325,2,0)</f>
        <v>#N/A</v>
      </c>
      <c r="AR158" s="3" t="str">
        <f t="shared" si="73"/>
        <v/>
      </c>
      <c r="AS158" s="170" t="str">
        <f t="shared" si="74"/>
        <v/>
      </c>
      <c r="AT158" s="3" t="str">
        <f t="shared" si="75"/>
        <v/>
      </c>
      <c r="AU158" s="3" t="e">
        <f>ABS(MATCH($AX158,'справочная информация'!$A$354:$A$391,0)-MATCH($AY158,'справочная информация'!$A$354:$A$391,0))</f>
        <v>#N/A</v>
      </c>
      <c r="AV158" s="3" t="str">
        <f>IFERROR(INDEX('справочная информация'!$B$6:$R$29,MATCH('Расчет грейда'!$Y158,'справочная информация'!$A$6:$A$29,0),MATCH('Расчет грейда'!$X158,'справочная информация'!$B$5:$R$5,0)),"")</f>
        <v/>
      </c>
      <c r="AW158" s="171" t="str">
        <f>IFERROR(INDEX('справочная информация'!$B$37:$H$52,MATCH('Расчет грейда'!$AA158,'справочная информация'!$A$37:$A$52,0),MATCH('Расчет грейда'!$N158,'справочная информация'!$B$36:$H$36,0)),"")</f>
        <v/>
      </c>
      <c r="AX158" s="122" t="str">
        <f>IFERROR(INDEX('справочная информация'!$D$108:$AD$123,MATCH('Расчет грейда'!$AW158,'справочная информация'!$C$108:$C$123,0),MATCH('Расчет грейда'!$AV158,'справочная информация'!$D$107:$AD$107,0)),"")</f>
        <v/>
      </c>
      <c r="AY158" s="133" t="str">
        <f>IFERROR(INDEX('справочная информация'!$B$158:$Y$181,MATCH('Расчет грейда'!$AE158,'справочная информация'!$A$158:$A$181,0),MATCH('Расчет грейда'!$AD158,'справочная информация'!$B$157:$Y$157,0)),"")</f>
        <v/>
      </c>
      <c r="AZ158" s="170" t="str">
        <f t="shared" si="76"/>
        <v/>
      </c>
      <c r="BA158" s="172" t="str">
        <f>IFERROR(CONCATENATE(TEXT(AZ158/INDEX('справочная информация'!$D$223:$D$261,MATCH('Расчет грейда'!$AZ158,'справочная информация'!$C$223:$C$261,1)),"0%")," - процент относительно медианы 100%. ","MIN балл на грейде ",INDEX('справочная информация'!$C$223:$C$261,MATCH('Расчет грейда'!$AZ158,'справочная информация'!$C$223:$C$261,1)),", "," MAX балл на грейде ",INDEX('справочная информация'!$E$223:$E$261,MATCH('Расчет грейда'!$AZ158,'справочная информация'!$C$223:$C$261,1))),"")</f>
        <v/>
      </c>
      <c r="BB158" s="120" t="str">
        <f t="shared" si="77"/>
        <v/>
      </c>
      <c r="BC158" s="3" t="str">
        <f t="shared" si="78"/>
        <v/>
      </c>
      <c r="BD158" s="121" t="str">
        <f>IFERROR(VLOOKUP(BC158,'справочная информация'!$B$416:$C$424,2,0),"Проверить данные, нетипичная должность")</f>
        <v>Проверить данные, нетипичная должность</v>
      </c>
      <c r="BE158" s="3" t="str">
        <f t="shared" si="79"/>
        <v/>
      </c>
      <c r="BF158" s="3" t="str">
        <f>IFERROR(INDEX('справочная информация'!$F$223:$F$261,MATCH('Расчет грейда'!$AZ158,'справочная информация'!$C$223:$C$261,1)),"")</f>
        <v/>
      </c>
    </row>
    <row r="159" spans="1:58" s="9" customFormat="1" x14ac:dyDescent="0.35">
      <c r="A159" s="120"/>
      <c r="B159" s="122"/>
      <c r="C159" s="140"/>
      <c r="D159" s="120"/>
      <c r="E159" s="120"/>
      <c r="F159" s="120"/>
      <c r="G159" s="120"/>
      <c r="H159" s="120"/>
      <c r="J159" s="142"/>
      <c r="K159" s="142"/>
      <c r="L159" s="142"/>
      <c r="R159" s="3"/>
      <c r="S159" s="138"/>
      <c r="T159" s="3"/>
      <c r="U159" s="3"/>
      <c r="V159" s="3"/>
      <c r="W159" s="3" t="str">
        <f t="shared" si="64"/>
        <v/>
      </c>
      <c r="X159" s="9" t="str">
        <f t="shared" si="65"/>
        <v/>
      </c>
      <c r="Y159" s="9" t="str">
        <f t="shared" si="66"/>
        <v/>
      </c>
      <c r="Z159" s="3" t="e">
        <f>INDEX('справочная информация'!$U$6:$AK$29,MATCH('Расчет грейда'!$Y159,'справочная информация'!$T$6:$T$29,0),MATCH('Расчет грейда'!$X159,'справочная информация'!$U$5:$AK$5,0))</f>
        <v>#N/A</v>
      </c>
      <c r="AA159" s="9" t="str">
        <f t="shared" si="67"/>
        <v/>
      </c>
      <c r="AB159" s="3" t="e">
        <f>INDEX('справочная информация'!$B$68:$H$83,MATCH('Расчет грейда'!$AA159,'справочная информация'!$A$68:$A$83,0),MATCH('Расчет грейда'!$N159,'справочная информация'!$B$67:$H$67,0))</f>
        <v>#N/A</v>
      </c>
      <c r="AC159" s="3" t="e">
        <f>INDEX('справочная информация'!$D$130:$AD$145,MATCH('Расчет грейда'!$AW159,'справочная информация'!$C$130:$C$145,0),MATCH('Расчет грейда'!$AV159,'справочная информация'!$D$129:$AD$129,0))</f>
        <v>#N/A</v>
      </c>
      <c r="AD159" s="9" t="str">
        <f t="shared" si="68"/>
        <v/>
      </c>
      <c r="AE159" s="9" t="str">
        <f t="shared" si="69"/>
        <v/>
      </c>
      <c r="AF159" s="3" t="str">
        <f>IFERROR(IF(AND(AD159="",AE159=""),"",INDEX('справочная информация'!$B$188:$Y$211,MATCH('Расчет грейда'!$AE159,'справочная информация'!$A$188:$A$211,0),MATCH('Расчет грейда'!$AD159,'справочная информация'!$B$187:$Y$187,0))),"НЕТ")</f>
        <v/>
      </c>
      <c r="AG159" s="3" t="e">
        <f>VLOOKUP(J159,'справочная информация'!$D$267:$E$274,2,0)</f>
        <v>#N/A</v>
      </c>
      <c r="AH159" s="3" t="e">
        <f>VLOOKUP(K159,'справочная информация'!$D$279:$E$283,2,0)</f>
        <v>#N/A</v>
      </c>
      <c r="AI159" s="3" t="e">
        <f>VLOOKUP(L159,'справочная информация'!$D$288:$E$290,2,0)</f>
        <v>#N/A</v>
      </c>
      <c r="AJ159" s="3" t="str">
        <f t="shared" si="70"/>
        <v/>
      </c>
      <c r="AK159" s="169" t="e">
        <f>VLOOKUP(M159,'справочная информация'!$D$294:$E$301,2,0)</f>
        <v>#N/A</v>
      </c>
      <c r="AL159" s="3" t="e">
        <f>VLOOKUP(N159,'справочная информация'!$D$306:$E$310,2,0)</f>
        <v>#N/A</v>
      </c>
      <c r="AM159" s="169" t="str">
        <f t="shared" si="71"/>
        <v>()</v>
      </c>
      <c r="AN159" s="3" t="str">
        <f t="shared" si="72"/>
        <v/>
      </c>
      <c r="AO159" s="3" t="e">
        <f>VLOOKUP(O159,'справочная информация'!$D$329:$E$336,2,0)</f>
        <v>#N/A</v>
      </c>
      <c r="AP159" s="3" t="e">
        <f>VLOOKUP(P159,'справочная информация'!$D$342:$E$349,2,0)</f>
        <v>#N/A</v>
      </c>
      <c r="AQ159" s="3" t="e">
        <f>VLOOKUP(Q159,'справочная информация'!$D$316:$E$325,2,0)</f>
        <v>#N/A</v>
      </c>
      <c r="AR159" s="3" t="str">
        <f t="shared" si="73"/>
        <v/>
      </c>
      <c r="AS159" s="170" t="str">
        <f t="shared" si="74"/>
        <v/>
      </c>
      <c r="AT159" s="3" t="str">
        <f t="shared" si="75"/>
        <v/>
      </c>
      <c r="AU159" s="3" t="e">
        <f>ABS(MATCH($AX159,'справочная информация'!$A$354:$A$391,0)-MATCH($AY159,'справочная информация'!$A$354:$A$391,0))</f>
        <v>#N/A</v>
      </c>
      <c r="AV159" s="3" t="str">
        <f>IFERROR(INDEX('справочная информация'!$B$6:$R$29,MATCH('Расчет грейда'!$Y159,'справочная информация'!$A$6:$A$29,0),MATCH('Расчет грейда'!$X159,'справочная информация'!$B$5:$R$5,0)),"")</f>
        <v/>
      </c>
      <c r="AW159" s="171" t="str">
        <f>IFERROR(INDEX('справочная информация'!$B$37:$H$52,MATCH('Расчет грейда'!$AA159,'справочная информация'!$A$37:$A$52,0),MATCH('Расчет грейда'!$N159,'справочная информация'!$B$36:$H$36,0)),"")</f>
        <v/>
      </c>
      <c r="AX159" s="122" t="str">
        <f>IFERROR(INDEX('справочная информация'!$D$108:$AD$123,MATCH('Расчет грейда'!$AW159,'справочная информация'!$C$108:$C$123,0),MATCH('Расчет грейда'!$AV159,'справочная информация'!$D$107:$AD$107,0)),"")</f>
        <v/>
      </c>
      <c r="AY159" s="133" t="str">
        <f>IFERROR(INDEX('справочная информация'!$B$158:$Y$181,MATCH('Расчет грейда'!$AE159,'справочная информация'!$A$158:$A$181,0),MATCH('Расчет грейда'!$AD159,'справочная информация'!$B$157:$Y$157,0)),"")</f>
        <v/>
      </c>
      <c r="AZ159" s="170" t="str">
        <f t="shared" si="76"/>
        <v/>
      </c>
      <c r="BA159" s="172" t="str">
        <f>IFERROR(CONCATENATE(TEXT(AZ159/INDEX('справочная информация'!$D$223:$D$261,MATCH('Расчет грейда'!$AZ159,'справочная информация'!$C$223:$C$261,1)),"0%")," - процент относительно медианы 100%. ","MIN балл на грейде ",INDEX('справочная информация'!$C$223:$C$261,MATCH('Расчет грейда'!$AZ159,'справочная информация'!$C$223:$C$261,1)),", "," MAX балл на грейде ",INDEX('справочная информация'!$E$223:$E$261,MATCH('Расчет грейда'!$AZ159,'справочная информация'!$C$223:$C$261,1))),"")</f>
        <v/>
      </c>
      <c r="BB159" s="120" t="str">
        <f t="shared" si="77"/>
        <v/>
      </c>
      <c r="BC159" s="3" t="str">
        <f t="shared" si="78"/>
        <v/>
      </c>
      <c r="BD159" s="121" t="str">
        <f>IFERROR(VLOOKUP(BC159,'справочная информация'!$B$416:$C$424,2,0),"Проверить данные, нетипичная должность")</f>
        <v>Проверить данные, нетипичная должность</v>
      </c>
      <c r="BE159" s="3" t="str">
        <f t="shared" si="79"/>
        <v/>
      </c>
      <c r="BF159" s="3" t="str">
        <f>IFERROR(INDEX('справочная информация'!$F$223:$F$261,MATCH('Расчет грейда'!$AZ159,'справочная информация'!$C$223:$C$261,1)),"")</f>
        <v/>
      </c>
    </row>
    <row r="160" spans="1:58" s="9" customFormat="1" x14ac:dyDescent="0.35">
      <c r="A160" s="120"/>
      <c r="B160" s="122"/>
      <c r="C160" s="140"/>
      <c r="D160" s="120"/>
      <c r="E160" s="120"/>
      <c r="F160" s="120"/>
      <c r="G160" s="120"/>
      <c r="H160" s="120"/>
      <c r="J160" s="142"/>
      <c r="K160" s="142"/>
      <c r="L160" s="142"/>
      <c r="R160" s="3"/>
      <c r="S160" s="138"/>
      <c r="T160" s="3"/>
      <c r="U160" s="3"/>
      <c r="V160" s="3"/>
      <c r="W160" s="3" t="str">
        <f t="shared" si="64"/>
        <v/>
      </c>
      <c r="X160" s="9" t="str">
        <f t="shared" si="65"/>
        <v/>
      </c>
      <c r="Y160" s="9" t="str">
        <f t="shared" si="66"/>
        <v/>
      </c>
      <c r="Z160" s="3" t="e">
        <f>INDEX('справочная информация'!$U$6:$AK$29,MATCH('Расчет грейда'!$Y160,'справочная информация'!$T$6:$T$29,0),MATCH('Расчет грейда'!$X160,'справочная информация'!$U$5:$AK$5,0))</f>
        <v>#N/A</v>
      </c>
      <c r="AA160" s="9" t="str">
        <f t="shared" si="67"/>
        <v/>
      </c>
      <c r="AB160" s="3" t="e">
        <f>INDEX('справочная информация'!$B$68:$H$83,MATCH('Расчет грейда'!$AA160,'справочная информация'!$A$68:$A$83,0),MATCH('Расчет грейда'!$N160,'справочная информация'!$B$67:$H$67,0))</f>
        <v>#N/A</v>
      </c>
      <c r="AC160" s="3" t="e">
        <f>INDEX('справочная информация'!$D$130:$AD$145,MATCH('Расчет грейда'!$AW160,'справочная информация'!$C$130:$C$145,0),MATCH('Расчет грейда'!$AV160,'справочная информация'!$D$129:$AD$129,0))</f>
        <v>#N/A</v>
      </c>
      <c r="AD160" s="9" t="str">
        <f t="shared" si="68"/>
        <v/>
      </c>
      <c r="AE160" s="9" t="str">
        <f t="shared" si="69"/>
        <v/>
      </c>
      <c r="AF160" s="3" t="str">
        <f>IFERROR(IF(AND(AD160="",AE160=""),"",INDEX('справочная информация'!$B$188:$Y$211,MATCH('Расчет грейда'!$AE160,'справочная информация'!$A$188:$A$211,0),MATCH('Расчет грейда'!$AD160,'справочная информация'!$B$187:$Y$187,0))),"НЕТ")</f>
        <v/>
      </c>
      <c r="AG160" s="3" t="e">
        <f>VLOOKUP(J160,'справочная информация'!$D$267:$E$274,2,0)</f>
        <v>#N/A</v>
      </c>
      <c r="AH160" s="3" t="e">
        <f>VLOOKUP(K160,'справочная информация'!$D$279:$E$283,2,0)</f>
        <v>#N/A</v>
      </c>
      <c r="AI160" s="3" t="e">
        <f>VLOOKUP(L160,'справочная информация'!$D$288:$E$290,2,0)</f>
        <v>#N/A</v>
      </c>
      <c r="AJ160" s="3" t="str">
        <f t="shared" si="70"/>
        <v/>
      </c>
      <c r="AK160" s="169" t="e">
        <f>VLOOKUP(M160,'справочная информация'!$D$294:$E$301,2,0)</f>
        <v>#N/A</v>
      </c>
      <c r="AL160" s="3" t="e">
        <f>VLOOKUP(N160,'справочная информация'!$D$306:$E$310,2,0)</f>
        <v>#N/A</v>
      </c>
      <c r="AM160" s="169" t="str">
        <f t="shared" si="71"/>
        <v>()</v>
      </c>
      <c r="AN160" s="3" t="str">
        <f t="shared" si="72"/>
        <v/>
      </c>
      <c r="AO160" s="3" t="e">
        <f>VLOOKUP(O160,'справочная информация'!$D$329:$E$336,2,0)</f>
        <v>#N/A</v>
      </c>
      <c r="AP160" s="3" t="e">
        <f>VLOOKUP(P160,'справочная информация'!$D$342:$E$349,2,0)</f>
        <v>#N/A</v>
      </c>
      <c r="AQ160" s="3" t="e">
        <f>VLOOKUP(Q160,'справочная информация'!$D$316:$E$325,2,0)</f>
        <v>#N/A</v>
      </c>
      <c r="AR160" s="3" t="str">
        <f t="shared" si="73"/>
        <v/>
      </c>
      <c r="AS160" s="170" t="str">
        <f t="shared" si="74"/>
        <v/>
      </c>
      <c r="AT160" s="3" t="str">
        <f t="shared" si="75"/>
        <v/>
      </c>
      <c r="AU160" s="3" t="e">
        <f>ABS(MATCH($AX160,'справочная информация'!$A$354:$A$391,0)-MATCH($AY160,'справочная информация'!$A$354:$A$391,0))</f>
        <v>#N/A</v>
      </c>
      <c r="AV160" s="3" t="str">
        <f>IFERROR(INDEX('справочная информация'!$B$6:$R$29,MATCH('Расчет грейда'!$Y160,'справочная информация'!$A$6:$A$29,0),MATCH('Расчет грейда'!$X160,'справочная информация'!$B$5:$R$5,0)),"")</f>
        <v/>
      </c>
      <c r="AW160" s="171" t="str">
        <f>IFERROR(INDEX('справочная информация'!$B$37:$H$52,MATCH('Расчет грейда'!$AA160,'справочная информация'!$A$37:$A$52,0),MATCH('Расчет грейда'!$N160,'справочная информация'!$B$36:$H$36,0)),"")</f>
        <v/>
      </c>
      <c r="AX160" s="122" t="str">
        <f>IFERROR(INDEX('справочная информация'!$D$108:$AD$123,MATCH('Расчет грейда'!$AW160,'справочная информация'!$C$108:$C$123,0),MATCH('Расчет грейда'!$AV160,'справочная информация'!$D$107:$AD$107,0)),"")</f>
        <v/>
      </c>
      <c r="AY160" s="133" t="str">
        <f>IFERROR(INDEX('справочная информация'!$B$158:$Y$181,MATCH('Расчет грейда'!$AE160,'справочная информация'!$A$158:$A$181,0),MATCH('Расчет грейда'!$AD160,'справочная информация'!$B$157:$Y$157,0)),"")</f>
        <v/>
      </c>
      <c r="AZ160" s="170" t="str">
        <f t="shared" si="76"/>
        <v/>
      </c>
      <c r="BA160" s="172" t="str">
        <f>IFERROR(CONCATENATE(TEXT(AZ160/INDEX('справочная информация'!$D$223:$D$261,MATCH('Расчет грейда'!$AZ160,'справочная информация'!$C$223:$C$261,1)),"0%")," - процент относительно медианы 100%. ","MIN балл на грейде ",INDEX('справочная информация'!$C$223:$C$261,MATCH('Расчет грейда'!$AZ160,'справочная информация'!$C$223:$C$261,1)),", "," MAX балл на грейде ",INDEX('справочная информация'!$E$223:$E$261,MATCH('Расчет грейда'!$AZ160,'справочная информация'!$C$223:$C$261,1))),"")</f>
        <v/>
      </c>
      <c r="BB160" s="120" t="str">
        <f t="shared" si="77"/>
        <v/>
      </c>
      <c r="BC160" s="3" t="str">
        <f t="shared" si="78"/>
        <v/>
      </c>
      <c r="BD160" s="121" t="str">
        <f>IFERROR(VLOOKUP(BC160,'справочная информация'!$B$416:$C$424,2,0),"Проверить данные, нетипичная должность")</f>
        <v>Проверить данные, нетипичная должность</v>
      </c>
      <c r="BE160" s="3" t="str">
        <f t="shared" si="79"/>
        <v/>
      </c>
      <c r="BF160" s="3" t="str">
        <f>IFERROR(INDEX('справочная информация'!$F$223:$F$261,MATCH('Расчет грейда'!$AZ160,'справочная информация'!$C$223:$C$261,1)),"")</f>
        <v/>
      </c>
    </row>
    <row r="161" spans="1:58" s="9" customFormat="1" x14ac:dyDescent="0.35">
      <c r="A161" s="120"/>
      <c r="B161" s="122"/>
      <c r="C161" s="140"/>
      <c r="D161" s="120"/>
      <c r="E161" s="120"/>
      <c r="F161" s="120"/>
      <c r="G161" s="120"/>
      <c r="H161" s="120"/>
      <c r="J161" s="142"/>
      <c r="K161" s="142"/>
      <c r="L161" s="142"/>
      <c r="R161" s="3"/>
      <c r="S161" s="138"/>
      <c r="T161" s="3"/>
      <c r="U161" s="3"/>
      <c r="V161" s="3"/>
      <c r="W161" s="3" t="str">
        <f t="shared" si="64"/>
        <v/>
      </c>
      <c r="X161" s="9" t="str">
        <f t="shared" si="65"/>
        <v/>
      </c>
      <c r="Y161" s="9" t="str">
        <f t="shared" si="66"/>
        <v/>
      </c>
      <c r="Z161" s="3" t="e">
        <f>INDEX('справочная информация'!$U$6:$AK$29,MATCH('Расчет грейда'!$Y161,'справочная информация'!$T$6:$T$29,0),MATCH('Расчет грейда'!$X161,'справочная информация'!$U$5:$AK$5,0))</f>
        <v>#N/A</v>
      </c>
      <c r="AA161" s="9" t="str">
        <f t="shared" si="67"/>
        <v/>
      </c>
      <c r="AB161" s="3" t="e">
        <f>INDEX('справочная информация'!$B$68:$H$83,MATCH('Расчет грейда'!$AA161,'справочная информация'!$A$68:$A$83,0),MATCH('Расчет грейда'!$N161,'справочная информация'!$B$67:$H$67,0))</f>
        <v>#N/A</v>
      </c>
      <c r="AC161" s="3" t="e">
        <f>INDEX('справочная информация'!$D$130:$AD$145,MATCH('Расчет грейда'!$AW161,'справочная информация'!$C$130:$C$145,0),MATCH('Расчет грейда'!$AV161,'справочная информация'!$D$129:$AD$129,0))</f>
        <v>#N/A</v>
      </c>
      <c r="AD161" s="9" t="str">
        <f t="shared" si="68"/>
        <v/>
      </c>
      <c r="AE161" s="9" t="str">
        <f t="shared" si="69"/>
        <v/>
      </c>
      <c r="AF161" s="3" t="str">
        <f>IFERROR(IF(AND(AD161="",AE161=""),"",INDEX('справочная информация'!$B$188:$Y$211,MATCH('Расчет грейда'!$AE161,'справочная информация'!$A$188:$A$211,0),MATCH('Расчет грейда'!$AD161,'справочная информация'!$B$187:$Y$187,0))),"НЕТ")</f>
        <v/>
      </c>
      <c r="AG161" s="3" t="e">
        <f>VLOOKUP(J161,'справочная информация'!$D$267:$E$274,2,0)</f>
        <v>#N/A</v>
      </c>
      <c r="AH161" s="3" t="e">
        <f>VLOOKUP(K161,'справочная информация'!$D$279:$E$283,2,0)</f>
        <v>#N/A</v>
      </c>
      <c r="AI161" s="3" t="e">
        <f>VLOOKUP(L161,'справочная информация'!$D$288:$E$290,2,0)</f>
        <v>#N/A</v>
      </c>
      <c r="AJ161" s="3" t="str">
        <f t="shared" si="70"/>
        <v/>
      </c>
      <c r="AK161" s="169" t="e">
        <f>VLOOKUP(M161,'справочная информация'!$D$294:$E$301,2,0)</f>
        <v>#N/A</v>
      </c>
      <c r="AL161" s="3" t="e">
        <f>VLOOKUP(N161,'справочная информация'!$D$306:$E$310,2,0)</f>
        <v>#N/A</v>
      </c>
      <c r="AM161" s="169" t="str">
        <f t="shared" si="71"/>
        <v>()</v>
      </c>
      <c r="AN161" s="3" t="str">
        <f t="shared" si="72"/>
        <v/>
      </c>
      <c r="AO161" s="3" t="e">
        <f>VLOOKUP(O161,'справочная информация'!$D$329:$E$336,2,0)</f>
        <v>#N/A</v>
      </c>
      <c r="AP161" s="3" t="e">
        <f>VLOOKUP(P161,'справочная информация'!$D$342:$E$349,2,0)</f>
        <v>#N/A</v>
      </c>
      <c r="AQ161" s="3" t="e">
        <f>VLOOKUP(Q161,'справочная информация'!$D$316:$E$325,2,0)</f>
        <v>#N/A</v>
      </c>
      <c r="AR161" s="3" t="str">
        <f t="shared" si="73"/>
        <v/>
      </c>
      <c r="AS161" s="170" t="str">
        <f t="shared" si="74"/>
        <v/>
      </c>
      <c r="AT161" s="3" t="str">
        <f t="shared" si="75"/>
        <v/>
      </c>
      <c r="AU161" s="3" t="e">
        <f>ABS(MATCH($AX161,'справочная информация'!$A$354:$A$391,0)-MATCH($AY161,'справочная информация'!$A$354:$A$391,0))</f>
        <v>#N/A</v>
      </c>
      <c r="AV161" s="3" t="str">
        <f>IFERROR(INDEX('справочная информация'!$B$6:$R$29,MATCH('Расчет грейда'!$Y161,'справочная информация'!$A$6:$A$29,0),MATCH('Расчет грейда'!$X161,'справочная информация'!$B$5:$R$5,0)),"")</f>
        <v/>
      </c>
      <c r="AW161" s="171" t="str">
        <f>IFERROR(INDEX('справочная информация'!$B$37:$H$52,MATCH('Расчет грейда'!$AA161,'справочная информация'!$A$37:$A$52,0),MATCH('Расчет грейда'!$N161,'справочная информация'!$B$36:$H$36,0)),"")</f>
        <v/>
      </c>
      <c r="AX161" s="122" t="str">
        <f>IFERROR(INDEX('справочная информация'!$D$108:$AD$123,MATCH('Расчет грейда'!$AW161,'справочная информация'!$C$108:$C$123,0),MATCH('Расчет грейда'!$AV161,'справочная информация'!$D$107:$AD$107,0)),"")</f>
        <v/>
      </c>
      <c r="AY161" s="133" t="str">
        <f>IFERROR(INDEX('справочная информация'!$B$158:$Y$181,MATCH('Расчет грейда'!$AE161,'справочная информация'!$A$158:$A$181,0),MATCH('Расчет грейда'!$AD161,'справочная информация'!$B$157:$Y$157,0)),"")</f>
        <v/>
      </c>
      <c r="AZ161" s="170" t="str">
        <f t="shared" si="76"/>
        <v/>
      </c>
      <c r="BA161" s="172" t="str">
        <f>IFERROR(CONCATENATE(TEXT(AZ161/INDEX('справочная информация'!$D$223:$D$261,MATCH('Расчет грейда'!$AZ161,'справочная информация'!$C$223:$C$261,1)),"0%")," - процент относительно медианы 100%. ","MIN балл на грейде ",INDEX('справочная информация'!$C$223:$C$261,MATCH('Расчет грейда'!$AZ161,'справочная информация'!$C$223:$C$261,1)),", "," MAX балл на грейде ",INDEX('справочная информация'!$E$223:$E$261,MATCH('Расчет грейда'!$AZ161,'справочная информация'!$C$223:$C$261,1))),"")</f>
        <v/>
      </c>
      <c r="BB161" s="120" t="str">
        <f t="shared" si="77"/>
        <v/>
      </c>
      <c r="BC161" s="3" t="str">
        <f t="shared" si="78"/>
        <v/>
      </c>
      <c r="BD161" s="121" t="str">
        <f>IFERROR(VLOOKUP(BC161,'справочная информация'!$B$416:$C$424,2,0),"Проверить данные, нетипичная должность")</f>
        <v>Проверить данные, нетипичная должность</v>
      </c>
      <c r="BE161" s="3" t="str">
        <f t="shared" si="79"/>
        <v/>
      </c>
      <c r="BF161" s="3" t="str">
        <f>IFERROR(INDEX('справочная информация'!$F$223:$F$261,MATCH('Расчет грейда'!$AZ161,'справочная информация'!$C$223:$C$261,1)),"")</f>
        <v/>
      </c>
    </row>
    <row r="162" spans="1:58" s="9" customFormat="1" x14ac:dyDescent="0.35">
      <c r="A162" s="120"/>
      <c r="B162" s="122"/>
      <c r="C162" s="140"/>
      <c r="D162" s="120"/>
      <c r="E162" s="120"/>
      <c r="F162" s="120"/>
      <c r="G162" s="120"/>
      <c r="H162" s="120"/>
      <c r="J162" s="142"/>
      <c r="K162" s="142"/>
      <c r="L162" s="142"/>
      <c r="R162" s="3"/>
      <c r="S162" s="138"/>
      <c r="T162" s="3"/>
      <c r="U162" s="3"/>
      <c r="V162" s="3"/>
      <c r="W162" s="3" t="str">
        <f t="shared" si="64"/>
        <v/>
      </c>
      <c r="X162" s="9" t="str">
        <f t="shared" si="65"/>
        <v/>
      </c>
      <c r="Y162" s="9" t="str">
        <f t="shared" si="66"/>
        <v/>
      </c>
      <c r="Z162" s="3" t="e">
        <f>INDEX('справочная информация'!$U$6:$AK$29,MATCH('Расчет грейда'!$Y162,'справочная информация'!$T$6:$T$29,0),MATCH('Расчет грейда'!$X162,'справочная информация'!$U$5:$AK$5,0))</f>
        <v>#N/A</v>
      </c>
      <c r="AA162" s="9" t="str">
        <f t="shared" si="67"/>
        <v/>
      </c>
      <c r="AB162" s="3" t="e">
        <f>INDEX('справочная информация'!$B$68:$H$83,MATCH('Расчет грейда'!$AA162,'справочная информация'!$A$68:$A$83,0),MATCH('Расчет грейда'!$N162,'справочная информация'!$B$67:$H$67,0))</f>
        <v>#N/A</v>
      </c>
      <c r="AC162" s="3" t="e">
        <f>INDEX('справочная информация'!$D$130:$AD$145,MATCH('Расчет грейда'!$AW162,'справочная информация'!$C$130:$C$145,0),MATCH('Расчет грейда'!$AV162,'справочная информация'!$D$129:$AD$129,0))</f>
        <v>#N/A</v>
      </c>
      <c r="AD162" s="9" t="str">
        <f t="shared" si="68"/>
        <v/>
      </c>
      <c r="AE162" s="9" t="str">
        <f t="shared" si="69"/>
        <v/>
      </c>
      <c r="AF162" s="3" t="str">
        <f>IFERROR(IF(AND(AD162="",AE162=""),"",INDEX('справочная информация'!$B$188:$Y$211,MATCH('Расчет грейда'!$AE162,'справочная информация'!$A$188:$A$211,0),MATCH('Расчет грейда'!$AD162,'справочная информация'!$B$187:$Y$187,0))),"НЕТ")</f>
        <v/>
      </c>
      <c r="AG162" s="3" t="e">
        <f>VLOOKUP(J162,'справочная информация'!$D$267:$E$274,2,0)</f>
        <v>#N/A</v>
      </c>
      <c r="AH162" s="3" t="e">
        <f>VLOOKUP(K162,'справочная информация'!$D$279:$E$283,2,0)</f>
        <v>#N/A</v>
      </c>
      <c r="AI162" s="3" t="e">
        <f>VLOOKUP(L162,'справочная информация'!$D$288:$E$290,2,0)</f>
        <v>#N/A</v>
      </c>
      <c r="AJ162" s="3" t="str">
        <f t="shared" si="70"/>
        <v/>
      </c>
      <c r="AK162" s="169" t="e">
        <f>VLOOKUP(M162,'справочная информация'!$D$294:$E$301,2,0)</f>
        <v>#N/A</v>
      </c>
      <c r="AL162" s="3" t="e">
        <f>VLOOKUP(N162,'справочная информация'!$D$306:$E$310,2,0)</f>
        <v>#N/A</v>
      </c>
      <c r="AM162" s="169" t="str">
        <f t="shared" si="71"/>
        <v>()</v>
      </c>
      <c r="AN162" s="3" t="str">
        <f t="shared" si="72"/>
        <v/>
      </c>
      <c r="AO162" s="3" t="e">
        <f>VLOOKUP(O162,'справочная информация'!$D$329:$E$336,2,0)</f>
        <v>#N/A</v>
      </c>
      <c r="AP162" s="3" t="e">
        <f>VLOOKUP(P162,'справочная информация'!$D$342:$E$349,2,0)</f>
        <v>#N/A</v>
      </c>
      <c r="AQ162" s="3" t="e">
        <f>VLOOKUP(Q162,'справочная информация'!$D$316:$E$325,2,0)</f>
        <v>#N/A</v>
      </c>
      <c r="AR162" s="3" t="str">
        <f t="shared" si="73"/>
        <v/>
      </c>
      <c r="AS162" s="170" t="str">
        <f t="shared" si="74"/>
        <v/>
      </c>
      <c r="AT162" s="3" t="str">
        <f t="shared" si="75"/>
        <v/>
      </c>
      <c r="AU162" s="3" t="e">
        <f>ABS(MATCH($AX162,'справочная информация'!$A$354:$A$391,0)-MATCH($AY162,'справочная информация'!$A$354:$A$391,0))</f>
        <v>#N/A</v>
      </c>
      <c r="AV162" s="3" t="str">
        <f>IFERROR(INDEX('справочная информация'!$B$6:$R$29,MATCH('Расчет грейда'!$Y162,'справочная информация'!$A$6:$A$29,0),MATCH('Расчет грейда'!$X162,'справочная информация'!$B$5:$R$5,0)),"")</f>
        <v/>
      </c>
      <c r="AW162" s="171" t="str">
        <f>IFERROR(INDEX('справочная информация'!$B$37:$H$52,MATCH('Расчет грейда'!$AA162,'справочная информация'!$A$37:$A$52,0),MATCH('Расчет грейда'!$N162,'справочная информация'!$B$36:$H$36,0)),"")</f>
        <v/>
      </c>
      <c r="AX162" s="122" t="str">
        <f>IFERROR(INDEX('справочная информация'!$D$108:$AD$123,MATCH('Расчет грейда'!$AW162,'справочная информация'!$C$108:$C$123,0),MATCH('Расчет грейда'!$AV162,'справочная информация'!$D$107:$AD$107,0)),"")</f>
        <v/>
      </c>
      <c r="AY162" s="133" t="str">
        <f>IFERROR(INDEX('справочная информация'!$B$158:$Y$181,MATCH('Расчет грейда'!$AE162,'справочная информация'!$A$158:$A$181,0),MATCH('Расчет грейда'!$AD162,'справочная информация'!$B$157:$Y$157,0)),"")</f>
        <v/>
      </c>
      <c r="AZ162" s="170" t="str">
        <f t="shared" si="76"/>
        <v/>
      </c>
      <c r="BA162" s="172" t="str">
        <f>IFERROR(CONCATENATE(TEXT(AZ162/INDEX('справочная информация'!$D$223:$D$261,MATCH('Расчет грейда'!$AZ162,'справочная информация'!$C$223:$C$261,1)),"0%")," - процент относительно медианы 100%. ","MIN балл на грейде ",INDEX('справочная информация'!$C$223:$C$261,MATCH('Расчет грейда'!$AZ162,'справочная информация'!$C$223:$C$261,1)),", "," MAX балл на грейде ",INDEX('справочная информация'!$E$223:$E$261,MATCH('Расчет грейда'!$AZ162,'справочная информация'!$C$223:$C$261,1))),"")</f>
        <v/>
      </c>
      <c r="BB162" s="120" t="str">
        <f t="shared" si="77"/>
        <v/>
      </c>
      <c r="BC162" s="3" t="str">
        <f t="shared" si="78"/>
        <v/>
      </c>
      <c r="BD162" s="121" t="str">
        <f>IFERROR(VLOOKUP(BC162,'справочная информация'!$B$416:$C$424,2,0),"Проверить данные, нетипичная должность")</f>
        <v>Проверить данные, нетипичная должность</v>
      </c>
      <c r="BE162" s="3" t="str">
        <f t="shared" si="79"/>
        <v/>
      </c>
      <c r="BF162" s="3" t="str">
        <f>IFERROR(INDEX('справочная информация'!$F$223:$F$261,MATCH('Расчет грейда'!$AZ162,'справочная информация'!$C$223:$C$261,1)),"")</f>
        <v/>
      </c>
    </row>
    <row r="163" spans="1:58" s="9" customFormat="1" x14ac:dyDescent="0.35">
      <c r="A163" s="120"/>
      <c r="B163" s="122"/>
      <c r="C163" s="140"/>
      <c r="D163" s="120"/>
      <c r="E163" s="120"/>
      <c r="F163" s="120"/>
      <c r="G163" s="120"/>
      <c r="H163" s="120"/>
      <c r="J163" s="142"/>
      <c r="K163" s="142"/>
      <c r="L163" s="142"/>
      <c r="R163" s="3"/>
      <c r="S163" s="138"/>
      <c r="T163" s="3"/>
      <c r="U163" s="3"/>
      <c r="V163" s="3"/>
      <c r="W163" s="3" t="str">
        <f t="shared" si="64"/>
        <v/>
      </c>
      <c r="X163" s="9" t="str">
        <f t="shared" si="65"/>
        <v/>
      </c>
      <c r="Y163" s="9" t="str">
        <f t="shared" si="66"/>
        <v/>
      </c>
      <c r="Z163" s="3" t="e">
        <f>INDEX('справочная информация'!$U$6:$AK$29,MATCH('Расчет грейда'!$Y163,'справочная информация'!$T$6:$T$29,0),MATCH('Расчет грейда'!$X163,'справочная информация'!$U$5:$AK$5,0))</f>
        <v>#N/A</v>
      </c>
      <c r="AA163" s="9" t="str">
        <f t="shared" si="67"/>
        <v/>
      </c>
      <c r="AB163" s="3" t="e">
        <f>INDEX('справочная информация'!$B$68:$H$83,MATCH('Расчет грейда'!$AA163,'справочная информация'!$A$68:$A$83,0),MATCH('Расчет грейда'!$N163,'справочная информация'!$B$67:$H$67,0))</f>
        <v>#N/A</v>
      </c>
      <c r="AC163" s="3" t="e">
        <f>INDEX('справочная информация'!$D$130:$AD$145,MATCH('Расчет грейда'!$AW163,'справочная информация'!$C$130:$C$145,0),MATCH('Расчет грейда'!$AV163,'справочная информация'!$D$129:$AD$129,0))</f>
        <v>#N/A</v>
      </c>
      <c r="AD163" s="9" t="str">
        <f t="shared" si="68"/>
        <v/>
      </c>
      <c r="AE163" s="9" t="str">
        <f t="shared" si="69"/>
        <v/>
      </c>
      <c r="AF163" s="3" t="str">
        <f>IFERROR(IF(AND(AD163="",AE163=""),"",INDEX('справочная информация'!$B$188:$Y$211,MATCH('Расчет грейда'!$AE163,'справочная информация'!$A$188:$A$211,0),MATCH('Расчет грейда'!$AD163,'справочная информация'!$B$187:$Y$187,0))),"НЕТ")</f>
        <v/>
      </c>
      <c r="AG163" s="3" t="e">
        <f>VLOOKUP(J163,'справочная информация'!$D$267:$E$274,2,0)</f>
        <v>#N/A</v>
      </c>
      <c r="AH163" s="3" t="e">
        <f>VLOOKUP(K163,'справочная информация'!$D$279:$E$283,2,0)</f>
        <v>#N/A</v>
      </c>
      <c r="AI163" s="3" t="e">
        <f>VLOOKUP(L163,'справочная информация'!$D$288:$E$290,2,0)</f>
        <v>#N/A</v>
      </c>
      <c r="AJ163" s="3" t="str">
        <f t="shared" si="70"/>
        <v/>
      </c>
      <c r="AK163" s="169" t="e">
        <f>VLOOKUP(M163,'справочная информация'!$D$294:$E$301,2,0)</f>
        <v>#N/A</v>
      </c>
      <c r="AL163" s="3" t="e">
        <f>VLOOKUP(N163,'справочная информация'!$D$306:$E$310,2,0)</f>
        <v>#N/A</v>
      </c>
      <c r="AM163" s="169" t="str">
        <f t="shared" si="71"/>
        <v>()</v>
      </c>
      <c r="AN163" s="3" t="str">
        <f t="shared" si="72"/>
        <v/>
      </c>
      <c r="AO163" s="3" t="e">
        <f>VLOOKUP(O163,'справочная информация'!$D$329:$E$336,2,0)</f>
        <v>#N/A</v>
      </c>
      <c r="AP163" s="3" t="e">
        <f>VLOOKUP(P163,'справочная информация'!$D$342:$E$349,2,0)</f>
        <v>#N/A</v>
      </c>
      <c r="AQ163" s="3" t="e">
        <f>VLOOKUP(Q163,'справочная информация'!$D$316:$E$325,2,0)</f>
        <v>#N/A</v>
      </c>
      <c r="AR163" s="3" t="str">
        <f t="shared" si="73"/>
        <v/>
      </c>
      <c r="AS163" s="170" t="str">
        <f t="shared" si="74"/>
        <v/>
      </c>
      <c r="AT163" s="3" t="str">
        <f t="shared" si="75"/>
        <v/>
      </c>
      <c r="AU163" s="3" t="e">
        <f>ABS(MATCH($AX163,'справочная информация'!$A$354:$A$391,0)-MATCH($AY163,'справочная информация'!$A$354:$A$391,0))</f>
        <v>#N/A</v>
      </c>
      <c r="AV163" s="3" t="str">
        <f>IFERROR(INDEX('справочная информация'!$B$6:$R$29,MATCH('Расчет грейда'!$Y163,'справочная информация'!$A$6:$A$29,0),MATCH('Расчет грейда'!$X163,'справочная информация'!$B$5:$R$5,0)),"")</f>
        <v/>
      </c>
      <c r="AW163" s="171" t="str">
        <f>IFERROR(INDEX('справочная информация'!$B$37:$H$52,MATCH('Расчет грейда'!$AA163,'справочная информация'!$A$37:$A$52,0),MATCH('Расчет грейда'!$N163,'справочная информация'!$B$36:$H$36,0)),"")</f>
        <v/>
      </c>
      <c r="AX163" s="122" t="str">
        <f>IFERROR(INDEX('справочная информация'!$D$108:$AD$123,MATCH('Расчет грейда'!$AW163,'справочная информация'!$C$108:$C$123,0),MATCH('Расчет грейда'!$AV163,'справочная информация'!$D$107:$AD$107,0)),"")</f>
        <v/>
      </c>
      <c r="AY163" s="133" t="str">
        <f>IFERROR(INDEX('справочная информация'!$B$158:$Y$181,MATCH('Расчет грейда'!$AE163,'справочная информация'!$A$158:$A$181,0),MATCH('Расчет грейда'!$AD163,'справочная информация'!$B$157:$Y$157,0)),"")</f>
        <v/>
      </c>
      <c r="AZ163" s="170" t="str">
        <f t="shared" si="76"/>
        <v/>
      </c>
      <c r="BA163" s="172" t="str">
        <f>IFERROR(CONCATENATE(TEXT(AZ163/INDEX('справочная информация'!$D$223:$D$261,MATCH('Расчет грейда'!$AZ163,'справочная информация'!$C$223:$C$261,1)),"0%")," - процент относительно медианы 100%. ","MIN балл на грейде ",INDEX('справочная информация'!$C$223:$C$261,MATCH('Расчет грейда'!$AZ163,'справочная информация'!$C$223:$C$261,1)),", "," MAX балл на грейде ",INDEX('справочная информация'!$E$223:$E$261,MATCH('Расчет грейда'!$AZ163,'справочная информация'!$C$223:$C$261,1))),"")</f>
        <v/>
      </c>
      <c r="BB163" s="120" t="str">
        <f t="shared" si="77"/>
        <v/>
      </c>
      <c r="BC163" s="3" t="str">
        <f t="shared" si="78"/>
        <v/>
      </c>
      <c r="BD163" s="121" t="str">
        <f>IFERROR(VLOOKUP(BC163,'справочная информация'!$B$416:$C$424,2,0),"Проверить данные, нетипичная должность")</f>
        <v>Проверить данные, нетипичная должность</v>
      </c>
      <c r="BE163" s="3" t="str">
        <f t="shared" si="79"/>
        <v/>
      </c>
      <c r="BF163" s="3" t="str">
        <f>IFERROR(INDEX('справочная информация'!$F$223:$F$261,MATCH('Расчет грейда'!$AZ163,'справочная информация'!$C$223:$C$261,1)),"")</f>
        <v/>
      </c>
    </row>
    <row r="164" spans="1:58" s="9" customFormat="1" x14ac:dyDescent="0.35">
      <c r="A164" s="120"/>
      <c r="B164" s="122"/>
      <c r="C164" s="140"/>
      <c r="D164" s="120"/>
      <c r="E164" s="120"/>
      <c r="F164" s="120"/>
      <c r="G164" s="120"/>
      <c r="H164" s="120"/>
      <c r="J164" s="142"/>
      <c r="K164" s="142"/>
      <c r="L164" s="142"/>
      <c r="R164" s="3"/>
      <c r="S164" s="138"/>
      <c r="T164" s="3"/>
      <c r="U164" s="3"/>
      <c r="V164" s="3"/>
      <c r="W164" s="3" t="str">
        <f t="shared" si="64"/>
        <v/>
      </c>
      <c r="X164" s="9" t="str">
        <f t="shared" si="65"/>
        <v/>
      </c>
      <c r="Y164" s="9" t="str">
        <f t="shared" si="66"/>
        <v/>
      </c>
      <c r="Z164" s="3" t="e">
        <f>INDEX('справочная информация'!$U$6:$AK$29,MATCH('Расчет грейда'!$Y164,'справочная информация'!$T$6:$T$29,0),MATCH('Расчет грейда'!$X164,'справочная информация'!$U$5:$AK$5,0))</f>
        <v>#N/A</v>
      </c>
      <c r="AA164" s="9" t="str">
        <f t="shared" si="67"/>
        <v/>
      </c>
      <c r="AB164" s="3" t="e">
        <f>INDEX('справочная информация'!$B$68:$H$83,MATCH('Расчет грейда'!$AA164,'справочная информация'!$A$68:$A$83,0),MATCH('Расчет грейда'!$N164,'справочная информация'!$B$67:$H$67,0))</f>
        <v>#N/A</v>
      </c>
      <c r="AC164" s="3" t="e">
        <f>INDEX('справочная информация'!$D$130:$AD$145,MATCH('Расчет грейда'!$AW164,'справочная информация'!$C$130:$C$145,0),MATCH('Расчет грейда'!$AV164,'справочная информация'!$D$129:$AD$129,0))</f>
        <v>#N/A</v>
      </c>
      <c r="AD164" s="9" t="str">
        <f t="shared" si="68"/>
        <v/>
      </c>
      <c r="AE164" s="9" t="str">
        <f t="shared" si="69"/>
        <v/>
      </c>
      <c r="AF164" s="3" t="str">
        <f>IFERROR(IF(AND(AD164="",AE164=""),"",INDEX('справочная информация'!$B$188:$Y$211,MATCH('Расчет грейда'!$AE164,'справочная информация'!$A$188:$A$211,0),MATCH('Расчет грейда'!$AD164,'справочная информация'!$B$187:$Y$187,0))),"НЕТ")</f>
        <v/>
      </c>
      <c r="AG164" s="3" t="e">
        <f>VLOOKUP(J164,'справочная информация'!$D$267:$E$274,2,0)</f>
        <v>#N/A</v>
      </c>
      <c r="AH164" s="3" t="e">
        <f>VLOOKUP(K164,'справочная информация'!$D$279:$E$283,2,0)</f>
        <v>#N/A</v>
      </c>
      <c r="AI164" s="3" t="e">
        <f>VLOOKUP(L164,'справочная информация'!$D$288:$E$290,2,0)</f>
        <v>#N/A</v>
      </c>
      <c r="AJ164" s="3" t="str">
        <f t="shared" si="70"/>
        <v/>
      </c>
      <c r="AK164" s="169" t="e">
        <f>VLOOKUP(M164,'справочная информация'!$D$294:$E$301,2,0)</f>
        <v>#N/A</v>
      </c>
      <c r="AL164" s="3" t="e">
        <f>VLOOKUP(N164,'справочная информация'!$D$306:$E$310,2,0)</f>
        <v>#N/A</v>
      </c>
      <c r="AM164" s="169" t="str">
        <f t="shared" si="71"/>
        <v>()</v>
      </c>
      <c r="AN164" s="3" t="str">
        <f t="shared" si="72"/>
        <v/>
      </c>
      <c r="AO164" s="3" t="e">
        <f>VLOOKUP(O164,'справочная информация'!$D$329:$E$336,2,0)</f>
        <v>#N/A</v>
      </c>
      <c r="AP164" s="3" t="e">
        <f>VLOOKUP(P164,'справочная информация'!$D$342:$E$349,2,0)</f>
        <v>#N/A</v>
      </c>
      <c r="AQ164" s="3" t="e">
        <f>VLOOKUP(Q164,'справочная информация'!$D$316:$E$325,2,0)</f>
        <v>#N/A</v>
      </c>
      <c r="AR164" s="3" t="str">
        <f t="shared" si="73"/>
        <v/>
      </c>
      <c r="AS164" s="170" t="str">
        <f t="shared" si="74"/>
        <v/>
      </c>
      <c r="AT164" s="3" t="str">
        <f t="shared" si="75"/>
        <v/>
      </c>
      <c r="AU164" s="3" t="e">
        <f>ABS(MATCH($AX164,'справочная информация'!$A$354:$A$391,0)-MATCH($AY164,'справочная информация'!$A$354:$A$391,0))</f>
        <v>#N/A</v>
      </c>
      <c r="AV164" s="3" t="str">
        <f>IFERROR(INDEX('справочная информация'!$B$6:$R$29,MATCH('Расчет грейда'!$Y164,'справочная информация'!$A$6:$A$29,0),MATCH('Расчет грейда'!$X164,'справочная информация'!$B$5:$R$5,0)),"")</f>
        <v/>
      </c>
      <c r="AW164" s="171" t="str">
        <f>IFERROR(INDEX('справочная информация'!$B$37:$H$52,MATCH('Расчет грейда'!$AA164,'справочная информация'!$A$37:$A$52,0),MATCH('Расчет грейда'!$N164,'справочная информация'!$B$36:$H$36,0)),"")</f>
        <v/>
      </c>
      <c r="AX164" s="122" t="str">
        <f>IFERROR(INDEX('справочная информация'!$D$108:$AD$123,MATCH('Расчет грейда'!$AW164,'справочная информация'!$C$108:$C$123,0),MATCH('Расчет грейда'!$AV164,'справочная информация'!$D$107:$AD$107,0)),"")</f>
        <v/>
      </c>
      <c r="AY164" s="133" t="str">
        <f>IFERROR(INDEX('справочная информация'!$B$158:$Y$181,MATCH('Расчет грейда'!$AE164,'справочная информация'!$A$158:$A$181,0),MATCH('Расчет грейда'!$AD164,'справочная информация'!$B$157:$Y$157,0)),"")</f>
        <v/>
      </c>
      <c r="AZ164" s="170" t="str">
        <f t="shared" si="76"/>
        <v/>
      </c>
      <c r="BA164" s="172" t="str">
        <f>IFERROR(CONCATENATE(TEXT(AZ164/INDEX('справочная информация'!$D$223:$D$261,MATCH('Расчет грейда'!$AZ164,'справочная информация'!$C$223:$C$261,1)),"0%")," - процент относительно медианы 100%. ","MIN балл на грейде ",INDEX('справочная информация'!$C$223:$C$261,MATCH('Расчет грейда'!$AZ164,'справочная информация'!$C$223:$C$261,1)),", "," MAX балл на грейде ",INDEX('справочная информация'!$E$223:$E$261,MATCH('Расчет грейда'!$AZ164,'справочная информация'!$C$223:$C$261,1))),"")</f>
        <v/>
      </c>
      <c r="BB164" s="120" t="str">
        <f t="shared" si="77"/>
        <v/>
      </c>
      <c r="BC164" s="3" t="str">
        <f t="shared" si="78"/>
        <v/>
      </c>
      <c r="BD164" s="121" t="str">
        <f>IFERROR(VLOOKUP(BC164,'справочная информация'!$B$416:$C$424,2,0),"Проверить данные, нетипичная должность")</f>
        <v>Проверить данные, нетипичная должность</v>
      </c>
      <c r="BE164" s="3" t="str">
        <f t="shared" si="79"/>
        <v/>
      </c>
      <c r="BF164" s="3" t="str">
        <f>IFERROR(INDEX('справочная информация'!$F$223:$F$261,MATCH('Расчет грейда'!$AZ164,'справочная информация'!$C$223:$C$261,1)),"")</f>
        <v/>
      </c>
    </row>
    <row r="165" spans="1:58" s="9" customFormat="1" x14ac:dyDescent="0.35">
      <c r="A165" s="120"/>
      <c r="B165" s="122"/>
      <c r="C165" s="140"/>
      <c r="D165" s="120"/>
      <c r="E165" s="120"/>
      <c r="F165" s="120"/>
      <c r="G165" s="120"/>
      <c r="H165" s="120"/>
      <c r="J165" s="142"/>
      <c r="K165" s="142"/>
      <c r="L165" s="142"/>
      <c r="R165" s="3"/>
      <c r="S165" s="138"/>
      <c r="T165" s="3"/>
      <c r="U165" s="3"/>
      <c r="V165" s="3"/>
      <c r="W165" s="3" t="str">
        <f t="shared" si="64"/>
        <v/>
      </c>
      <c r="X165" s="9" t="str">
        <f t="shared" si="65"/>
        <v/>
      </c>
      <c r="Y165" s="9" t="str">
        <f t="shared" si="66"/>
        <v/>
      </c>
      <c r="Z165" s="3" t="e">
        <f>INDEX('справочная информация'!$U$6:$AK$29,MATCH('Расчет грейда'!$Y165,'справочная информация'!$T$6:$T$29,0),MATCH('Расчет грейда'!$X165,'справочная информация'!$U$5:$AK$5,0))</f>
        <v>#N/A</v>
      </c>
      <c r="AA165" s="9" t="str">
        <f t="shared" si="67"/>
        <v/>
      </c>
      <c r="AB165" s="3" t="e">
        <f>INDEX('справочная информация'!$B$68:$H$83,MATCH('Расчет грейда'!$AA165,'справочная информация'!$A$68:$A$83,0),MATCH('Расчет грейда'!$N165,'справочная информация'!$B$67:$H$67,0))</f>
        <v>#N/A</v>
      </c>
      <c r="AC165" s="3" t="e">
        <f>INDEX('справочная информация'!$D$130:$AD$145,MATCH('Расчет грейда'!$AW165,'справочная информация'!$C$130:$C$145,0),MATCH('Расчет грейда'!$AV165,'справочная информация'!$D$129:$AD$129,0))</f>
        <v>#N/A</v>
      </c>
      <c r="AD165" s="9" t="str">
        <f t="shared" si="68"/>
        <v/>
      </c>
      <c r="AE165" s="9" t="str">
        <f t="shared" si="69"/>
        <v/>
      </c>
      <c r="AF165" s="3" t="str">
        <f>IFERROR(IF(AND(AD165="",AE165=""),"",INDEX('справочная информация'!$B$188:$Y$211,MATCH('Расчет грейда'!$AE165,'справочная информация'!$A$188:$A$211,0),MATCH('Расчет грейда'!$AD165,'справочная информация'!$B$187:$Y$187,0))),"НЕТ")</f>
        <v/>
      </c>
      <c r="AG165" s="3" t="e">
        <f>VLOOKUP(J165,'справочная информация'!$D$267:$E$274,2,0)</f>
        <v>#N/A</v>
      </c>
      <c r="AH165" s="3" t="e">
        <f>VLOOKUP(K165,'справочная информация'!$D$279:$E$283,2,0)</f>
        <v>#N/A</v>
      </c>
      <c r="AI165" s="3" t="e">
        <f>VLOOKUP(L165,'справочная информация'!$D$288:$E$290,2,0)</f>
        <v>#N/A</v>
      </c>
      <c r="AJ165" s="3" t="str">
        <f t="shared" si="70"/>
        <v/>
      </c>
      <c r="AK165" s="169" t="e">
        <f>VLOOKUP(M165,'справочная информация'!$D$294:$E$301,2,0)</f>
        <v>#N/A</v>
      </c>
      <c r="AL165" s="3" t="e">
        <f>VLOOKUP(N165,'справочная информация'!$D$306:$E$310,2,0)</f>
        <v>#N/A</v>
      </c>
      <c r="AM165" s="169" t="str">
        <f t="shared" si="71"/>
        <v>()</v>
      </c>
      <c r="AN165" s="3" t="str">
        <f t="shared" si="72"/>
        <v/>
      </c>
      <c r="AO165" s="3" t="e">
        <f>VLOOKUP(O165,'справочная информация'!$D$329:$E$336,2,0)</f>
        <v>#N/A</v>
      </c>
      <c r="AP165" s="3" t="e">
        <f>VLOOKUP(P165,'справочная информация'!$D$342:$E$349,2,0)</f>
        <v>#N/A</v>
      </c>
      <c r="AQ165" s="3" t="e">
        <f>VLOOKUP(Q165,'справочная информация'!$D$316:$E$325,2,0)</f>
        <v>#N/A</v>
      </c>
      <c r="AR165" s="3" t="str">
        <f t="shared" si="73"/>
        <v/>
      </c>
      <c r="AS165" s="170" t="str">
        <f t="shared" si="74"/>
        <v/>
      </c>
      <c r="AT165" s="3" t="str">
        <f t="shared" si="75"/>
        <v/>
      </c>
      <c r="AU165" s="3" t="e">
        <f>ABS(MATCH($AX165,'справочная информация'!$A$354:$A$391,0)-MATCH($AY165,'справочная информация'!$A$354:$A$391,0))</f>
        <v>#N/A</v>
      </c>
      <c r="AV165" s="3" t="str">
        <f>IFERROR(INDEX('справочная информация'!$B$6:$R$29,MATCH('Расчет грейда'!$Y165,'справочная информация'!$A$6:$A$29,0),MATCH('Расчет грейда'!$X165,'справочная информация'!$B$5:$R$5,0)),"")</f>
        <v/>
      </c>
      <c r="AW165" s="171" t="str">
        <f>IFERROR(INDEX('справочная информация'!$B$37:$H$52,MATCH('Расчет грейда'!$AA165,'справочная информация'!$A$37:$A$52,0),MATCH('Расчет грейда'!$N165,'справочная информация'!$B$36:$H$36,0)),"")</f>
        <v/>
      </c>
      <c r="AX165" s="122" t="str">
        <f>IFERROR(INDEX('справочная информация'!$D$108:$AD$123,MATCH('Расчет грейда'!$AW165,'справочная информация'!$C$108:$C$123,0),MATCH('Расчет грейда'!$AV165,'справочная информация'!$D$107:$AD$107,0)),"")</f>
        <v/>
      </c>
      <c r="AY165" s="133" t="str">
        <f>IFERROR(INDEX('справочная информация'!$B$158:$Y$181,MATCH('Расчет грейда'!$AE165,'справочная информация'!$A$158:$A$181,0),MATCH('Расчет грейда'!$AD165,'справочная информация'!$B$157:$Y$157,0)),"")</f>
        <v/>
      </c>
      <c r="AZ165" s="170" t="str">
        <f t="shared" si="76"/>
        <v/>
      </c>
      <c r="BA165" s="172" t="str">
        <f>IFERROR(CONCATENATE(TEXT(AZ165/INDEX('справочная информация'!$D$223:$D$261,MATCH('Расчет грейда'!$AZ165,'справочная информация'!$C$223:$C$261,1)),"0%")," - процент относительно медианы 100%. ","MIN балл на грейде ",INDEX('справочная информация'!$C$223:$C$261,MATCH('Расчет грейда'!$AZ165,'справочная информация'!$C$223:$C$261,1)),", "," MAX балл на грейде ",INDEX('справочная информация'!$E$223:$E$261,MATCH('Расчет грейда'!$AZ165,'справочная информация'!$C$223:$C$261,1))),"")</f>
        <v/>
      </c>
      <c r="BB165" s="120" t="str">
        <f t="shared" si="77"/>
        <v/>
      </c>
      <c r="BC165" s="3" t="str">
        <f t="shared" si="78"/>
        <v/>
      </c>
      <c r="BD165" s="121" t="str">
        <f>IFERROR(VLOOKUP(BC165,'справочная информация'!$B$416:$C$424,2,0),"Проверить данные, нетипичная должность")</f>
        <v>Проверить данные, нетипичная должность</v>
      </c>
      <c r="BE165" s="3" t="str">
        <f t="shared" si="79"/>
        <v/>
      </c>
      <c r="BF165" s="3" t="str">
        <f>IFERROR(INDEX('справочная информация'!$F$223:$F$261,MATCH('Расчет грейда'!$AZ165,'справочная информация'!$C$223:$C$261,1)),"")</f>
        <v/>
      </c>
    </row>
    <row r="166" spans="1:58" s="9" customFormat="1" x14ac:dyDescent="0.35">
      <c r="A166" s="120"/>
      <c r="B166" s="122"/>
      <c r="C166" s="140"/>
      <c r="D166" s="120"/>
      <c r="E166" s="120"/>
      <c r="F166" s="120"/>
      <c r="G166" s="120"/>
      <c r="H166" s="120"/>
      <c r="J166" s="142"/>
      <c r="K166" s="142"/>
      <c r="L166" s="142"/>
      <c r="R166" s="3"/>
      <c r="S166" s="138"/>
      <c r="T166" s="3"/>
      <c r="U166" s="3"/>
      <c r="V166" s="3"/>
      <c r="W166" s="3" t="str">
        <f t="shared" si="64"/>
        <v/>
      </c>
      <c r="X166" s="9" t="str">
        <f t="shared" si="65"/>
        <v/>
      </c>
      <c r="Y166" s="9" t="str">
        <f t="shared" si="66"/>
        <v/>
      </c>
      <c r="Z166" s="3" t="e">
        <f>INDEX('справочная информация'!$U$6:$AK$29,MATCH('Расчет грейда'!$Y166,'справочная информация'!$T$6:$T$29,0),MATCH('Расчет грейда'!$X166,'справочная информация'!$U$5:$AK$5,0))</f>
        <v>#N/A</v>
      </c>
      <c r="AA166" s="9" t="str">
        <f t="shared" si="67"/>
        <v/>
      </c>
      <c r="AB166" s="3" t="e">
        <f>INDEX('справочная информация'!$B$68:$H$83,MATCH('Расчет грейда'!$AA166,'справочная информация'!$A$68:$A$83,0),MATCH('Расчет грейда'!$N166,'справочная информация'!$B$67:$H$67,0))</f>
        <v>#N/A</v>
      </c>
      <c r="AC166" s="3" t="e">
        <f>INDEX('справочная информация'!$D$130:$AD$145,MATCH('Расчет грейда'!$AW166,'справочная информация'!$C$130:$C$145,0),MATCH('Расчет грейда'!$AV166,'справочная информация'!$D$129:$AD$129,0))</f>
        <v>#N/A</v>
      </c>
      <c r="AD166" s="9" t="str">
        <f t="shared" si="68"/>
        <v/>
      </c>
      <c r="AE166" s="9" t="str">
        <f t="shared" si="69"/>
        <v/>
      </c>
      <c r="AF166" s="3" t="str">
        <f>IFERROR(IF(AND(AD166="",AE166=""),"",INDEX('справочная информация'!$B$188:$Y$211,MATCH('Расчет грейда'!$AE166,'справочная информация'!$A$188:$A$211,0),MATCH('Расчет грейда'!$AD166,'справочная информация'!$B$187:$Y$187,0))),"НЕТ")</f>
        <v/>
      </c>
      <c r="AG166" s="3" t="e">
        <f>VLOOKUP(J166,'справочная информация'!$D$267:$E$274,2,0)</f>
        <v>#N/A</v>
      </c>
      <c r="AH166" s="3" t="e">
        <f>VLOOKUP(K166,'справочная информация'!$D$279:$E$283,2,0)</f>
        <v>#N/A</v>
      </c>
      <c r="AI166" s="3" t="e">
        <f>VLOOKUP(L166,'справочная информация'!$D$288:$E$290,2,0)</f>
        <v>#N/A</v>
      </c>
      <c r="AJ166" s="3" t="str">
        <f t="shared" si="70"/>
        <v/>
      </c>
      <c r="AK166" s="169" t="e">
        <f>VLOOKUP(M166,'справочная информация'!$D$294:$E$301,2,0)</f>
        <v>#N/A</v>
      </c>
      <c r="AL166" s="3" t="e">
        <f>VLOOKUP(N166,'справочная информация'!$D$306:$E$310,2,0)</f>
        <v>#N/A</v>
      </c>
      <c r="AM166" s="169" t="str">
        <f t="shared" si="71"/>
        <v>()</v>
      </c>
      <c r="AN166" s="3" t="str">
        <f t="shared" si="72"/>
        <v/>
      </c>
      <c r="AO166" s="3" t="e">
        <f>VLOOKUP(O166,'справочная информация'!$D$329:$E$336,2,0)</f>
        <v>#N/A</v>
      </c>
      <c r="AP166" s="3" t="e">
        <f>VLOOKUP(P166,'справочная информация'!$D$342:$E$349,2,0)</f>
        <v>#N/A</v>
      </c>
      <c r="AQ166" s="3" t="e">
        <f>VLOOKUP(Q166,'справочная информация'!$D$316:$E$325,2,0)</f>
        <v>#N/A</v>
      </c>
      <c r="AR166" s="3" t="str">
        <f t="shared" si="73"/>
        <v/>
      </c>
      <c r="AS166" s="170" t="str">
        <f t="shared" si="74"/>
        <v/>
      </c>
      <c r="AT166" s="3" t="str">
        <f t="shared" si="75"/>
        <v/>
      </c>
      <c r="AU166" s="3" t="e">
        <f>ABS(MATCH($AX166,'справочная информация'!$A$354:$A$391,0)-MATCH($AY166,'справочная информация'!$A$354:$A$391,0))</f>
        <v>#N/A</v>
      </c>
      <c r="AV166" s="3" t="str">
        <f>IFERROR(INDEX('справочная информация'!$B$6:$R$29,MATCH('Расчет грейда'!$Y166,'справочная информация'!$A$6:$A$29,0),MATCH('Расчет грейда'!$X166,'справочная информация'!$B$5:$R$5,0)),"")</f>
        <v/>
      </c>
      <c r="AW166" s="171" t="str">
        <f>IFERROR(INDEX('справочная информация'!$B$37:$H$52,MATCH('Расчет грейда'!$AA166,'справочная информация'!$A$37:$A$52,0),MATCH('Расчет грейда'!$N166,'справочная информация'!$B$36:$H$36,0)),"")</f>
        <v/>
      </c>
      <c r="AX166" s="122" t="str">
        <f>IFERROR(INDEX('справочная информация'!$D$108:$AD$123,MATCH('Расчет грейда'!$AW166,'справочная информация'!$C$108:$C$123,0),MATCH('Расчет грейда'!$AV166,'справочная информация'!$D$107:$AD$107,0)),"")</f>
        <v/>
      </c>
      <c r="AY166" s="133" t="str">
        <f>IFERROR(INDEX('справочная информация'!$B$158:$Y$181,MATCH('Расчет грейда'!$AE166,'справочная информация'!$A$158:$A$181,0),MATCH('Расчет грейда'!$AD166,'справочная информация'!$B$157:$Y$157,0)),"")</f>
        <v/>
      </c>
      <c r="AZ166" s="170" t="str">
        <f t="shared" si="76"/>
        <v/>
      </c>
      <c r="BA166" s="172" t="str">
        <f>IFERROR(CONCATENATE(TEXT(AZ166/INDEX('справочная информация'!$D$223:$D$261,MATCH('Расчет грейда'!$AZ166,'справочная информация'!$C$223:$C$261,1)),"0%")," - процент относительно медианы 100%. ","MIN балл на грейде ",INDEX('справочная информация'!$C$223:$C$261,MATCH('Расчет грейда'!$AZ166,'справочная информация'!$C$223:$C$261,1)),", "," MAX балл на грейде ",INDEX('справочная информация'!$E$223:$E$261,MATCH('Расчет грейда'!$AZ166,'справочная информация'!$C$223:$C$261,1))),"")</f>
        <v/>
      </c>
      <c r="BB166" s="120" t="str">
        <f t="shared" si="77"/>
        <v/>
      </c>
      <c r="BC166" s="3" t="str">
        <f t="shared" si="78"/>
        <v/>
      </c>
      <c r="BD166" s="121" t="str">
        <f>IFERROR(VLOOKUP(BC166,'справочная информация'!$B$416:$C$424,2,0),"Проверить данные, нетипичная должность")</f>
        <v>Проверить данные, нетипичная должность</v>
      </c>
      <c r="BE166" s="3" t="str">
        <f t="shared" si="79"/>
        <v/>
      </c>
      <c r="BF166" s="3" t="str">
        <f>IFERROR(INDEX('справочная информация'!$F$223:$F$261,MATCH('Расчет грейда'!$AZ166,'справочная информация'!$C$223:$C$261,1)),"")</f>
        <v/>
      </c>
    </row>
    <row r="167" spans="1:58" s="9" customFormat="1" x14ac:dyDescent="0.35">
      <c r="A167" s="120"/>
      <c r="B167" s="122"/>
      <c r="C167" s="140"/>
      <c r="D167" s="120"/>
      <c r="E167" s="120"/>
      <c r="F167" s="120"/>
      <c r="G167" s="120"/>
      <c r="H167" s="120"/>
      <c r="J167" s="142"/>
      <c r="K167" s="142"/>
      <c r="L167" s="142"/>
      <c r="R167" s="3"/>
      <c r="S167" s="138"/>
      <c r="T167" s="3"/>
      <c r="U167" s="3"/>
      <c r="V167" s="3"/>
      <c r="W167" s="3" t="str">
        <f t="shared" si="64"/>
        <v/>
      </c>
      <c r="X167" s="9" t="str">
        <f t="shared" si="65"/>
        <v/>
      </c>
      <c r="Y167" s="9" t="str">
        <f t="shared" si="66"/>
        <v/>
      </c>
      <c r="Z167" s="3" t="e">
        <f>INDEX('справочная информация'!$U$6:$AK$29,MATCH('Расчет грейда'!$Y167,'справочная информация'!$T$6:$T$29,0),MATCH('Расчет грейда'!$X167,'справочная информация'!$U$5:$AK$5,0))</f>
        <v>#N/A</v>
      </c>
      <c r="AA167" s="9" t="str">
        <f t="shared" si="67"/>
        <v/>
      </c>
      <c r="AB167" s="3" t="e">
        <f>INDEX('справочная информация'!$B$68:$H$83,MATCH('Расчет грейда'!$AA167,'справочная информация'!$A$68:$A$83,0),MATCH('Расчет грейда'!$N167,'справочная информация'!$B$67:$H$67,0))</f>
        <v>#N/A</v>
      </c>
      <c r="AC167" s="3" t="e">
        <f>INDEX('справочная информация'!$D$130:$AD$145,MATCH('Расчет грейда'!$AW167,'справочная информация'!$C$130:$C$145,0),MATCH('Расчет грейда'!$AV167,'справочная информация'!$D$129:$AD$129,0))</f>
        <v>#N/A</v>
      </c>
      <c r="AD167" s="9" t="str">
        <f t="shared" si="68"/>
        <v/>
      </c>
      <c r="AE167" s="9" t="str">
        <f t="shared" si="69"/>
        <v/>
      </c>
      <c r="AF167" s="3" t="str">
        <f>IFERROR(IF(AND(AD167="",AE167=""),"",INDEX('справочная информация'!$B$188:$Y$211,MATCH('Расчет грейда'!$AE167,'справочная информация'!$A$188:$A$211,0),MATCH('Расчет грейда'!$AD167,'справочная информация'!$B$187:$Y$187,0))),"НЕТ")</f>
        <v/>
      </c>
      <c r="AG167" s="3" t="e">
        <f>VLOOKUP(J167,'справочная информация'!$D$267:$E$274,2,0)</f>
        <v>#N/A</v>
      </c>
      <c r="AH167" s="3" t="e">
        <f>VLOOKUP(K167,'справочная информация'!$D$279:$E$283,2,0)</f>
        <v>#N/A</v>
      </c>
      <c r="AI167" s="3" t="e">
        <f>VLOOKUP(L167,'справочная информация'!$D$288:$E$290,2,0)</f>
        <v>#N/A</v>
      </c>
      <c r="AJ167" s="3" t="str">
        <f t="shared" si="70"/>
        <v/>
      </c>
      <c r="AK167" s="169" t="e">
        <f>VLOOKUP(M167,'справочная информация'!$D$294:$E$301,2,0)</f>
        <v>#N/A</v>
      </c>
      <c r="AL167" s="3" t="e">
        <f>VLOOKUP(N167,'справочная информация'!$D$306:$E$310,2,0)</f>
        <v>#N/A</v>
      </c>
      <c r="AM167" s="169" t="str">
        <f t="shared" si="71"/>
        <v>()</v>
      </c>
      <c r="AN167" s="3" t="str">
        <f t="shared" si="72"/>
        <v/>
      </c>
      <c r="AO167" s="3" t="e">
        <f>VLOOKUP(O167,'справочная информация'!$D$329:$E$336,2,0)</f>
        <v>#N/A</v>
      </c>
      <c r="AP167" s="3" t="e">
        <f>VLOOKUP(P167,'справочная информация'!$D$342:$E$349,2,0)</f>
        <v>#N/A</v>
      </c>
      <c r="AQ167" s="3" t="e">
        <f>VLOOKUP(Q167,'справочная информация'!$D$316:$E$325,2,0)</f>
        <v>#N/A</v>
      </c>
      <c r="AR167" s="3" t="str">
        <f t="shared" si="73"/>
        <v/>
      </c>
      <c r="AS167" s="170" t="str">
        <f t="shared" si="74"/>
        <v/>
      </c>
      <c r="AT167" s="3" t="str">
        <f t="shared" si="75"/>
        <v/>
      </c>
      <c r="AU167" s="3" t="e">
        <f>ABS(MATCH($AX167,'справочная информация'!$A$354:$A$391,0)-MATCH($AY167,'справочная информация'!$A$354:$A$391,0))</f>
        <v>#N/A</v>
      </c>
      <c r="AV167" s="3" t="str">
        <f>IFERROR(INDEX('справочная информация'!$B$6:$R$29,MATCH('Расчет грейда'!$Y167,'справочная информация'!$A$6:$A$29,0),MATCH('Расчет грейда'!$X167,'справочная информация'!$B$5:$R$5,0)),"")</f>
        <v/>
      </c>
      <c r="AW167" s="171" t="str">
        <f>IFERROR(INDEX('справочная информация'!$B$37:$H$52,MATCH('Расчет грейда'!$AA167,'справочная информация'!$A$37:$A$52,0),MATCH('Расчет грейда'!$N167,'справочная информация'!$B$36:$H$36,0)),"")</f>
        <v/>
      </c>
      <c r="AX167" s="122" t="str">
        <f>IFERROR(INDEX('справочная информация'!$D$108:$AD$123,MATCH('Расчет грейда'!$AW167,'справочная информация'!$C$108:$C$123,0),MATCH('Расчет грейда'!$AV167,'справочная информация'!$D$107:$AD$107,0)),"")</f>
        <v/>
      </c>
      <c r="AY167" s="133" t="str">
        <f>IFERROR(INDEX('справочная информация'!$B$158:$Y$181,MATCH('Расчет грейда'!$AE167,'справочная информация'!$A$158:$A$181,0),MATCH('Расчет грейда'!$AD167,'справочная информация'!$B$157:$Y$157,0)),"")</f>
        <v/>
      </c>
      <c r="AZ167" s="170" t="str">
        <f t="shared" si="76"/>
        <v/>
      </c>
      <c r="BA167" s="172" t="str">
        <f>IFERROR(CONCATENATE(TEXT(AZ167/INDEX('справочная информация'!$D$223:$D$261,MATCH('Расчет грейда'!$AZ167,'справочная информация'!$C$223:$C$261,1)),"0%")," - процент относительно медианы 100%. ","MIN балл на грейде ",INDEX('справочная информация'!$C$223:$C$261,MATCH('Расчет грейда'!$AZ167,'справочная информация'!$C$223:$C$261,1)),", "," MAX балл на грейде ",INDEX('справочная информация'!$E$223:$E$261,MATCH('Расчет грейда'!$AZ167,'справочная информация'!$C$223:$C$261,1))),"")</f>
        <v/>
      </c>
      <c r="BB167" s="120" t="str">
        <f t="shared" si="77"/>
        <v/>
      </c>
      <c r="BC167" s="3" t="str">
        <f t="shared" si="78"/>
        <v/>
      </c>
      <c r="BD167" s="121" t="str">
        <f>IFERROR(VLOOKUP(BC167,'справочная информация'!$B$416:$C$424,2,0),"Проверить данные, нетипичная должность")</f>
        <v>Проверить данные, нетипичная должность</v>
      </c>
      <c r="BE167" s="3" t="str">
        <f t="shared" si="79"/>
        <v/>
      </c>
      <c r="BF167" s="3" t="str">
        <f>IFERROR(INDEX('справочная информация'!$F$223:$F$261,MATCH('Расчет грейда'!$AZ167,'справочная информация'!$C$223:$C$261,1)),"")</f>
        <v/>
      </c>
    </row>
    <row r="168" spans="1:58" s="9" customFormat="1" x14ac:dyDescent="0.35">
      <c r="A168" s="120"/>
      <c r="B168" s="122"/>
      <c r="C168" s="140"/>
      <c r="D168" s="120"/>
      <c r="E168" s="120"/>
      <c r="F168" s="120"/>
      <c r="G168" s="120"/>
      <c r="H168" s="120"/>
      <c r="J168" s="142"/>
      <c r="K168" s="142"/>
      <c r="L168" s="142"/>
      <c r="R168" s="3"/>
      <c r="S168" s="138"/>
      <c r="T168" s="3"/>
      <c r="U168" s="3"/>
      <c r="V168" s="3"/>
      <c r="W168" s="3" t="str">
        <f t="shared" si="64"/>
        <v/>
      </c>
      <c r="X168" s="9" t="str">
        <f t="shared" si="65"/>
        <v/>
      </c>
      <c r="Y168" s="9" t="str">
        <f t="shared" si="66"/>
        <v/>
      </c>
      <c r="Z168" s="3" t="e">
        <f>INDEX('справочная информация'!$U$6:$AK$29,MATCH('Расчет грейда'!$Y168,'справочная информация'!$T$6:$T$29,0),MATCH('Расчет грейда'!$X168,'справочная информация'!$U$5:$AK$5,0))</f>
        <v>#N/A</v>
      </c>
      <c r="AA168" s="9" t="str">
        <f t="shared" si="67"/>
        <v/>
      </c>
      <c r="AB168" s="3" t="e">
        <f>INDEX('справочная информация'!$B$68:$H$83,MATCH('Расчет грейда'!$AA168,'справочная информация'!$A$68:$A$83,0),MATCH('Расчет грейда'!$N168,'справочная информация'!$B$67:$H$67,0))</f>
        <v>#N/A</v>
      </c>
      <c r="AC168" s="3" t="e">
        <f>INDEX('справочная информация'!$D$130:$AD$145,MATCH('Расчет грейда'!$AW168,'справочная информация'!$C$130:$C$145,0),MATCH('Расчет грейда'!$AV168,'справочная информация'!$D$129:$AD$129,0))</f>
        <v>#N/A</v>
      </c>
      <c r="AD168" s="9" t="str">
        <f t="shared" si="68"/>
        <v/>
      </c>
      <c r="AE168" s="9" t="str">
        <f t="shared" si="69"/>
        <v/>
      </c>
      <c r="AF168" s="3" t="str">
        <f>IFERROR(IF(AND(AD168="",AE168=""),"",INDEX('справочная информация'!$B$188:$Y$211,MATCH('Расчет грейда'!$AE168,'справочная информация'!$A$188:$A$211,0),MATCH('Расчет грейда'!$AD168,'справочная информация'!$B$187:$Y$187,0))),"НЕТ")</f>
        <v/>
      </c>
      <c r="AG168" s="3" t="e">
        <f>VLOOKUP(J168,'справочная информация'!$D$267:$E$274,2,0)</f>
        <v>#N/A</v>
      </c>
      <c r="AH168" s="3" t="e">
        <f>VLOOKUP(K168,'справочная информация'!$D$279:$E$283,2,0)</f>
        <v>#N/A</v>
      </c>
      <c r="AI168" s="3" t="e">
        <f>VLOOKUP(L168,'справочная информация'!$D$288:$E$290,2,0)</f>
        <v>#N/A</v>
      </c>
      <c r="AJ168" s="3" t="str">
        <f t="shared" si="70"/>
        <v/>
      </c>
      <c r="AK168" s="169" t="e">
        <f>VLOOKUP(M168,'справочная информация'!$D$294:$E$301,2,0)</f>
        <v>#N/A</v>
      </c>
      <c r="AL168" s="3" t="e">
        <f>VLOOKUP(N168,'справочная информация'!$D$306:$E$310,2,0)</f>
        <v>#N/A</v>
      </c>
      <c r="AM168" s="169" t="str">
        <f t="shared" si="71"/>
        <v>()</v>
      </c>
      <c r="AN168" s="3" t="str">
        <f t="shared" si="72"/>
        <v/>
      </c>
      <c r="AO168" s="3" t="e">
        <f>VLOOKUP(O168,'справочная информация'!$D$329:$E$336,2,0)</f>
        <v>#N/A</v>
      </c>
      <c r="AP168" s="3" t="e">
        <f>VLOOKUP(P168,'справочная информация'!$D$342:$E$349,2,0)</f>
        <v>#N/A</v>
      </c>
      <c r="AQ168" s="3" t="e">
        <f>VLOOKUP(Q168,'справочная информация'!$D$316:$E$325,2,0)</f>
        <v>#N/A</v>
      </c>
      <c r="AR168" s="3" t="str">
        <f t="shared" si="73"/>
        <v/>
      </c>
      <c r="AS168" s="170" t="str">
        <f t="shared" si="74"/>
        <v/>
      </c>
      <c r="AT168" s="3" t="str">
        <f t="shared" si="75"/>
        <v/>
      </c>
      <c r="AU168" s="3" t="e">
        <f>ABS(MATCH($AX168,'справочная информация'!$A$354:$A$391,0)-MATCH($AY168,'справочная информация'!$A$354:$A$391,0))</f>
        <v>#N/A</v>
      </c>
      <c r="AV168" s="3" t="str">
        <f>IFERROR(INDEX('справочная информация'!$B$6:$R$29,MATCH('Расчет грейда'!$Y168,'справочная информация'!$A$6:$A$29,0),MATCH('Расчет грейда'!$X168,'справочная информация'!$B$5:$R$5,0)),"")</f>
        <v/>
      </c>
      <c r="AW168" s="171" t="str">
        <f>IFERROR(INDEX('справочная информация'!$B$37:$H$52,MATCH('Расчет грейда'!$AA168,'справочная информация'!$A$37:$A$52,0),MATCH('Расчет грейда'!$N168,'справочная информация'!$B$36:$H$36,0)),"")</f>
        <v/>
      </c>
      <c r="AX168" s="122" t="str">
        <f>IFERROR(INDEX('справочная информация'!$D$108:$AD$123,MATCH('Расчет грейда'!$AW168,'справочная информация'!$C$108:$C$123,0),MATCH('Расчет грейда'!$AV168,'справочная информация'!$D$107:$AD$107,0)),"")</f>
        <v/>
      </c>
      <c r="AY168" s="133" t="str">
        <f>IFERROR(INDEX('справочная информация'!$B$158:$Y$181,MATCH('Расчет грейда'!$AE168,'справочная информация'!$A$158:$A$181,0),MATCH('Расчет грейда'!$AD168,'справочная информация'!$B$157:$Y$157,0)),"")</f>
        <v/>
      </c>
      <c r="AZ168" s="170" t="str">
        <f t="shared" si="76"/>
        <v/>
      </c>
      <c r="BA168" s="172" t="str">
        <f>IFERROR(CONCATENATE(TEXT(AZ168/INDEX('справочная информация'!$D$223:$D$261,MATCH('Расчет грейда'!$AZ168,'справочная информация'!$C$223:$C$261,1)),"0%")," - процент относительно медианы 100%. ","MIN балл на грейде ",INDEX('справочная информация'!$C$223:$C$261,MATCH('Расчет грейда'!$AZ168,'справочная информация'!$C$223:$C$261,1)),", "," MAX балл на грейде ",INDEX('справочная информация'!$E$223:$E$261,MATCH('Расчет грейда'!$AZ168,'справочная информация'!$C$223:$C$261,1))),"")</f>
        <v/>
      </c>
      <c r="BB168" s="120" t="str">
        <f t="shared" si="77"/>
        <v/>
      </c>
      <c r="BC168" s="3" t="str">
        <f t="shared" si="78"/>
        <v/>
      </c>
      <c r="BD168" s="121" t="str">
        <f>IFERROR(VLOOKUP(BC168,'справочная информация'!$B$416:$C$424,2,0),"Проверить данные, нетипичная должность")</f>
        <v>Проверить данные, нетипичная должность</v>
      </c>
      <c r="BE168" s="3" t="str">
        <f t="shared" si="79"/>
        <v/>
      </c>
      <c r="BF168" s="3" t="str">
        <f>IFERROR(INDEX('справочная информация'!$F$223:$F$261,MATCH('Расчет грейда'!$AZ168,'справочная информация'!$C$223:$C$261,1)),"")</f>
        <v/>
      </c>
    </row>
    <row r="169" spans="1:58" s="9" customFormat="1" x14ac:dyDescent="0.35">
      <c r="A169" s="120"/>
      <c r="B169" s="122"/>
      <c r="C169" s="140"/>
      <c r="D169" s="120"/>
      <c r="E169" s="120"/>
      <c r="F169" s="120"/>
      <c r="G169" s="120"/>
      <c r="H169" s="120"/>
      <c r="J169" s="142"/>
      <c r="K169" s="142"/>
      <c r="L169" s="142"/>
      <c r="R169" s="3"/>
      <c r="S169" s="138"/>
      <c r="T169" s="3"/>
      <c r="U169" s="3"/>
      <c r="V169" s="3"/>
      <c r="W169" s="3" t="str">
        <f t="shared" si="64"/>
        <v/>
      </c>
      <c r="X169" s="9" t="str">
        <f t="shared" si="65"/>
        <v/>
      </c>
      <c r="Y169" s="9" t="str">
        <f t="shared" si="66"/>
        <v/>
      </c>
      <c r="Z169" s="3" t="e">
        <f>INDEX('справочная информация'!$U$6:$AK$29,MATCH('Расчет грейда'!$Y169,'справочная информация'!$T$6:$T$29,0),MATCH('Расчет грейда'!$X169,'справочная информация'!$U$5:$AK$5,0))</f>
        <v>#N/A</v>
      </c>
      <c r="AA169" s="9" t="str">
        <f t="shared" si="67"/>
        <v/>
      </c>
      <c r="AB169" s="3" t="e">
        <f>INDEX('справочная информация'!$B$68:$H$83,MATCH('Расчет грейда'!$AA169,'справочная информация'!$A$68:$A$83,0),MATCH('Расчет грейда'!$N169,'справочная информация'!$B$67:$H$67,0))</f>
        <v>#N/A</v>
      </c>
      <c r="AC169" s="3" t="e">
        <f>INDEX('справочная информация'!$D$130:$AD$145,MATCH('Расчет грейда'!$AW169,'справочная информация'!$C$130:$C$145,0),MATCH('Расчет грейда'!$AV169,'справочная информация'!$D$129:$AD$129,0))</f>
        <v>#N/A</v>
      </c>
      <c r="AD169" s="9" t="str">
        <f t="shared" si="68"/>
        <v/>
      </c>
      <c r="AE169" s="9" t="str">
        <f t="shared" si="69"/>
        <v/>
      </c>
      <c r="AF169" s="3" t="str">
        <f>IFERROR(IF(AND(AD169="",AE169=""),"",INDEX('справочная информация'!$B$188:$Y$211,MATCH('Расчет грейда'!$AE169,'справочная информация'!$A$188:$A$211,0),MATCH('Расчет грейда'!$AD169,'справочная информация'!$B$187:$Y$187,0))),"НЕТ")</f>
        <v/>
      </c>
      <c r="AG169" s="3" t="e">
        <f>VLOOKUP(J169,'справочная информация'!$D$267:$E$274,2,0)</f>
        <v>#N/A</v>
      </c>
      <c r="AH169" s="3" t="e">
        <f>VLOOKUP(K169,'справочная информация'!$D$279:$E$283,2,0)</f>
        <v>#N/A</v>
      </c>
      <c r="AI169" s="3" t="e">
        <f>VLOOKUP(L169,'справочная информация'!$D$288:$E$290,2,0)</f>
        <v>#N/A</v>
      </c>
      <c r="AJ169" s="3" t="str">
        <f t="shared" si="70"/>
        <v/>
      </c>
      <c r="AK169" s="169" t="e">
        <f>VLOOKUP(M169,'справочная информация'!$D$294:$E$301,2,0)</f>
        <v>#N/A</v>
      </c>
      <c r="AL169" s="3" t="e">
        <f>VLOOKUP(N169,'справочная информация'!$D$306:$E$310,2,0)</f>
        <v>#N/A</v>
      </c>
      <c r="AM169" s="169" t="str">
        <f t="shared" si="71"/>
        <v>()</v>
      </c>
      <c r="AN169" s="3" t="str">
        <f t="shared" si="72"/>
        <v/>
      </c>
      <c r="AO169" s="3" t="e">
        <f>VLOOKUP(O169,'справочная информация'!$D$329:$E$336,2,0)</f>
        <v>#N/A</v>
      </c>
      <c r="AP169" s="3" t="e">
        <f>VLOOKUP(P169,'справочная информация'!$D$342:$E$349,2,0)</f>
        <v>#N/A</v>
      </c>
      <c r="AQ169" s="3" t="e">
        <f>VLOOKUP(Q169,'справочная информация'!$D$316:$E$325,2,0)</f>
        <v>#N/A</v>
      </c>
      <c r="AR169" s="3" t="str">
        <f t="shared" si="73"/>
        <v/>
      </c>
      <c r="AS169" s="170" t="str">
        <f t="shared" si="74"/>
        <v/>
      </c>
      <c r="AT169" s="3" t="str">
        <f t="shared" si="75"/>
        <v/>
      </c>
      <c r="AU169" s="3" t="e">
        <f>ABS(MATCH($AX169,'справочная информация'!$A$354:$A$391,0)-MATCH($AY169,'справочная информация'!$A$354:$A$391,0))</f>
        <v>#N/A</v>
      </c>
      <c r="AV169" s="3" t="str">
        <f>IFERROR(INDEX('справочная информация'!$B$6:$R$29,MATCH('Расчет грейда'!$Y169,'справочная информация'!$A$6:$A$29,0),MATCH('Расчет грейда'!$X169,'справочная информация'!$B$5:$R$5,0)),"")</f>
        <v/>
      </c>
      <c r="AW169" s="171" t="str">
        <f>IFERROR(INDEX('справочная информация'!$B$37:$H$52,MATCH('Расчет грейда'!$AA169,'справочная информация'!$A$37:$A$52,0),MATCH('Расчет грейда'!$N169,'справочная информация'!$B$36:$H$36,0)),"")</f>
        <v/>
      </c>
      <c r="AX169" s="122" t="str">
        <f>IFERROR(INDEX('справочная информация'!$D$108:$AD$123,MATCH('Расчет грейда'!$AW169,'справочная информация'!$C$108:$C$123,0),MATCH('Расчет грейда'!$AV169,'справочная информация'!$D$107:$AD$107,0)),"")</f>
        <v/>
      </c>
      <c r="AY169" s="133" t="str">
        <f>IFERROR(INDEX('справочная информация'!$B$158:$Y$181,MATCH('Расчет грейда'!$AE169,'справочная информация'!$A$158:$A$181,0),MATCH('Расчет грейда'!$AD169,'справочная информация'!$B$157:$Y$157,0)),"")</f>
        <v/>
      </c>
      <c r="AZ169" s="170" t="str">
        <f t="shared" si="76"/>
        <v/>
      </c>
      <c r="BA169" s="172" t="str">
        <f>IFERROR(CONCATENATE(TEXT(AZ169/INDEX('справочная информация'!$D$223:$D$261,MATCH('Расчет грейда'!$AZ169,'справочная информация'!$C$223:$C$261,1)),"0%")," - процент относительно медианы 100%. ","MIN балл на грейде ",INDEX('справочная информация'!$C$223:$C$261,MATCH('Расчет грейда'!$AZ169,'справочная информация'!$C$223:$C$261,1)),", "," MAX балл на грейде ",INDEX('справочная информация'!$E$223:$E$261,MATCH('Расчет грейда'!$AZ169,'справочная информация'!$C$223:$C$261,1))),"")</f>
        <v/>
      </c>
      <c r="BB169" s="120" t="str">
        <f t="shared" si="77"/>
        <v/>
      </c>
      <c r="BC169" s="3" t="str">
        <f t="shared" si="78"/>
        <v/>
      </c>
      <c r="BD169" s="121" t="str">
        <f>IFERROR(VLOOKUP(BC169,'справочная информация'!$B$416:$C$424,2,0),"Проверить данные, нетипичная должность")</f>
        <v>Проверить данные, нетипичная должность</v>
      </c>
      <c r="BE169" s="3" t="str">
        <f t="shared" si="79"/>
        <v/>
      </c>
      <c r="BF169" s="3" t="str">
        <f>IFERROR(INDEX('справочная информация'!$F$223:$F$261,MATCH('Расчет грейда'!$AZ169,'справочная информация'!$C$223:$C$261,1)),"")</f>
        <v/>
      </c>
    </row>
    <row r="170" spans="1:58" s="9" customFormat="1" x14ac:dyDescent="0.35">
      <c r="A170" s="120"/>
      <c r="B170" s="122"/>
      <c r="C170" s="140"/>
      <c r="D170" s="120"/>
      <c r="E170" s="120"/>
      <c r="F170" s="120"/>
      <c r="G170" s="120"/>
      <c r="H170" s="120"/>
      <c r="J170" s="142"/>
      <c r="K170" s="142"/>
      <c r="L170" s="142"/>
      <c r="R170" s="3"/>
      <c r="S170" s="138"/>
      <c r="T170" s="3"/>
      <c r="U170" s="3"/>
      <c r="V170" s="3"/>
      <c r="W170" s="3" t="str">
        <f t="shared" si="64"/>
        <v/>
      </c>
      <c r="X170" s="9" t="str">
        <f t="shared" si="65"/>
        <v/>
      </c>
      <c r="Y170" s="9" t="str">
        <f t="shared" si="66"/>
        <v/>
      </c>
      <c r="Z170" s="3" t="e">
        <f>INDEX('справочная информация'!$U$6:$AK$29,MATCH('Расчет грейда'!$Y170,'справочная информация'!$T$6:$T$29,0),MATCH('Расчет грейда'!$X170,'справочная информация'!$U$5:$AK$5,0))</f>
        <v>#N/A</v>
      </c>
      <c r="AA170" s="9" t="str">
        <f t="shared" si="67"/>
        <v/>
      </c>
      <c r="AB170" s="3" t="e">
        <f>INDEX('справочная информация'!$B$68:$H$83,MATCH('Расчет грейда'!$AA170,'справочная информация'!$A$68:$A$83,0),MATCH('Расчет грейда'!$N170,'справочная информация'!$B$67:$H$67,0))</f>
        <v>#N/A</v>
      </c>
      <c r="AC170" s="3" t="e">
        <f>INDEX('справочная информация'!$D$130:$AD$145,MATCH('Расчет грейда'!$AW170,'справочная информация'!$C$130:$C$145,0),MATCH('Расчет грейда'!$AV170,'справочная информация'!$D$129:$AD$129,0))</f>
        <v>#N/A</v>
      </c>
      <c r="AD170" s="9" t="str">
        <f t="shared" si="68"/>
        <v/>
      </c>
      <c r="AE170" s="9" t="str">
        <f t="shared" si="69"/>
        <v/>
      </c>
      <c r="AF170" s="3" t="str">
        <f>IFERROR(IF(AND(AD170="",AE170=""),"",INDEX('справочная информация'!$B$188:$Y$211,MATCH('Расчет грейда'!$AE170,'справочная информация'!$A$188:$A$211,0),MATCH('Расчет грейда'!$AD170,'справочная информация'!$B$187:$Y$187,0))),"НЕТ")</f>
        <v/>
      </c>
      <c r="AG170" s="3" t="e">
        <f>VLOOKUP(J170,'справочная информация'!$D$267:$E$274,2,0)</f>
        <v>#N/A</v>
      </c>
      <c r="AH170" s="3" t="e">
        <f>VLOOKUP(K170,'справочная информация'!$D$279:$E$283,2,0)</f>
        <v>#N/A</v>
      </c>
      <c r="AI170" s="3" t="e">
        <f>VLOOKUP(L170,'справочная информация'!$D$288:$E$290,2,0)</f>
        <v>#N/A</v>
      </c>
      <c r="AJ170" s="3" t="str">
        <f t="shared" si="70"/>
        <v/>
      </c>
      <c r="AK170" s="169" t="e">
        <f>VLOOKUP(M170,'справочная информация'!$D$294:$E$301,2,0)</f>
        <v>#N/A</v>
      </c>
      <c r="AL170" s="3" t="e">
        <f>VLOOKUP(N170,'справочная информация'!$D$306:$E$310,2,0)</f>
        <v>#N/A</v>
      </c>
      <c r="AM170" s="169" t="str">
        <f t="shared" si="71"/>
        <v>()</v>
      </c>
      <c r="AN170" s="3" t="str">
        <f t="shared" si="72"/>
        <v/>
      </c>
      <c r="AO170" s="3" t="e">
        <f>VLOOKUP(O170,'справочная информация'!$D$329:$E$336,2,0)</f>
        <v>#N/A</v>
      </c>
      <c r="AP170" s="3" t="e">
        <f>VLOOKUP(P170,'справочная информация'!$D$342:$E$349,2,0)</f>
        <v>#N/A</v>
      </c>
      <c r="AQ170" s="3" t="e">
        <f>VLOOKUP(Q170,'справочная информация'!$D$316:$E$325,2,0)</f>
        <v>#N/A</v>
      </c>
      <c r="AR170" s="3" t="str">
        <f t="shared" si="73"/>
        <v/>
      </c>
      <c r="AS170" s="170" t="str">
        <f t="shared" si="74"/>
        <v/>
      </c>
      <c r="AT170" s="3" t="str">
        <f t="shared" si="75"/>
        <v/>
      </c>
      <c r="AU170" s="3" t="e">
        <f>ABS(MATCH($AX170,'справочная информация'!$A$354:$A$391,0)-MATCH($AY170,'справочная информация'!$A$354:$A$391,0))</f>
        <v>#N/A</v>
      </c>
      <c r="AV170" s="3" t="str">
        <f>IFERROR(INDEX('справочная информация'!$B$6:$R$29,MATCH('Расчет грейда'!$Y170,'справочная информация'!$A$6:$A$29,0),MATCH('Расчет грейда'!$X170,'справочная информация'!$B$5:$R$5,0)),"")</f>
        <v/>
      </c>
      <c r="AW170" s="171" t="str">
        <f>IFERROR(INDEX('справочная информация'!$B$37:$H$52,MATCH('Расчет грейда'!$AA170,'справочная информация'!$A$37:$A$52,0),MATCH('Расчет грейда'!$N170,'справочная информация'!$B$36:$H$36,0)),"")</f>
        <v/>
      </c>
      <c r="AX170" s="122" t="str">
        <f>IFERROR(INDEX('справочная информация'!$D$108:$AD$123,MATCH('Расчет грейда'!$AW170,'справочная информация'!$C$108:$C$123,0),MATCH('Расчет грейда'!$AV170,'справочная информация'!$D$107:$AD$107,0)),"")</f>
        <v/>
      </c>
      <c r="AY170" s="133" t="str">
        <f>IFERROR(INDEX('справочная информация'!$B$158:$Y$181,MATCH('Расчет грейда'!$AE170,'справочная информация'!$A$158:$A$181,0),MATCH('Расчет грейда'!$AD170,'справочная информация'!$B$157:$Y$157,0)),"")</f>
        <v/>
      </c>
      <c r="AZ170" s="170" t="str">
        <f t="shared" si="76"/>
        <v/>
      </c>
      <c r="BA170" s="172" t="str">
        <f>IFERROR(CONCATENATE(TEXT(AZ170/INDEX('справочная информация'!$D$223:$D$261,MATCH('Расчет грейда'!$AZ170,'справочная информация'!$C$223:$C$261,1)),"0%")," - процент относительно медианы 100%. ","MIN балл на грейде ",INDEX('справочная информация'!$C$223:$C$261,MATCH('Расчет грейда'!$AZ170,'справочная информация'!$C$223:$C$261,1)),", "," MAX балл на грейде ",INDEX('справочная информация'!$E$223:$E$261,MATCH('Расчет грейда'!$AZ170,'справочная информация'!$C$223:$C$261,1))),"")</f>
        <v/>
      </c>
      <c r="BB170" s="120" t="str">
        <f t="shared" si="77"/>
        <v/>
      </c>
      <c r="BC170" s="3" t="str">
        <f t="shared" si="78"/>
        <v/>
      </c>
      <c r="BD170" s="121" t="str">
        <f>IFERROR(VLOOKUP(BC170,'справочная информация'!$B$416:$C$424,2,0),"Проверить данные, нетипичная должность")</f>
        <v>Проверить данные, нетипичная должность</v>
      </c>
      <c r="BE170" s="3" t="str">
        <f t="shared" si="79"/>
        <v/>
      </c>
      <c r="BF170" s="3" t="str">
        <f>IFERROR(INDEX('справочная информация'!$F$223:$F$261,MATCH('Расчет грейда'!$AZ170,'справочная информация'!$C$223:$C$261,1)),"")</f>
        <v/>
      </c>
    </row>
    <row r="171" spans="1:58" s="9" customFormat="1" x14ac:dyDescent="0.35">
      <c r="A171" s="120"/>
      <c r="B171" s="122"/>
      <c r="C171" s="140"/>
      <c r="D171" s="120"/>
      <c r="E171" s="120"/>
      <c r="F171" s="120"/>
      <c r="G171" s="120"/>
      <c r="H171" s="120"/>
      <c r="J171" s="142"/>
      <c r="K171" s="142"/>
      <c r="L171" s="142"/>
      <c r="R171" s="3"/>
      <c r="S171" s="138"/>
      <c r="T171" s="3"/>
      <c r="U171" s="3"/>
      <c r="V171" s="3"/>
      <c r="W171" s="3" t="str">
        <f t="shared" si="64"/>
        <v/>
      </c>
      <c r="X171" s="9" t="str">
        <f t="shared" si="65"/>
        <v/>
      </c>
      <c r="Y171" s="9" t="str">
        <f t="shared" si="66"/>
        <v/>
      </c>
      <c r="Z171" s="3" t="e">
        <f>INDEX('справочная информация'!$U$6:$AK$29,MATCH('Расчет грейда'!$Y171,'справочная информация'!$T$6:$T$29,0),MATCH('Расчет грейда'!$X171,'справочная информация'!$U$5:$AK$5,0))</f>
        <v>#N/A</v>
      </c>
      <c r="AA171" s="9" t="str">
        <f t="shared" si="67"/>
        <v/>
      </c>
      <c r="AB171" s="3" t="e">
        <f>INDEX('справочная информация'!$B$68:$H$83,MATCH('Расчет грейда'!$AA171,'справочная информация'!$A$68:$A$83,0),MATCH('Расчет грейда'!$N171,'справочная информация'!$B$67:$H$67,0))</f>
        <v>#N/A</v>
      </c>
      <c r="AC171" s="3" t="e">
        <f>INDEX('справочная информация'!$D$130:$AD$145,MATCH('Расчет грейда'!$AW171,'справочная информация'!$C$130:$C$145,0),MATCH('Расчет грейда'!$AV171,'справочная информация'!$D$129:$AD$129,0))</f>
        <v>#N/A</v>
      </c>
      <c r="AD171" s="9" t="str">
        <f t="shared" si="68"/>
        <v/>
      </c>
      <c r="AE171" s="9" t="str">
        <f t="shared" si="69"/>
        <v/>
      </c>
      <c r="AF171" s="3" t="str">
        <f>IFERROR(IF(AND(AD171="",AE171=""),"",INDEX('справочная информация'!$B$188:$Y$211,MATCH('Расчет грейда'!$AE171,'справочная информация'!$A$188:$A$211,0),MATCH('Расчет грейда'!$AD171,'справочная информация'!$B$187:$Y$187,0))),"НЕТ")</f>
        <v/>
      </c>
      <c r="AG171" s="3" t="e">
        <f>VLOOKUP(J171,'справочная информация'!$D$267:$E$274,2,0)</f>
        <v>#N/A</v>
      </c>
      <c r="AH171" s="3" t="e">
        <f>VLOOKUP(K171,'справочная информация'!$D$279:$E$283,2,0)</f>
        <v>#N/A</v>
      </c>
      <c r="AI171" s="3" t="e">
        <f>VLOOKUP(L171,'справочная информация'!$D$288:$E$290,2,0)</f>
        <v>#N/A</v>
      </c>
      <c r="AJ171" s="3" t="str">
        <f t="shared" si="70"/>
        <v/>
      </c>
      <c r="AK171" s="169" t="e">
        <f>VLOOKUP(M171,'справочная информация'!$D$294:$E$301,2,0)</f>
        <v>#N/A</v>
      </c>
      <c r="AL171" s="3" t="e">
        <f>VLOOKUP(N171,'справочная информация'!$D$306:$E$310,2,0)</f>
        <v>#N/A</v>
      </c>
      <c r="AM171" s="169" t="str">
        <f t="shared" si="71"/>
        <v>()</v>
      </c>
      <c r="AN171" s="3" t="str">
        <f t="shared" si="72"/>
        <v/>
      </c>
      <c r="AO171" s="3" t="e">
        <f>VLOOKUP(O171,'справочная информация'!$D$329:$E$336,2,0)</f>
        <v>#N/A</v>
      </c>
      <c r="AP171" s="3" t="e">
        <f>VLOOKUP(P171,'справочная информация'!$D$342:$E$349,2,0)</f>
        <v>#N/A</v>
      </c>
      <c r="AQ171" s="3" t="e">
        <f>VLOOKUP(Q171,'справочная информация'!$D$316:$E$325,2,0)</f>
        <v>#N/A</v>
      </c>
      <c r="AR171" s="3" t="str">
        <f t="shared" si="73"/>
        <v/>
      </c>
      <c r="AS171" s="170" t="str">
        <f t="shared" si="74"/>
        <v/>
      </c>
      <c r="AT171" s="3" t="str">
        <f t="shared" si="75"/>
        <v/>
      </c>
      <c r="AU171" s="3" t="e">
        <f>ABS(MATCH($AX171,'справочная информация'!$A$354:$A$391,0)-MATCH($AY171,'справочная информация'!$A$354:$A$391,0))</f>
        <v>#N/A</v>
      </c>
      <c r="AV171" s="3" t="str">
        <f>IFERROR(INDEX('справочная информация'!$B$6:$R$29,MATCH('Расчет грейда'!$Y171,'справочная информация'!$A$6:$A$29,0),MATCH('Расчет грейда'!$X171,'справочная информация'!$B$5:$R$5,0)),"")</f>
        <v/>
      </c>
      <c r="AW171" s="171" t="str">
        <f>IFERROR(INDEX('справочная информация'!$B$37:$H$52,MATCH('Расчет грейда'!$AA171,'справочная информация'!$A$37:$A$52,0),MATCH('Расчет грейда'!$N171,'справочная информация'!$B$36:$H$36,0)),"")</f>
        <v/>
      </c>
      <c r="AX171" s="122" t="str">
        <f>IFERROR(INDEX('справочная информация'!$D$108:$AD$123,MATCH('Расчет грейда'!$AW171,'справочная информация'!$C$108:$C$123,0),MATCH('Расчет грейда'!$AV171,'справочная информация'!$D$107:$AD$107,0)),"")</f>
        <v/>
      </c>
      <c r="AY171" s="133" t="str">
        <f>IFERROR(INDEX('справочная информация'!$B$158:$Y$181,MATCH('Расчет грейда'!$AE171,'справочная информация'!$A$158:$A$181,0),MATCH('Расчет грейда'!$AD171,'справочная информация'!$B$157:$Y$157,0)),"")</f>
        <v/>
      </c>
      <c r="AZ171" s="170" t="str">
        <f t="shared" si="76"/>
        <v/>
      </c>
      <c r="BA171" s="172" t="str">
        <f>IFERROR(CONCATENATE(TEXT(AZ171/INDEX('справочная информация'!$D$223:$D$261,MATCH('Расчет грейда'!$AZ171,'справочная информация'!$C$223:$C$261,1)),"0%")," - процент относительно медианы 100%. ","MIN балл на грейде ",INDEX('справочная информация'!$C$223:$C$261,MATCH('Расчет грейда'!$AZ171,'справочная информация'!$C$223:$C$261,1)),", "," MAX балл на грейде ",INDEX('справочная информация'!$E$223:$E$261,MATCH('Расчет грейда'!$AZ171,'справочная информация'!$C$223:$C$261,1))),"")</f>
        <v/>
      </c>
      <c r="BB171" s="120" t="str">
        <f t="shared" si="77"/>
        <v/>
      </c>
      <c r="BC171" s="3" t="str">
        <f t="shared" si="78"/>
        <v/>
      </c>
      <c r="BD171" s="121" t="str">
        <f>IFERROR(VLOOKUP(BC171,'справочная информация'!$B$416:$C$424,2,0),"Проверить данные, нетипичная должность")</f>
        <v>Проверить данные, нетипичная должность</v>
      </c>
      <c r="BE171" s="3" t="str">
        <f t="shared" si="79"/>
        <v/>
      </c>
      <c r="BF171" s="3" t="str">
        <f>IFERROR(INDEX('справочная информация'!$F$223:$F$261,MATCH('Расчет грейда'!$AZ171,'справочная информация'!$C$223:$C$261,1)),"")</f>
        <v/>
      </c>
    </row>
    <row r="172" spans="1:58" s="9" customFormat="1" x14ac:dyDescent="0.35">
      <c r="A172" s="120"/>
      <c r="B172" s="122"/>
      <c r="C172" s="140"/>
      <c r="D172" s="120"/>
      <c r="E172" s="120"/>
      <c r="F172" s="120"/>
      <c r="G172" s="120"/>
      <c r="H172" s="120"/>
      <c r="J172" s="142"/>
      <c r="K172" s="142"/>
      <c r="L172" s="142"/>
      <c r="R172" s="3"/>
      <c r="S172" s="138"/>
      <c r="T172" s="3"/>
      <c r="U172" s="3"/>
      <c r="V172" s="3"/>
      <c r="W172" s="3" t="str">
        <f t="shared" si="64"/>
        <v/>
      </c>
      <c r="X172" s="9" t="str">
        <f t="shared" si="65"/>
        <v/>
      </c>
      <c r="Y172" s="9" t="str">
        <f t="shared" si="66"/>
        <v/>
      </c>
      <c r="Z172" s="3" t="e">
        <f>INDEX('справочная информация'!$U$6:$AK$29,MATCH('Расчет грейда'!$Y172,'справочная информация'!$T$6:$T$29,0),MATCH('Расчет грейда'!$X172,'справочная информация'!$U$5:$AK$5,0))</f>
        <v>#N/A</v>
      </c>
      <c r="AA172" s="9" t="str">
        <f t="shared" si="67"/>
        <v/>
      </c>
      <c r="AB172" s="3" t="e">
        <f>INDEX('справочная информация'!$B$68:$H$83,MATCH('Расчет грейда'!$AA172,'справочная информация'!$A$68:$A$83,0),MATCH('Расчет грейда'!$N172,'справочная информация'!$B$67:$H$67,0))</f>
        <v>#N/A</v>
      </c>
      <c r="AC172" s="3" t="e">
        <f>INDEX('справочная информация'!$D$130:$AD$145,MATCH('Расчет грейда'!$AW172,'справочная информация'!$C$130:$C$145,0),MATCH('Расчет грейда'!$AV172,'справочная информация'!$D$129:$AD$129,0))</f>
        <v>#N/A</v>
      </c>
      <c r="AD172" s="9" t="str">
        <f t="shared" si="68"/>
        <v/>
      </c>
      <c r="AE172" s="9" t="str">
        <f t="shared" si="69"/>
        <v/>
      </c>
      <c r="AF172" s="3" t="str">
        <f>IFERROR(IF(AND(AD172="",AE172=""),"",INDEX('справочная информация'!$B$188:$Y$211,MATCH('Расчет грейда'!$AE172,'справочная информация'!$A$188:$A$211,0),MATCH('Расчет грейда'!$AD172,'справочная информация'!$B$187:$Y$187,0))),"НЕТ")</f>
        <v/>
      </c>
      <c r="AG172" s="3" t="e">
        <f>VLOOKUP(J172,'справочная информация'!$D$267:$E$274,2,0)</f>
        <v>#N/A</v>
      </c>
      <c r="AH172" s="3" t="e">
        <f>VLOOKUP(K172,'справочная информация'!$D$279:$E$283,2,0)</f>
        <v>#N/A</v>
      </c>
      <c r="AI172" s="3" t="e">
        <f>VLOOKUP(L172,'справочная информация'!$D$288:$E$290,2,0)</f>
        <v>#N/A</v>
      </c>
      <c r="AJ172" s="3" t="str">
        <f t="shared" si="70"/>
        <v/>
      </c>
      <c r="AK172" s="169" t="e">
        <f>VLOOKUP(M172,'справочная информация'!$D$294:$E$301,2,0)</f>
        <v>#N/A</v>
      </c>
      <c r="AL172" s="3" t="e">
        <f>VLOOKUP(N172,'справочная информация'!$D$306:$E$310,2,0)</f>
        <v>#N/A</v>
      </c>
      <c r="AM172" s="169" t="str">
        <f t="shared" si="71"/>
        <v>()</v>
      </c>
      <c r="AN172" s="3" t="str">
        <f t="shared" si="72"/>
        <v/>
      </c>
      <c r="AO172" s="3" t="e">
        <f>VLOOKUP(O172,'справочная информация'!$D$329:$E$336,2,0)</f>
        <v>#N/A</v>
      </c>
      <c r="AP172" s="3" t="e">
        <f>VLOOKUP(P172,'справочная информация'!$D$342:$E$349,2,0)</f>
        <v>#N/A</v>
      </c>
      <c r="AQ172" s="3" t="e">
        <f>VLOOKUP(Q172,'справочная информация'!$D$316:$E$325,2,0)</f>
        <v>#N/A</v>
      </c>
      <c r="AR172" s="3" t="str">
        <f t="shared" si="73"/>
        <v/>
      </c>
      <c r="AS172" s="170" t="str">
        <f t="shared" si="74"/>
        <v/>
      </c>
      <c r="AT172" s="3" t="str">
        <f t="shared" si="75"/>
        <v/>
      </c>
      <c r="AU172" s="3" t="e">
        <f>ABS(MATCH($AX172,'справочная информация'!$A$354:$A$391,0)-MATCH($AY172,'справочная информация'!$A$354:$A$391,0))</f>
        <v>#N/A</v>
      </c>
      <c r="AV172" s="3" t="str">
        <f>IFERROR(INDEX('справочная информация'!$B$6:$R$29,MATCH('Расчет грейда'!$Y172,'справочная информация'!$A$6:$A$29,0),MATCH('Расчет грейда'!$X172,'справочная информация'!$B$5:$R$5,0)),"")</f>
        <v/>
      </c>
      <c r="AW172" s="171" t="str">
        <f>IFERROR(INDEX('справочная информация'!$B$37:$H$52,MATCH('Расчет грейда'!$AA172,'справочная информация'!$A$37:$A$52,0),MATCH('Расчет грейда'!$N172,'справочная информация'!$B$36:$H$36,0)),"")</f>
        <v/>
      </c>
      <c r="AX172" s="122" t="str">
        <f>IFERROR(INDEX('справочная информация'!$D$108:$AD$123,MATCH('Расчет грейда'!$AW172,'справочная информация'!$C$108:$C$123,0),MATCH('Расчет грейда'!$AV172,'справочная информация'!$D$107:$AD$107,0)),"")</f>
        <v/>
      </c>
      <c r="AY172" s="133" t="str">
        <f>IFERROR(INDEX('справочная информация'!$B$158:$Y$181,MATCH('Расчет грейда'!$AE172,'справочная информация'!$A$158:$A$181,0),MATCH('Расчет грейда'!$AD172,'справочная информация'!$B$157:$Y$157,0)),"")</f>
        <v/>
      </c>
      <c r="AZ172" s="170" t="str">
        <f t="shared" si="76"/>
        <v/>
      </c>
      <c r="BA172" s="172" t="str">
        <f>IFERROR(CONCATENATE(TEXT(AZ172/INDEX('справочная информация'!$D$223:$D$261,MATCH('Расчет грейда'!$AZ172,'справочная информация'!$C$223:$C$261,1)),"0%")," - процент относительно медианы 100%. ","MIN балл на грейде ",INDEX('справочная информация'!$C$223:$C$261,MATCH('Расчет грейда'!$AZ172,'справочная информация'!$C$223:$C$261,1)),", "," MAX балл на грейде ",INDEX('справочная информация'!$E$223:$E$261,MATCH('Расчет грейда'!$AZ172,'справочная информация'!$C$223:$C$261,1))),"")</f>
        <v/>
      </c>
      <c r="BB172" s="120" t="str">
        <f t="shared" si="77"/>
        <v/>
      </c>
      <c r="BC172" s="3" t="str">
        <f t="shared" si="78"/>
        <v/>
      </c>
      <c r="BD172" s="121" t="str">
        <f>IFERROR(VLOOKUP(BC172,'справочная информация'!$B$416:$C$424,2,0),"Проверить данные, нетипичная должность")</f>
        <v>Проверить данные, нетипичная должность</v>
      </c>
      <c r="BE172" s="3" t="str">
        <f t="shared" si="79"/>
        <v/>
      </c>
      <c r="BF172" s="3" t="str">
        <f>IFERROR(INDEX('справочная информация'!$F$223:$F$261,MATCH('Расчет грейда'!$AZ172,'справочная информация'!$C$223:$C$261,1)),"")</f>
        <v/>
      </c>
    </row>
    <row r="173" spans="1:58" s="9" customFormat="1" x14ac:dyDescent="0.35">
      <c r="A173" s="120"/>
      <c r="B173" s="122"/>
      <c r="C173" s="140"/>
      <c r="D173" s="120"/>
      <c r="E173" s="120"/>
      <c r="F173" s="120"/>
      <c r="G173" s="120"/>
      <c r="H173" s="120"/>
      <c r="J173" s="142"/>
      <c r="K173" s="142"/>
      <c r="L173" s="142"/>
      <c r="R173" s="3"/>
      <c r="S173" s="138"/>
      <c r="T173" s="3"/>
      <c r="U173" s="3"/>
      <c r="V173" s="3"/>
      <c r="W173" s="3" t="str">
        <f t="shared" si="64"/>
        <v/>
      </c>
      <c r="X173" s="9" t="str">
        <f t="shared" si="65"/>
        <v/>
      </c>
      <c r="Y173" s="9" t="str">
        <f t="shared" si="66"/>
        <v/>
      </c>
      <c r="Z173" s="3" t="e">
        <f>INDEX('справочная информация'!$U$6:$AK$29,MATCH('Расчет грейда'!$Y173,'справочная информация'!$T$6:$T$29,0),MATCH('Расчет грейда'!$X173,'справочная информация'!$U$5:$AK$5,0))</f>
        <v>#N/A</v>
      </c>
      <c r="AA173" s="9" t="str">
        <f t="shared" si="67"/>
        <v/>
      </c>
      <c r="AB173" s="3" t="e">
        <f>INDEX('справочная информация'!$B$68:$H$83,MATCH('Расчет грейда'!$AA173,'справочная информация'!$A$68:$A$83,0),MATCH('Расчет грейда'!$N173,'справочная информация'!$B$67:$H$67,0))</f>
        <v>#N/A</v>
      </c>
      <c r="AC173" s="3" t="e">
        <f>INDEX('справочная информация'!$D$130:$AD$145,MATCH('Расчет грейда'!$AW173,'справочная информация'!$C$130:$C$145,0),MATCH('Расчет грейда'!$AV173,'справочная информация'!$D$129:$AD$129,0))</f>
        <v>#N/A</v>
      </c>
      <c r="AD173" s="9" t="str">
        <f t="shared" si="68"/>
        <v/>
      </c>
      <c r="AE173" s="9" t="str">
        <f t="shared" si="69"/>
        <v/>
      </c>
      <c r="AF173" s="3" t="str">
        <f>IFERROR(IF(AND(AD173="",AE173=""),"",INDEX('справочная информация'!$B$188:$Y$211,MATCH('Расчет грейда'!$AE173,'справочная информация'!$A$188:$A$211,0),MATCH('Расчет грейда'!$AD173,'справочная информация'!$B$187:$Y$187,0))),"НЕТ")</f>
        <v/>
      </c>
      <c r="AG173" s="3" t="e">
        <f>VLOOKUP(J173,'справочная информация'!$D$267:$E$274,2,0)</f>
        <v>#N/A</v>
      </c>
      <c r="AH173" s="3" t="e">
        <f>VLOOKUP(K173,'справочная информация'!$D$279:$E$283,2,0)</f>
        <v>#N/A</v>
      </c>
      <c r="AI173" s="3" t="e">
        <f>VLOOKUP(L173,'справочная информация'!$D$288:$E$290,2,0)</f>
        <v>#N/A</v>
      </c>
      <c r="AJ173" s="3" t="str">
        <f t="shared" si="70"/>
        <v/>
      </c>
      <c r="AK173" s="169" t="e">
        <f>VLOOKUP(M173,'справочная информация'!$D$294:$E$301,2,0)</f>
        <v>#N/A</v>
      </c>
      <c r="AL173" s="3" t="e">
        <f>VLOOKUP(N173,'справочная информация'!$D$306:$E$310,2,0)</f>
        <v>#N/A</v>
      </c>
      <c r="AM173" s="169" t="str">
        <f t="shared" si="71"/>
        <v>()</v>
      </c>
      <c r="AN173" s="3" t="str">
        <f t="shared" si="72"/>
        <v/>
      </c>
      <c r="AO173" s="3" t="e">
        <f>VLOOKUP(O173,'справочная информация'!$D$329:$E$336,2,0)</f>
        <v>#N/A</v>
      </c>
      <c r="AP173" s="3" t="e">
        <f>VLOOKUP(P173,'справочная информация'!$D$342:$E$349,2,0)</f>
        <v>#N/A</v>
      </c>
      <c r="AQ173" s="3" t="e">
        <f>VLOOKUP(Q173,'справочная информация'!$D$316:$E$325,2,0)</f>
        <v>#N/A</v>
      </c>
      <c r="AR173" s="3" t="str">
        <f t="shared" si="73"/>
        <v/>
      </c>
      <c r="AS173" s="170" t="str">
        <f t="shared" si="74"/>
        <v/>
      </c>
      <c r="AT173" s="3" t="str">
        <f t="shared" si="75"/>
        <v/>
      </c>
      <c r="AU173" s="3" t="e">
        <f>ABS(MATCH($AX173,'справочная информация'!$A$354:$A$391,0)-MATCH($AY173,'справочная информация'!$A$354:$A$391,0))</f>
        <v>#N/A</v>
      </c>
      <c r="AV173" s="3" t="str">
        <f>IFERROR(INDEX('справочная информация'!$B$6:$R$29,MATCH('Расчет грейда'!$Y173,'справочная информация'!$A$6:$A$29,0),MATCH('Расчет грейда'!$X173,'справочная информация'!$B$5:$R$5,0)),"")</f>
        <v/>
      </c>
      <c r="AW173" s="171" t="str">
        <f>IFERROR(INDEX('справочная информация'!$B$37:$H$52,MATCH('Расчет грейда'!$AA173,'справочная информация'!$A$37:$A$52,0),MATCH('Расчет грейда'!$N173,'справочная информация'!$B$36:$H$36,0)),"")</f>
        <v/>
      </c>
      <c r="AX173" s="122" t="str">
        <f>IFERROR(INDEX('справочная информация'!$D$108:$AD$123,MATCH('Расчет грейда'!$AW173,'справочная информация'!$C$108:$C$123,0),MATCH('Расчет грейда'!$AV173,'справочная информация'!$D$107:$AD$107,0)),"")</f>
        <v/>
      </c>
      <c r="AY173" s="133" t="str">
        <f>IFERROR(INDEX('справочная информация'!$B$158:$Y$181,MATCH('Расчет грейда'!$AE173,'справочная информация'!$A$158:$A$181,0),MATCH('Расчет грейда'!$AD173,'справочная информация'!$B$157:$Y$157,0)),"")</f>
        <v/>
      </c>
      <c r="AZ173" s="170" t="str">
        <f t="shared" si="76"/>
        <v/>
      </c>
      <c r="BA173" s="172" t="str">
        <f>IFERROR(CONCATENATE(TEXT(AZ173/INDEX('справочная информация'!$D$223:$D$261,MATCH('Расчет грейда'!$AZ173,'справочная информация'!$C$223:$C$261,1)),"0%")," - процент относительно медианы 100%. ","MIN балл на грейде ",INDEX('справочная информация'!$C$223:$C$261,MATCH('Расчет грейда'!$AZ173,'справочная информация'!$C$223:$C$261,1)),", "," MAX балл на грейде ",INDEX('справочная информация'!$E$223:$E$261,MATCH('Расчет грейда'!$AZ173,'справочная информация'!$C$223:$C$261,1))),"")</f>
        <v/>
      </c>
      <c r="BB173" s="120" t="str">
        <f t="shared" si="77"/>
        <v/>
      </c>
      <c r="BC173" s="3" t="str">
        <f t="shared" si="78"/>
        <v/>
      </c>
      <c r="BD173" s="121" t="str">
        <f>IFERROR(VLOOKUP(BC173,'справочная информация'!$B$416:$C$424,2,0),"Проверить данные, нетипичная должность")</f>
        <v>Проверить данные, нетипичная должность</v>
      </c>
      <c r="BE173" s="3" t="str">
        <f t="shared" si="79"/>
        <v/>
      </c>
      <c r="BF173" s="3" t="str">
        <f>IFERROR(INDEX('справочная информация'!$F$223:$F$261,MATCH('Расчет грейда'!$AZ173,'справочная информация'!$C$223:$C$261,1)),"")</f>
        <v/>
      </c>
    </row>
    <row r="174" spans="1:58" s="9" customFormat="1" x14ac:dyDescent="0.35">
      <c r="A174" s="120"/>
      <c r="B174" s="122"/>
      <c r="C174" s="140"/>
      <c r="D174" s="120"/>
      <c r="E174" s="120"/>
      <c r="F174" s="120"/>
      <c r="G174" s="120"/>
      <c r="H174" s="120"/>
      <c r="J174" s="142"/>
      <c r="K174" s="142"/>
      <c r="L174" s="142"/>
      <c r="R174" s="3"/>
      <c r="S174" s="138"/>
      <c r="T174" s="3"/>
      <c r="U174" s="3"/>
      <c r="V174" s="3"/>
      <c r="W174" s="3" t="str">
        <f t="shared" si="64"/>
        <v/>
      </c>
      <c r="X174" s="9" t="str">
        <f t="shared" si="65"/>
        <v/>
      </c>
      <c r="Y174" s="9" t="str">
        <f t="shared" si="66"/>
        <v/>
      </c>
      <c r="Z174" s="3" t="e">
        <f>INDEX('справочная информация'!$U$6:$AK$29,MATCH('Расчет грейда'!$Y174,'справочная информация'!$T$6:$T$29,0),MATCH('Расчет грейда'!$X174,'справочная информация'!$U$5:$AK$5,0))</f>
        <v>#N/A</v>
      </c>
      <c r="AA174" s="9" t="str">
        <f t="shared" si="67"/>
        <v/>
      </c>
      <c r="AB174" s="3" t="e">
        <f>INDEX('справочная информация'!$B$68:$H$83,MATCH('Расчет грейда'!$AA174,'справочная информация'!$A$68:$A$83,0),MATCH('Расчет грейда'!$N174,'справочная информация'!$B$67:$H$67,0))</f>
        <v>#N/A</v>
      </c>
      <c r="AC174" s="3" t="e">
        <f>INDEX('справочная информация'!$D$130:$AD$145,MATCH('Расчет грейда'!$AW174,'справочная информация'!$C$130:$C$145,0),MATCH('Расчет грейда'!$AV174,'справочная информация'!$D$129:$AD$129,0))</f>
        <v>#N/A</v>
      </c>
      <c r="AD174" s="9" t="str">
        <f t="shared" si="68"/>
        <v/>
      </c>
      <c r="AE174" s="9" t="str">
        <f t="shared" si="69"/>
        <v/>
      </c>
      <c r="AF174" s="3" t="str">
        <f>IFERROR(IF(AND(AD174="",AE174=""),"",INDEX('справочная информация'!$B$188:$Y$211,MATCH('Расчет грейда'!$AE174,'справочная информация'!$A$188:$A$211,0),MATCH('Расчет грейда'!$AD174,'справочная информация'!$B$187:$Y$187,0))),"НЕТ")</f>
        <v/>
      </c>
      <c r="AG174" s="3" t="e">
        <f>VLOOKUP(J174,'справочная информация'!$D$267:$E$274,2,0)</f>
        <v>#N/A</v>
      </c>
      <c r="AH174" s="3" t="e">
        <f>VLOOKUP(K174,'справочная информация'!$D$279:$E$283,2,0)</f>
        <v>#N/A</v>
      </c>
      <c r="AI174" s="3" t="e">
        <f>VLOOKUP(L174,'справочная информация'!$D$288:$E$290,2,0)</f>
        <v>#N/A</v>
      </c>
      <c r="AJ174" s="3" t="str">
        <f t="shared" si="70"/>
        <v/>
      </c>
      <c r="AK174" s="169" t="e">
        <f>VLOOKUP(M174,'справочная информация'!$D$294:$E$301,2,0)</f>
        <v>#N/A</v>
      </c>
      <c r="AL174" s="3" t="e">
        <f>VLOOKUP(N174,'справочная информация'!$D$306:$E$310,2,0)</f>
        <v>#N/A</v>
      </c>
      <c r="AM174" s="169" t="str">
        <f t="shared" si="71"/>
        <v>()</v>
      </c>
      <c r="AN174" s="3" t="str">
        <f t="shared" si="72"/>
        <v/>
      </c>
      <c r="AO174" s="3" t="e">
        <f>VLOOKUP(O174,'справочная информация'!$D$329:$E$336,2,0)</f>
        <v>#N/A</v>
      </c>
      <c r="AP174" s="3" t="e">
        <f>VLOOKUP(P174,'справочная информация'!$D$342:$E$349,2,0)</f>
        <v>#N/A</v>
      </c>
      <c r="AQ174" s="3" t="e">
        <f>VLOOKUP(Q174,'справочная информация'!$D$316:$E$325,2,0)</f>
        <v>#N/A</v>
      </c>
      <c r="AR174" s="3" t="str">
        <f t="shared" si="73"/>
        <v/>
      </c>
      <c r="AS174" s="170" t="str">
        <f t="shared" si="74"/>
        <v/>
      </c>
      <c r="AT174" s="3" t="str">
        <f t="shared" si="75"/>
        <v/>
      </c>
      <c r="AU174" s="3" t="e">
        <f>ABS(MATCH($AX174,'справочная информация'!$A$354:$A$391,0)-MATCH($AY174,'справочная информация'!$A$354:$A$391,0))</f>
        <v>#N/A</v>
      </c>
      <c r="AV174" s="3" t="str">
        <f>IFERROR(INDEX('справочная информация'!$B$6:$R$29,MATCH('Расчет грейда'!$Y174,'справочная информация'!$A$6:$A$29,0),MATCH('Расчет грейда'!$X174,'справочная информация'!$B$5:$R$5,0)),"")</f>
        <v/>
      </c>
      <c r="AW174" s="171" t="str">
        <f>IFERROR(INDEX('справочная информация'!$B$37:$H$52,MATCH('Расчет грейда'!$AA174,'справочная информация'!$A$37:$A$52,0),MATCH('Расчет грейда'!$N174,'справочная информация'!$B$36:$H$36,0)),"")</f>
        <v/>
      </c>
      <c r="AX174" s="122" t="str">
        <f>IFERROR(INDEX('справочная информация'!$D$108:$AD$123,MATCH('Расчет грейда'!$AW174,'справочная информация'!$C$108:$C$123,0),MATCH('Расчет грейда'!$AV174,'справочная информация'!$D$107:$AD$107,0)),"")</f>
        <v/>
      </c>
      <c r="AY174" s="133" t="str">
        <f>IFERROR(INDEX('справочная информация'!$B$158:$Y$181,MATCH('Расчет грейда'!$AE174,'справочная информация'!$A$158:$A$181,0),MATCH('Расчет грейда'!$AD174,'справочная информация'!$B$157:$Y$157,0)),"")</f>
        <v/>
      </c>
      <c r="AZ174" s="170" t="str">
        <f t="shared" si="76"/>
        <v/>
      </c>
      <c r="BA174" s="172" t="str">
        <f>IFERROR(CONCATENATE(TEXT(AZ174/INDEX('справочная информация'!$D$223:$D$261,MATCH('Расчет грейда'!$AZ174,'справочная информация'!$C$223:$C$261,1)),"0%")," - процент относительно медианы 100%. ","MIN балл на грейде ",INDEX('справочная информация'!$C$223:$C$261,MATCH('Расчет грейда'!$AZ174,'справочная информация'!$C$223:$C$261,1)),", "," MAX балл на грейде ",INDEX('справочная информация'!$E$223:$E$261,MATCH('Расчет грейда'!$AZ174,'справочная информация'!$C$223:$C$261,1))),"")</f>
        <v/>
      </c>
      <c r="BB174" s="120" t="str">
        <f t="shared" si="77"/>
        <v/>
      </c>
      <c r="BC174" s="3" t="str">
        <f t="shared" si="78"/>
        <v/>
      </c>
      <c r="BD174" s="121" t="str">
        <f>IFERROR(VLOOKUP(BC174,'справочная информация'!$B$416:$C$424,2,0),"Проверить данные, нетипичная должность")</f>
        <v>Проверить данные, нетипичная должность</v>
      </c>
      <c r="BE174" s="3" t="str">
        <f t="shared" si="79"/>
        <v/>
      </c>
      <c r="BF174" s="3" t="str">
        <f>IFERROR(INDEX('справочная информация'!$F$223:$F$261,MATCH('Расчет грейда'!$AZ174,'справочная информация'!$C$223:$C$261,1)),"")</f>
        <v/>
      </c>
    </row>
    <row r="175" spans="1:58" s="9" customFormat="1" x14ac:dyDescent="0.35">
      <c r="A175" s="120"/>
      <c r="B175" s="122"/>
      <c r="C175" s="140"/>
      <c r="D175" s="120"/>
      <c r="E175" s="120"/>
      <c r="F175" s="120"/>
      <c r="G175" s="120"/>
      <c r="H175" s="120"/>
      <c r="J175" s="142"/>
      <c r="K175" s="142"/>
      <c r="L175" s="142"/>
      <c r="R175" s="3"/>
      <c r="S175" s="138"/>
      <c r="T175" s="3"/>
      <c r="U175" s="3"/>
      <c r="V175" s="3"/>
      <c r="W175" s="3" t="str">
        <f t="shared" si="64"/>
        <v/>
      </c>
      <c r="X175" s="9" t="str">
        <f t="shared" si="65"/>
        <v/>
      </c>
      <c r="Y175" s="9" t="str">
        <f t="shared" si="66"/>
        <v/>
      </c>
      <c r="Z175" s="3" t="e">
        <f>INDEX('справочная информация'!$U$6:$AK$29,MATCH('Расчет грейда'!$Y175,'справочная информация'!$T$6:$T$29,0),MATCH('Расчет грейда'!$X175,'справочная информация'!$U$5:$AK$5,0))</f>
        <v>#N/A</v>
      </c>
      <c r="AA175" s="9" t="str">
        <f t="shared" si="67"/>
        <v/>
      </c>
      <c r="AB175" s="3" t="e">
        <f>INDEX('справочная информация'!$B$68:$H$83,MATCH('Расчет грейда'!$AA175,'справочная информация'!$A$68:$A$83,0),MATCH('Расчет грейда'!$N175,'справочная информация'!$B$67:$H$67,0))</f>
        <v>#N/A</v>
      </c>
      <c r="AC175" s="3" t="e">
        <f>INDEX('справочная информация'!$D$130:$AD$145,MATCH('Расчет грейда'!$AW175,'справочная информация'!$C$130:$C$145,0),MATCH('Расчет грейда'!$AV175,'справочная информация'!$D$129:$AD$129,0))</f>
        <v>#N/A</v>
      </c>
      <c r="AD175" s="9" t="str">
        <f t="shared" si="68"/>
        <v/>
      </c>
      <c r="AE175" s="9" t="str">
        <f t="shared" si="69"/>
        <v/>
      </c>
      <c r="AF175" s="3" t="str">
        <f>IFERROR(IF(AND(AD175="",AE175=""),"",INDEX('справочная информация'!$B$188:$Y$211,MATCH('Расчет грейда'!$AE175,'справочная информация'!$A$188:$A$211,0),MATCH('Расчет грейда'!$AD175,'справочная информация'!$B$187:$Y$187,0))),"НЕТ")</f>
        <v/>
      </c>
      <c r="AG175" s="3" t="e">
        <f>VLOOKUP(J175,'справочная информация'!$D$267:$E$274,2,0)</f>
        <v>#N/A</v>
      </c>
      <c r="AH175" s="3" t="e">
        <f>VLOOKUP(K175,'справочная информация'!$D$279:$E$283,2,0)</f>
        <v>#N/A</v>
      </c>
      <c r="AI175" s="3" t="e">
        <f>VLOOKUP(L175,'справочная информация'!$D$288:$E$290,2,0)</f>
        <v>#N/A</v>
      </c>
      <c r="AJ175" s="3" t="str">
        <f t="shared" si="70"/>
        <v/>
      </c>
      <c r="AK175" s="169" t="e">
        <f>VLOOKUP(M175,'справочная информация'!$D$294:$E$301,2,0)</f>
        <v>#N/A</v>
      </c>
      <c r="AL175" s="3" t="e">
        <f>VLOOKUP(N175,'справочная информация'!$D$306:$E$310,2,0)</f>
        <v>#N/A</v>
      </c>
      <c r="AM175" s="169" t="str">
        <f t="shared" si="71"/>
        <v>()</v>
      </c>
      <c r="AN175" s="3" t="str">
        <f t="shared" si="72"/>
        <v/>
      </c>
      <c r="AO175" s="3" t="e">
        <f>VLOOKUP(O175,'справочная информация'!$D$329:$E$336,2,0)</f>
        <v>#N/A</v>
      </c>
      <c r="AP175" s="3" t="e">
        <f>VLOOKUP(P175,'справочная информация'!$D$342:$E$349,2,0)</f>
        <v>#N/A</v>
      </c>
      <c r="AQ175" s="3" t="e">
        <f>VLOOKUP(Q175,'справочная информация'!$D$316:$E$325,2,0)</f>
        <v>#N/A</v>
      </c>
      <c r="AR175" s="3" t="str">
        <f t="shared" si="73"/>
        <v/>
      </c>
      <c r="AS175" s="170" t="str">
        <f t="shared" si="74"/>
        <v/>
      </c>
      <c r="AT175" s="3" t="str">
        <f t="shared" si="75"/>
        <v/>
      </c>
      <c r="AU175" s="3" t="e">
        <f>ABS(MATCH($AX175,'справочная информация'!$A$354:$A$391,0)-MATCH($AY175,'справочная информация'!$A$354:$A$391,0))</f>
        <v>#N/A</v>
      </c>
      <c r="AV175" s="3" t="str">
        <f>IFERROR(INDEX('справочная информация'!$B$6:$R$29,MATCH('Расчет грейда'!$Y175,'справочная информация'!$A$6:$A$29,0),MATCH('Расчет грейда'!$X175,'справочная информация'!$B$5:$R$5,0)),"")</f>
        <v/>
      </c>
      <c r="AW175" s="171" t="str">
        <f>IFERROR(INDEX('справочная информация'!$B$37:$H$52,MATCH('Расчет грейда'!$AA175,'справочная информация'!$A$37:$A$52,0),MATCH('Расчет грейда'!$N175,'справочная информация'!$B$36:$H$36,0)),"")</f>
        <v/>
      </c>
      <c r="AX175" s="122" t="str">
        <f>IFERROR(INDEX('справочная информация'!$D$108:$AD$123,MATCH('Расчет грейда'!$AW175,'справочная информация'!$C$108:$C$123,0),MATCH('Расчет грейда'!$AV175,'справочная информация'!$D$107:$AD$107,0)),"")</f>
        <v/>
      </c>
      <c r="AY175" s="133" t="str">
        <f>IFERROR(INDEX('справочная информация'!$B$158:$Y$181,MATCH('Расчет грейда'!$AE175,'справочная информация'!$A$158:$A$181,0),MATCH('Расчет грейда'!$AD175,'справочная информация'!$B$157:$Y$157,0)),"")</f>
        <v/>
      </c>
      <c r="AZ175" s="170" t="str">
        <f t="shared" si="76"/>
        <v/>
      </c>
      <c r="BA175" s="172" t="str">
        <f>IFERROR(CONCATENATE(TEXT(AZ175/INDEX('справочная информация'!$D$223:$D$261,MATCH('Расчет грейда'!$AZ175,'справочная информация'!$C$223:$C$261,1)),"0%")," - процент относительно медианы 100%. ","MIN балл на грейде ",INDEX('справочная информация'!$C$223:$C$261,MATCH('Расчет грейда'!$AZ175,'справочная информация'!$C$223:$C$261,1)),", "," MAX балл на грейде ",INDEX('справочная информация'!$E$223:$E$261,MATCH('Расчет грейда'!$AZ175,'справочная информация'!$C$223:$C$261,1))),"")</f>
        <v/>
      </c>
      <c r="BB175" s="120" t="str">
        <f t="shared" si="77"/>
        <v/>
      </c>
      <c r="BC175" s="3" t="str">
        <f t="shared" si="78"/>
        <v/>
      </c>
      <c r="BD175" s="121" t="str">
        <f>IFERROR(VLOOKUP(BC175,'справочная информация'!$B$416:$C$424,2,0),"Проверить данные, нетипичная должность")</f>
        <v>Проверить данные, нетипичная должность</v>
      </c>
      <c r="BE175" s="3" t="str">
        <f t="shared" si="79"/>
        <v/>
      </c>
      <c r="BF175" s="3" t="str">
        <f>IFERROR(INDEX('справочная информация'!$F$223:$F$261,MATCH('Расчет грейда'!$AZ175,'справочная информация'!$C$223:$C$261,1)),"")</f>
        <v/>
      </c>
    </row>
    <row r="176" spans="1:58" s="9" customFormat="1" x14ac:dyDescent="0.35">
      <c r="A176" s="120"/>
      <c r="B176" s="122"/>
      <c r="C176" s="140"/>
      <c r="D176" s="120"/>
      <c r="E176" s="120"/>
      <c r="F176" s="120"/>
      <c r="G176" s="120"/>
      <c r="H176" s="120"/>
      <c r="J176" s="142"/>
      <c r="K176" s="142"/>
      <c r="L176" s="142"/>
      <c r="R176" s="3"/>
      <c r="S176" s="138"/>
      <c r="T176" s="3"/>
      <c r="U176" s="3"/>
      <c r="V176" s="3"/>
      <c r="W176" s="3" t="str">
        <f t="shared" si="64"/>
        <v/>
      </c>
      <c r="X176" s="9" t="str">
        <f t="shared" si="65"/>
        <v/>
      </c>
      <c r="Y176" s="9" t="str">
        <f t="shared" si="66"/>
        <v/>
      </c>
      <c r="Z176" s="3" t="e">
        <f>INDEX('справочная информация'!$U$6:$AK$29,MATCH('Расчет грейда'!$Y176,'справочная информация'!$T$6:$T$29,0),MATCH('Расчет грейда'!$X176,'справочная информация'!$U$5:$AK$5,0))</f>
        <v>#N/A</v>
      </c>
      <c r="AA176" s="9" t="str">
        <f t="shared" si="67"/>
        <v/>
      </c>
      <c r="AB176" s="3" t="e">
        <f>INDEX('справочная информация'!$B$68:$H$83,MATCH('Расчет грейда'!$AA176,'справочная информация'!$A$68:$A$83,0),MATCH('Расчет грейда'!$N176,'справочная информация'!$B$67:$H$67,0))</f>
        <v>#N/A</v>
      </c>
      <c r="AC176" s="3" t="e">
        <f>INDEX('справочная информация'!$D$130:$AD$145,MATCH('Расчет грейда'!$AW176,'справочная информация'!$C$130:$C$145,0),MATCH('Расчет грейда'!$AV176,'справочная информация'!$D$129:$AD$129,0))</f>
        <v>#N/A</v>
      </c>
      <c r="AD176" s="9" t="str">
        <f t="shared" si="68"/>
        <v/>
      </c>
      <c r="AE176" s="9" t="str">
        <f t="shared" si="69"/>
        <v/>
      </c>
      <c r="AF176" s="3" t="str">
        <f>IFERROR(IF(AND(AD176="",AE176=""),"",INDEX('справочная информация'!$B$188:$Y$211,MATCH('Расчет грейда'!$AE176,'справочная информация'!$A$188:$A$211,0),MATCH('Расчет грейда'!$AD176,'справочная информация'!$B$187:$Y$187,0))),"НЕТ")</f>
        <v/>
      </c>
      <c r="AG176" s="3" t="e">
        <f>VLOOKUP(J176,'справочная информация'!$D$267:$E$274,2,0)</f>
        <v>#N/A</v>
      </c>
      <c r="AH176" s="3" t="e">
        <f>VLOOKUP(K176,'справочная информация'!$D$279:$E$283,2,0)</f>
        <v>#N/A</v>
      </c>
      <c r="AI176" s="3" t="e">
        <f>VLOOKUP(L176,'справочная информация'!$D$288:$E$290,2,0)</f>
        <v>#N/A</v>
      </c>
      <c r="AJ176" s="3" t="str">
        <f t="shared" si="70"/>
        <v/>
      </c>
      <c r="AK176" s="169" t="e">
        <f>VLOOKUP(M176,'справочная информация'!$D$294:$E$301,2,0)</f>
        <v>#N/A</v>
      </c>
      <c r="AL176" s="3" t="e">
        <f>VLOOKUP(N176,'справочная информация'!$D$306:$E$310,2,0)</f>
        <v>#N/A</v>
      </c>
      <c r="AM176" s="169" t="str">
        <f t="shared" si="71"/>
        <v>()</v>
      </c>
      <c r="AN176" s="3" t="str">
        <f t="shared" si="72"/>
        <v/>
      </c>
      <c r="AO176" s="3" t="e">
        <f>VLOOKUP(O176,'справочная информация'!$D$329:$E$336,2,0)</f>
        <v>#N/A</v>
      </c>
      <c r="AP176" s="3" t="e">
        <f>VLOOKUP(P176,'справочная информация'!$D$342:$E$349,2,0)</f>
        <v>#N/A</v>
      </c>
      <c r="AQ176" s="3" t="e">
        <f>VLOOKUP(Q176,'справочная информация'!$D$316:$E$325,2,0)</f>
        <v>#N/A</v>
      </c>
      <c r="AR176" s="3" t="str">
        <f t="shared" si="73"/>
        <v/>
      </c>
      <c r="AS176" s="170" t="str">
        <f t="shared" si="74"/>
        <v/>
      </c>
      <c r="AT176" s="3" t="str">
        <f t="shared" si="75"/>
        <v/>
      </c>
      <c r="AU176" s="3" t="e">
        <f>ABS(MATCH($AX176,'справочная информация'!$A$354:$A$391,0)-MATCH($AY176,'справочная информация'!$A$354:$A$391,0))</f>
        <v>#N/A</v>
      </c>
      <c r="AV176" s="3" t="str">
        <f>IFERROR(INDEX('справочная информация'!$B$6:$R$29,MATCH('Расчет грейда'!$Y176,'справочная информация'!$A$6:$A$29,0),MATCH('Расчет грейда'!$X176,'справочная информация'!$B$5:$R$5,0)),"")</f>
        <v/>
      </c>
      <c r="AW176" s="171" t="str">
        <f>IFERROR(INDEX('справочная информация'!$B$37:$H$52,MATCH('Расчет грейда'!$AA176,'справочная информация'!$A$37:$A$52,0),MATCH('Расчет грейда'!$N176,'справочная информация'!$B$36:$H$36,0)),"")</f>
        <v/>
      </c>
      <c r="AX176" s="122" t="str">
        <f>IFERROR(INDEX('справочная информация'!$D$108:$AD$123,MATCH('Расчет грейда'!$AW176,'справочная информация'!$C$108:$C$123,0),MATCH('Расчет грейда'!$AV176,'справочная информация'!$D$107:$AD$107,0)),"")</f>
        <v/>
      </c>
      <c r="AY176" s="133" t="str">
        <f>IFERROR(INDEX('справочная информация'!$B$158:$Y$181,MATCH('Расчет грейда'!$AE176,'справочная информация'!$A$158:$A$181,0),MATCH('Расчет грейда'!$AD176,'справочная информация'!$B$157:$Y$157,0)),"")</f>
        <v/>
      </c>
      <c r="AZ176" s="170" t="str">
        <f t="shared" si="76"/>
        <v/>
      </c>
      <c r="BA176" s="172" t="str">
        <f>IFERROR(CONCATENATE(TEXT(AZ176/INDEX('справочная информация'!$D$223:$D$261,MATCH('Расчет грейда'!$AZ176,'справочная информация'!$C$223:$C$261,1)),"0%")," - процент относительно медианы 100%. ","MIN балл на грейде ",INDEX('справочная информация'!$C$223:$C$261,MATCH('Расчет грейда'!$AZ176,'справочная информация'!$C$223:$C$261,1)),", "," MAX балл на грейде ",INDEX('справочная информация'!$E$223:$E$261,MATCH('Расчет грейда'!$AZ176,'справочная информация'!$C$223:$C$261,1))),"")</f>
        <v/>
      </c>
      <c r="BB176" s="120" t="str">
        <f t="shared" si="77"/>
        <v/>
      </c>
      <c r="BC176" s="3" t="str">
        <f t="shared" si="78"/>
        <v/>
      </c>
      <c r="BD176" s="121" t="str">
        <f>IFERROR(VLOOKUP(BC176,'справочная информация'!$B$416:$C$424,2,0),"Проверить данные, нетипичная должность")</f>
        <v>Проверить данные, нетипичная должность</v>
      </c>
      <c r="BE176" s="3" t="str">
        <f t="shared" si="79"/>
        <v/>
      </c>
      <c r="BF176" s="3" t="str">
        <f>IFERROR(INDEX('справочная информация'!$F$223:$F$261,MATCH('Расчет грейда'!$AZ176,'справочная информация'!$C$223:$C$261,1)),"")</f>
        <v/>
      </c>
    </row>
    <row r="177" spans="1:58" s="9" customFormat="1" x14ac:dyDescent="0.35">
      <c r="A177" s="120"/>
      <c r="B177" s="122"/>
      <c r="C177" s="140"/>
      <c r="D177" s="120"/>
      <c r="E177" s="120"/>
      <c r="F177" s="120"/>
      <c r="G177" s="120"/>
      <c r="H177" s="120"/>
      <c r="J177" s="142"/>
      <c r="K177" s="142"/>
      <c r="L177" s="142"/>
      <c r="R177" s="3"/>
      <c r="S177" s="138"/>
      <c r="T177" s="3"/>
      <c r="U177" s="3"/>
      <c r="V177" s="3"/>
      <c r="W177" s="3" t="str">
        <f t="shared" si="64"/>
        <v/>
      </c>
      <c r="X177" s="9" t="str">
        <f t="shared" si="65"/>
        <v/>
      </c>
      <c r="Y177" s="9" t="str">
        <f t="shared" si="66"/>
        <v/>
      </c>
      <c r="Z177" s="3" t="e">
        <f>INDEX('справочная информация'!$U$6:$AK$29,MATCH('Расчет грейда'!$Y177,'справочная информация'!$T$6:$T$29,0),MATCH('Расчет грейда'!$X177,'справочная информация'!$U$5:$AK$5,0))</f>
        <v>#N/A</v>
      </c>
      <c r="AA177" s="9" t="str">
        <f t="shared" si="67"/>
        <v/>
      </c>
      <c r="AB177" s="3" t="e">
        <f>INDEX('справочная информация'!$B$68:$H$83,MATCH('Расчет грейда'!$AA177,'справочная информация'!$A$68:$A$83,0),MATCH('Расчет грейда'!$N177,'справочная информация'!$B$67:$H$67,0))</f>
        <v>#N/A</v>
      </c>
      <c r="AC177" s="3" t="e">
        <f>INDEX('справочная информация'!$D$130:$AD$145,MATCH('Расчет грейда'!$AW177,'справочная информация'!$C$130:$C$145,0),MATCH('Расчет грейда'!$AV177,'справочная информация'!$D$129:$AD$129,0))</f>
        <v>#N/A</v>
      </c>
      <c r="AD177" s="9" t="str">
        <f t="shared" si="68"/>
        <v/>
      </c>
      <c r="AE177" s="9" t="str">
        <f t="shared" si="69"/>
        <v/>
      </c>
      <c r="AF177" s="3" t="str">
        <f>IFERROR(IF(AND(AD177="",AE177=""),"",INDEX('справочная информация'!$B$188:$Y$211,MATCH('Расчет грейда'!$AE177,'справочная информация'!$A$188:$A$211,0),MATCH('Расчет грейда'!$AD177,'справочная информация'!$B$187:$Y$187,0))),"НЕТ")</f>
        <v/>
      </c>
      <c r="AG177" s="3" t="e">
        <f>VLOOKUP(J177,'справочная информация'!$D$267:$E$274,2,0)</f>
        <v>#N/A</v>
      </c>
      <c r="AH177" s="3" t="e">
        <f>VLOOKUP(K177,'справочная информация'!$D$279:$E$283,2,0)</f>
        <v>#N/A</v>
      </c>
      <c r="AI177" s="3" t="e">
        <f>VLOOKUP(L177,'справочная информация'!$D$288:$E$290,2,0)</f>
        <v>#N/A</v>
      </c>
      <c r="AJ177" s="3" t="str">
        <f t="shared" si="70"/>
        <v/>
      </c>
      <c r="AK177" s="169" t="e">
        <f>VLOOKUP(M177,'справочная информация'!$D$294:$E$301,2,0)</f>
        <v>#N/A</v>
      </c>
      <c r="AL177" s="3" t="e">
        <f>VLOOKUP(N177,'справочная информация'!$D$306:$E$310,2,0)</f>
        <v>#N/A</v>
      </c>
      <c r="AM177" s="169" t="str">
        <f t="shared" si="71"/>
        <v>()</v>
      </c>
      <c r="AN177" s="3" t="str">
        <f t="shared" si="72"/>
        <v/>
      </c>
      <c r="AO177" s="3" t="e">
        <f>VLOOKUP(O177,'справочная информация'!$D$329:$E$336,2,0)</f>
        <v>#N/A</v>
      </c>
      <c r="AP177" s="3" t="e">
        <f>VLOOKUP(P177,'справочная информация'!$D$342:$E$349,2,0)</f>
        <v>#N/A</v>
      </c>
      <c r="AQ177" s="3" t="e">
        <f>VLOOKUP(Q177,'справочная информация'!$D$316:$E$325,2,0)</f>
        <v>#N/A</v>
      </c>
      <c r="AR177" s="3" t="str">
        <f t="shared" si="73"/>
        <v/>
      </c>
      <c r="AS177" s="170" t="str">
        <f t="shared" si="74"/>
        <v/>
      </c>
      <c r="AT177" s="3" t="str">
        <f t="shared" si="75"/>
        <v/>
      </c>
      <c r="AU177" s="3" t="e">
        <f>ABS(MATCH($AX177,'справочная информация'!$A$354:$A$391,0)-MATCH($AY177,'справочная информация'!$A$354:$A$391,0))</f>
        <v>#N/A</v>
      </c>
      <c r="AV177" s="3" t="str">
        <f>IFERROR(INDEX('справочная информация'!$B$6:$R$29,MATCH('Расчет грейда'!$Y177,'справочная информация'!$A$6:$A$29,0),MATCH('Расчет грейда'!$X177,'справочная информация'!$B$5:$R$5,0)),"")</f>
        <v/>
      </c>
      <c r="AW177" s="171" t="str">
        <f>IFERROR(INDEX('справочная информация'!$B$37:$H$52,MATCH('Расчет грейда'!$AA177,'справочная информация'!$A$37:$A$52,0),MATCH('Расчет грейда'!$N177,'справочная информация'!$B$36:$H$36,0)),"")</f>
        <v/>
      </c>
      <c r="AX177" s="122" t="str">
        <f>IFERROR(INDEX('справочная информация'!$D$108:$AD$123,MATCH('Расчет грейда'!$AW177,'справочная информация'!$C$108:$C$123,0),MATCH('Расчет грейда'!$AV177,'справочная информация'!$D$107:$AD$107,0)),"")</f>
        <v/>
      </c>
      <c r="AY177" s="133" t="str">
        <f>IFERROR(INDEX('справочная информация'!$B$158:$Y$181,MATCH('Расчет грейда'!$AE177,'справочная информация'!$A$158:$A$181,0),MATCH('Расчет грейда'!$AD177,'справочная информация'!$B$157:$Y$157,0)),"")</f>
        <v/>
      </c>
      <c r="AZ177" s="170" t="str">
        <f t="shared" si="76"/>
        <v/>
      </c>
      <c r="BA177" s="172" t="str">
        <f>IFERROR(CONCATENATE(TEXT(AZ177/INDEX('справочная информация'!$D$223:$D$261,MATCH('Расчет грейда'!$AZ177,'справочная информация'!$C$223:$C$261,1)),"0%")," - процент относительно медианы 100%. ","MIN балл на грейде ",INDEX('справочная информация'!$C$223:$C$261,MATCH('Расчет грейда'!$AZ177,'справочная информация'!$C$223:$C$261,1)),", "," MAX балл на грейде ",INDEX('справочная информация'!$E$223:$E$261,MATCH('Расчет грейда'!$AZ177,'справочная информация'!$C$223:$C$261,1))),"")</f>
        <v/>
      </c>
      <c r="BB177" s="120" t="str">
        <f t="shared" si="77"/>
        <v/>
      </c>
      <c r="BC177" s="3" t="str">
        <f t="shared" si="78"/>
        <v/>
      </c>
      <c r="BD177" s="121" t="str">
        <f>IFERROR(VLOOKUP(BC177,'справочная информация'!$B$416:$C$424,2,0),"Проверить данные, нетипичная должность")</f>
        <v>Проверить данные, нетипичная должность</v>
      </c>
      <c r="BE177" s="3" t="str">
        <f t="shared" si="79"/>
        <v/>
      </c>
      <c r="BF177" s="3" t="str">
        <f>IFERROR(INDEX('справочная информация'!$F$223:$F$261,MATCH('Расчет грейда'!$AZ177,'справочная информация'!$C$223:$C$261,1)),"")</f>
        <v/>
      </c>
    </row>
    <row r="178" spans="1:58" s="9" customFormat="1" x14ac:dyDescent="0.35">
      <c r="A178" s="120"/>
      <c r="B178" s="122"/>
      <c r="C178" s="140"/>
      <c r="D178" s="120"/>
      <c r="E178" s="120"/>
      <c r="F178" s="120"/>
      <c r="G178" s="120"/>
      <c r="H178" s="120"/>
      <c r="J178" s="142"/>
      <c r="K178" s="142"/>
      <c r="L178" s="142"/>
      <c r="R178" s="3"/>
      <c r="S178" s="138"/>
      <c r="T178" s="3"/>
      <c r="U178" s="3"/>
      <c r="V178" s="3"/>
      <c r="W178" s="3" t="str">
        <f t="shared" si="64"/>
        <v/>
      </c>
      <c r="X178" s="9" t="str">
        <f t="shared" si="65"/>
        <v/>
      </c>
      <c r="Y178" s="9" t="str">
        <f t="shared" si="66"/>
        <v/>
      </c>
      <c r="Z178" s="3" t="e">
        <f>INDEX('справочная информация'!$U$6:$AK$29,MATCH('Расчет грейда'!$Y178,'справочная информация'!$T$6:$T$29,0),MATCH('Расчет грейда'!$X178,'справочная информация'!$U$5:$AK$5,0))</f>
        <v>#N/A</v>
      </c>
      <c r="AA178" s="9" t="str">
        <f t="shared" si="67"/>
        <v/>
      </c>
      <c r="AB178" s="3" t="e">
        <f>INDEX('справочная информация'!$B$68:$H$83,MATCH('Расчет грейда'!$AA178,'справочная информация'!$A$68:$A$83,0),MATCH('Расчет грейда'!$N178,'справочная информация'!$B$67:$H$67,0))</f>
        <v>#N/A</v>
      </c>
      <c r="AC178" s="3" t="e">
        <f>INDEX('справочная информация'!$D$130:$AD$145,MATCH('Расчет грейда'!$AW178,'справочная информация'!$C$130:$C$145,0),MATCH('Расчет грейда'!$AV178,'справочная информация'!$D$129:$AD$129,0))</f>
        <v>#N/A</v>
      </c>
      <c r="AD178" s="9" t="str">
        <f t="shared" si="68"/>
        <v/>
      </c>
      <c r="AE178" s="9" t="str">
        <f t="shared" si="69"/>
        <v/>
      </c>
      <c r="AF178" s="3" t="str">
        <f>IFERROR(IF(AND(AD178="",AE178=""),"",INDEX('справочная информация'!$B$188:$Y$211,MATCH('Расчет грейда'!$AE178,'справочная информация'!$A$188:$A$211,0),MATCH('Расчет грейда'!$AD178,'справочная информация'!$B$187:$Y$187,0))),"НЕТ")</f>
        <v/>
      </c>
      <c r="AG178" s="3" t="e">
        <f>VLOOKUP(J178,'справочная информация'!$D$267:$E$274,2,0)</f>
        <v>#N/A</v>
      </c>
      <c r="AH178" s="3" t="e">
        <f>VLOOKUP(K178,'справочная информация'!$D$279:$E$283,2,0)</f>
        <v>#N/A</v>
      </c>
      <c r="AI178" s="3" t="e">
        <f>VLOOKUP(L178,'справочная информация'!$D$288:$E$290,2,0)</f>
        <v>#N/A</v>
      </c>
      <c r="AJ178" s="3" t="str">
        <f t="shared" si="70"/>
        <v/>
      </c>
      <c r="AK178" s="169" t="e">
        <f>VLOOKUP(M178,'справочная информация'!$D$294:$E$301,2,0)</f>
        <v>#N/A</v>
      </c>
      <c r="AL178" s="3" t="e">
        <f>VLOOKUP(N178,'справочная информация'!$D$306:$E$310,2,0)</f>
        <v>#N/A</v>
      </c>
      <c r="AM178" s="169" t="str">
        <f t="shared" si="71"/>
        <v>()</v>
      </c>
      <c r="AN178" s="3" t="str">
        <f t="shared" si="72"/>
        <v/>
      </c>
      <c r="AO178" s="3" t="e">
        <f>VLOOKUP(O178,'справочная информация'!$D$329:$E$336,2,0)</f>
        <v>#N/A</v>
      </c>
      <c r="AP178" s="3" t="e">
        <f>VLOOKUP(P178,'справочная информация'!$D$342:$E$349,2,0)</f>
        <v>#N/A</v>
      </c>
      <c r="AQ178" s="3" t="e">
        <f>VLOOKUP(Q178,'справочная информация'!$D$316:$E$325,2,0)</f>
        <v>#N/A</v>
      </c>
      <c r="AR178" s="3" t="str">
        <f t="shared" si="73"/>
        <v/>
      </c>
      <c r="AS178" s="170" t="str">
        <f t="shared" si="74"/>
        <v/>
      </c>
      <c r="AT178" s="3" t="str">
        <f t="shared" si="75"/>
        <v/>
      </c>
      <c r="AU178" s="3" t="e">
        <f>ABS(MATCH($AX178,'справочная информация'!$A$354:$A$391,0)-MATCH($AY178,'справочная информация'!$A$354:$A$391,0))</f>
        <v>#N/A</v>
      </c>
      <c r="AV178" s="3" t="str">
        <f>IFERROR(INDEX('справочная информация'!$B$6:$R$29,MATCH('Расчет грейда'!$Y178,'справочная информация'!$A$6:$A$29,0),MATCH('Расчет грейда'!$X178,'справочная информация'!$B$5:$R$5,0)),"")</f>
        <v/>
      </c>
      <c r="AW178" s="171" t="str">
        <f>IFERROR(INDEX('справочная информация'!$B$37:$H$52,MATCH('Расчет грейда'!$AA178,'справочная информация'!$A$37:$A$52,0),MATCH('Расчет грейда'!$N178,'справочная информация'!$B$36:$H$36,0)),"")</f>
        <v/>
      </c>
      <c r="AX178" s="122" t="str">
        <f>IFERROR(INDEX('справочная информация'!$D$108:$AD$123,MATCH('Расчет грейда'!$AW178,'справочная информация'!$C$108:$C$123,0),MATCH('Расчет грейда'!$AV178,'справочная информация'!$D$107:$AD$107,0)),"")</f>
        <v/>
      </c>
      <c r="AY178" s="133" t="str">
        <f>IFERROR(INDEX('справочная информация'!$B$158:$Y$181,MATCH('Расчет грейда'!$AE178,'справочная информация'!$A$158:$A$181,0),MATCH('Расчет грейда'!$AD178,'справочная информация'!$B$157:$Y$157,0)),"")</f>
        <v/>
      </c>
      <c r="AZ178" s="170" t="str">
        <f t="shared" si="76"/>
        <v/>
      </c>
      <c r="BA178" s="172" t="str">
        <f>IFERROR(CONCATENATE(TEXT(AZ178/INDEX('справочная информация'!$D$223:$D$261,MATCH('Расчет грейда'!$AZ178,'справочная информация'!$C$223:$C$261,1)),"0%")," - процент относительно медианы 100%. ","MIN балл на грейде ",INDEX('справочная информация'!$C$223:$C$261,MATCH('Расчет грейда'!$AZ178,'справочная информация'!$C$223:$C$261,1)),", "," MAX балл на грейде ",INDEX('справочная информация'!$E$223:$E$261,MATCH('Расчет грейда'!$AZ178,'справочная информация'!$C$223:$C$261,1))),"")</f>
        <v/>
      </c>
      <c r="BB178" s="120" t="str">
        <f t="shared" si="77"/>
        <v/>
      </c>
      <c r="BC178" s="3" t="str">
        <f t="shared" si="78"/>
        <v/>
      </c>
      <c r="BD178" s="121" t="str">
        <f>IFERROR(VLOOKUP(BC178,'справочная информация'!$B$416:$C$424,2,0),"Проверить данные, нетипичная должность")</f>
        <v>Проверить данные, нетипичная должность</v>
      </c>
      <c r="BE178" s="3" t="str">
        <f t="shared" si="79"/>
        <v/>
      </c>
      <c r="BF178" s="3" t="str">
        <f>IFERROR(INDEX('справочная информация'!$F$223:$F$261,MATCH('Расчет грейда'!$AZ178,'справочная информация'!$C$223:$C$261,1)),"")</f>
        <v/>
      </c>
    </row>
    <row r="179" spans="1:58" s="9" customFormat="1" x14ac:dyDescent="0.35">
      <c r="A179" s="120"/>
      <c r="B179" s="122"/>
      <c r="C179" s="140"/>
      <c r="D179" s="120"/>
      <c r="E179" s="120"/>
      <c r="F179" s="120"/>
      <c r="G179" s="120"/>
      <c r="H179" s="120"/>
      <c r="J179" s="142"/>
      <c r="K179" s="142"/>
      <c r="L179" s="142"/>
      <c r="R179" s="3"/>
      <c r="S179" s="138"/>
      <c r="T179" s="3"/>
      <c r="U179" s="3"/>
      <c r="V179" s="3"/>
      <c r="W179" s="3" t="str">
        <f t="shared" ref="W179:W185" si="80">IF(IFERROR(BF179-6,"")&lt;0,0,IFERROR(BF179-6,""))</f>
        <v/>
      </c>
      <c r="X179" s="9" t="str">
        <f t="shared" ref="X179:X185" si="81">CONCATENATE(K179,L179)</f>
        <v/>
      </c>
      <c r="Y179" s="9" t="str">
        <f t="shared" ref="Y179:Y185" si="82">CONCATENATE(J179,T179)</f>
        <v/>
      </c>
      <c r="Z179" s="3" t="e">
        <f>INDEX('справочная информация'!$U$6:$AK$29,MATCH('Расчет грейда'!$Y179,'справочная информация'!$T$6:$T$29,0),MATCH('Расчет грейда'!$X179,'справочная информация'!$U$5:$AK$5,0))</f>
        <v>#N/A</v>
      </c>
      <c r="AA179" s="9" t="str">
        <f t="shared" ref="AA179:AA185" si="83">CONCATENATE(M179,U179)</f>
        <v/>
      </c>
      <c r="AB179" s="3" t="e">
        <f>INDEX('справочная информация'!$B$68:$H$83,MATCH('Расчет грейда'!$AA179,'справочная информация'!$A$68:$A$83,0),MATCH('Расчет грейда'!$N179,'справочная информация'!$B$67:$H$67,0))</f>
        <v>#N/A</v>
      </c>
      <c r="AC179" s="3" t="e">
        <f>INDEX('справочная информация'!$D$130:$AD$145,MATCH('Расчет грейда'!$AW179,'справочная информация'!$C$130:$C$145,0),MATCH('Расчет грейда'!$AV179,'справочная информация'!$D$129:$AD$129,0))</f>
        <v>#N/A</v>
      </c>
      <c r="AD179" s="9" t="str">
        <f t="shared" ref="AD179:AD185" si="84">CONCATENATE(P179,Q179)</f>
        <v/>
      </c>
      <c r="AE179" s="9" t="str">
        <f t="shared" ref="AE179:AE185" si="85">CONCATENATE(O179,V179)</f>
        <v/>
      </c>
      <c r="AF179" s="3" t="str">
        <f>IFERROR(IF(AND(AD179="",AE179=""),"",INDEX('справочная информация'!$B$188:$Y$211,MATCH('Расчет грейда'!$AE179,'справочная информация'!$A$188:$A$211,0),MATCH('Расчет грейда'!$AD179,'справочная информация'!$B$187:$Y$187,0))),"НЕТ")</f>
        <v/>
      </c>
      <c r="AG179" s="3" t="e">
        <f>VLOOKUP(J179,'справочная информация'!$D$267:$E$274,2,0)</f>
        <v>#N/A</v>
      </c>
      <c r="AH179" s="3" t="e">
        <f>VLOOKUP(K179,'справочная информация'!$D$279:$E$283,2,0)</f>
        <v>#N/A</v>
      </c>
      <c r="AI179" s="3" t="e">
        <f>VLOOKUP(L179,'справочная информация'!$D$288:$E$290,2,0)</f>
        <v>#N/A</v>
      </c>
      <c r="AJ179" s="3" t="str">
        <f t="shared" ref="AJ179:AJ185" si="86">AV179</f>
        <v/>
      </c>
      <c r="AK179" s="169" t="e">
        <f>VLOOKUP(M179,'справочная информация'!$D$294:$E$301,2,0)</f>
        <v>#N/A</v>
      </c>
      <c r="AL179" s="3" t="e">
        <f>VLOOKUP(N179,'справочная информация'!$D$306:$E$310,2,0)</f>
        <v>#N/A</v>
      </c>
      <c r="AM179" s="169" t="str">
        <f t="shared" ref="AM179:AM185" si="87">CONCATENATE("(",AW179,")")</f>
        <v>()</v>
      </c>
      <c r="AN179" s="3" t="str">
        <f t="shared" ref="AN179:AN185" si="88">AX179</f>
        <v/>
      </c>
      <c r="AO179" s="3" t="e">
        <f>VLOOKUP(O179,'справочная информация'!$D$329:$E$336,2,0)</f>
        <v>#N/A</v>
      </c>
      <c r="AP179" s="3" t="e">
        <f>VLOOKUP(P179,'справочная информация'!$D$342:$E$349,2,0)</f>
        <v>#N/A</v>
      </c>
      <c r="AQ179" s="3" t="e">
        <f>VLOOKUP(Q179,'справочная информация'!$D$316:$E$325,2,0)</f>
        <v>#N/A</v>
      </c>
      <c r="AR179" s="3" t="str">
        <f t="shared" ref="AR179:AR185" si="89">AY179</f>
        <v/>
      </c>
      <c r="AS179" s="170" t="str">
        <f t="shared" ref="AS179:AS185" si="90">AZ179</f>
        <v/>
      </c>
      <c r="AT179" s="3" t="str">
        <f t="shared" ref="AT179:AT185" si="91">IF(AND(AX179="",AY179=""),"",IF(AY179&gt;AX179,"A",IF(AX179=AY179,"L","P")))</f>
        <v/>
      </c>
      <c r="AU179" s="3" t="e">
        <f>ABS(MATCH($AX179,'справочная информация'!$A$354:$A$391,0)-MATCH($AY179,'справочная информация'!$A$354:$A$391,0))</f>
        <v>#N/A</v>
      </c>
      <c r="AV179" s="3" t="str">
        <f>IFERROR(INDEX('справочная информация'!$B$6:$R$29,MATCH('Расчет грейда'!$Y179,'справочная информация'!$A$6:$A$29,0),MATCH('Расчет грейда'!$X179,'справочная информация'!$B$5:$R$5,0)),"")</f>
        <v/>
      </c>
      <c r="AW179" s="171" t="str">
        <f>IFERROR(INDEX('справочная информация'!$B$37:$H$52,MATCH('Расчет грейда'!$AA179,'справочная информация'!$A$37:$A$52,0),MATCH('Расчет грейда'!$N179,'справочная информация'!$B$36:$H$36,0)),"")</f>
        <v/>
      </c>
      <c r="AX179" s="122" t="str">
        <f>IFERROR(INDEX('справочная информация'!$D$108:$AD$123,MATCH('Расчет грейда'!$AW179,'справочная информация'!$C$108:$C$123,0),MATCH('Расчет грейда'!$AV179,'справочная информация'!$D$107:$AD$107,0)),"")</f>
        <v/>
      </c>
      <c r="AY179" s="133" t="str">
        <f>IFERROR(INDEX('справочная информация'!$B$158:$Y$181,MATCH('Расчет грейда'!$AE179,'справочная информация'!$A$158:$A$181,0),MATCH('Расчет грейда'!$AD179,'справочная информация'!$B$157:$Y$157,0)),"")</f>
        <v/>
      </c>
      <c r="AZ179" s="170" t="str">
        <f t="shared" ref="AZ179:AZ185" si="92">IFERROR(AV179+AX179+AY179,"")</f>
        <v/>
      </c>
      <c r="BA179" s="172" t="str">
        <f>IFERROR(CONCATENATE(TEXT(AZ179/INDEX('справочная информация'!$D$223:$D$261,MATCH('Расчет грейда'!$AZ179,'справочная информация'!$C$223:$C$261,1)),"0%")," - процент относительно медианы 100%. ","MIN балл на грейде ",INDEX('справочная информация'!$C$223:$C$261,MATCH('Расчет грейда'!$AZ179,'справочная информация'!$C$223:$C$261,1)),", "," MAX балл на грейде ",INDEX('справочная информация'!$E$223:$E$261,MATCH('Расчет грейда'!$AZ179,'справочная информация'!$C$223:$C$261,1))),"")</f>
        <v/>
      </c>
      <c r="BB179" s="120" t="str">
        <f t="shared" ref="BB179:BB185" si="93">IFERROR(IF(AND(AX179="",AY179=""),"",IF(AY179&gt;AX179,"Ответственный профиль (ACC)",IF(AY179=AX179,"Профиль равный (L)","Профиль решения вопросов (PS)"))),"")</f>
        <v/>
      </c>
      <c r="BC179" s="3" t="str">
        <f t="shared" ref="BC179:BC185" si="94">IFERROR(CONCATENATE(AT179,AU179),"")</f>
        <v/>
      </c>
      <c r="BD179" s="121" t="str">
        <f>IFERROR(VLOOKUP(BC179,'справочная информация'!$B$416:$C$424,2,0),"Проверить данные, нетипичная должность")</f>
        <v>Проверить данные, нетипичная должность</v>
      </c>
      <c r="BE179" s="3" t="str">
        <f t="shared" ref="BE179:BE185" si="95">IFERROR(CONCATENATE(AG179,AH179,AI179,"  ",AJ179,"  ",AK179,AL179,"  ",AM179,"  ",AN179,"  ",AO179,AP179,AQ179,"  ",AR179,"  ",AS179,"  ",BC179),"")</f>
        <v/>
      </c>
      <c r="BF179" s="3" t="str">
        <f>IFERROR(INDEX('справочная информация'!$F$223:$F$261,MATCH('Расчет грейда'!$AZ179,'справочная информация'!$C$223:$C$261,1)),"")</f>
        <v/>
      </c>
    </row>
    <row r="180" spans="1:58" s="9" customFormat="1" x14ac:dyDescent="0.35">
      <c r="A180" s="120"/>
      <c r="B180" s="122"/>
      <c r="C180" s="140"/>
      <c r="D180" s="120"/>
      <c r="E180" s="120"/>
      <c r="F180" s="120"/>
      <c r="G180" s="120"/>
      <c r="H180" s="120"/>
      <c r="J180" s="142"/>
      <c r="K180" s="142"/>
      <c r="L180" s="142"/>
      <c r="R180" s="3"/>
      <c r="S180" s="138"/>
      <c r="T180" s="3"/>
      <c r="U180" s="3"/>
      <c r="V180" s="3"/>
      <c r="W180" s="3" t="str">
        <f t="shared" si="80"/>
        <v/>
      </c>
      <c r="X180" s="9" t="str">
        <f t="shared" si="81"/>
        <v/>
      </c>
      <c r="Y180" s="9" t="str">
        <f t="shared" si="82"/>
        <v/>
      </c>
      <c r="Z180" s="3" t="e">
        <f>INDEX('справочная информация'!$U$6:$AK$29,MATCH('Расчет грейда'!$Y180,'справочная информация'!$T$6:$T$29,0),MATCH('Расчет грейда'!$X180,'справочная информация'!$U$5:$AK$5,0))</f>
        <v>#N/A</v>
      </c>
      <c r="AA180" s="9" t="str">
        <f t="shared" si="83"/>
        <v/>
      </c>
      <c r="AB180" s="3" t="e">
        <f>INDEX('справочная информация'!$B$68:$H$83,MATCH('Расчет грейда'!$AA180,'справочная информация'!$A$68:$A$83,0),MATCH('Расчет грейда'!$N180,'справочная информация'!$B$67:$H$67,0))</f>
        <v>#N/A</v>
      </c>
      <c r="AC180" s="3" t="e">
        <f>INDEX('справочная информация'!$D$130:$AD$145,MATCH('Расчет грейда'!$AW180,'справочная информация'!$C$130:$C$145,0),MATCH('Расчет грейда'!$AV180,'справочная информация'!$D$129:$AD$129,0))</f>
        <v>#N/A</v>
      </c>
      <c r="AD180" s="9" t="str">
        <f t="shared" si="84"/>
        <v/>
      </c>
      <c r="AE180" s="9" t="str">
        <f t="shared" si="85"/>
        <v/>
      </c>
      <c r="AF180" s="3" t="str">
        <f>IFERROR(IF(AND(AD180="",AE180=""),"",INDEX('справочная информация'!$B$188:$Y$211,MATCH('Расчет грейда'!$AE180,'справочная информация'!$A$188:$A$211,0),MATCH('Расчет грейда'!$AD180,'справочная информация'!$B$187:$Y$187,0))),"НЕТ")</f>
        <v/>
      </c>
      <c r="AG180" s="3" t="e">
        <f>VLOOKUP(J180,'справочная информация'!$D$267:$E$274,2,0)</f>
        <v>#N/A</v>
      </c>
      <c r="AH180" s="3" t="e">
        <f>VLOOKUP(K180,'справочная информация'!$D$279:$E$283,2,0)</f>
        <v>#N/A</v>
      </c>
      <c r="AI180" s="3" t="e">
        <f>VLOOKUP(L180,'справочная информация'!$D$288:$E$290,2,0)</f>
        <v>#N/A</v>
      </c>
      <c r="AJ180" s="3" t="str">
        <f t="shared" si="86"/>
        <v/>
      </c>
      <c r="AK180" s="169" t="e">
        <f>VLOOKUP(M180,'справочная информация'!$D$294:$E$301,2,0)</f>
        <v>#N/A</v>
      </c>
      <c r="AL180" s="3" t="e">
        <f>VLOOKUP(N180,'справочная информация'!$D$306:$E$310,2,0)</f>
        <v>#N/A</v>
      </c>
      <c r="AM180" s="169" t="str">
        <f t="shared" si="87"/>
        <v>()</v>
      </c>
      <c r="AN180" s="3" t="str">
        <f t="shared" si="88"/>
        <v/>
      </c>
      <c r="AO180" s="3" t="e">
        <f>VLOOKUP(O180,'справочная информация'!$D$329:$E$336,2,0)</f>
        <v>#N/A</v>
      </c>
      <c r="AP180" s="3" t="e">
        <f>VLOOKUP(P180,'справочная информация'!$D$342:$E$349,2,0)</f>
        <v>#N/A</v>
      </c>
      <c r="AQ180" s="3" t="e">
        <f>VLOOKUP(Q180,'справочная информация'!$D$316:$E$325,2,0)</f>
        <v>#N/A</v>
      </c>
      <c r="AR180" s="3" t="str">
        <f t="shared" si="89"/>
        <v/>
      </c>
      <c r="AS180" s="170" t="str">
        <f t="shared" si="90"/>
        <v/>
      </c>
      <c r="AT180" s="3" t="str">
        <f t="shared" si="91"/>
        <v/>
      </c>
      <c r="AU180" s="3" t="e">
        <f>ABS(MATCH($AX180,'справочная информация'!$A$354:$A$391,0)-MATCH($AY180,'справочная информация'!$A$354:$A$391,0))</f>
        <v>#N/A</v>
      </c>
      <c r="AV180" s="3" t="str">
        <f>IFERROR(INDEX('справочная информация'!$B$6:$R$29,MATCH('Расчет грейда'!$Y180,'справочная информация'!$A$6:$A$29,0),MATCH('Расчет грейда'!$X180,'справочная информация'!$B$5:$R$5,0)),"")</f>
        <v/>
      </c>
      <c r="AW180" s="171" t="str">
        <f>IFERROR(INDEX('справочная информация'!$B$37:$H$52,MATCH('Расчет грейда'!$AA180,'справочная информация'!$A$37:$A$52,0),MATCH('Расчет грейда'!$N180,'справочная информация'!$B$36:$H$36,0)),"")</f>
        <v/>
      </c>
      <c r="AX180" s="122" t="str">
        <f>IFERROR(INDEX('справочная информация'!$D$108:$AD$123,MATCH('Расчет грейда'!$AW180,'справочная информация'!$C$108:$C$123,0),MATCH('Расчет грейда'!$AV180,'справочная информация'!$D$107:$AD$107,0)),"")</f>
        <v/>
      </c>
      <c r="AY180" s="133" t="str">
        <f>IFERROR(INDEX('справочная информация'!$B$158:$Y$181,MATCH('Расчет грейда'!$AE180,'справочная информация'!$A$158:$A$181,0),MATCH('Расчет грейда'!$AD180,'справочная информация'!$B$157:$Y$157,0)),"")</f>
        <v/>
      </c>
      <c r="AZ180" s="170" t="str">
        <f t="shared" si="92"/>
        <v/>
      </c>
      <c r="BA180" s="172" t="str">
        <f>IFERROR(CONCATENATE(TEXT(AZ180/INDEX('справочная информация'!$D$223:$D$261,MATCH('Расчет грейда'!$AZ180,'справочная информация'!$C$223:$C$261,1)),"0%")," - процент относительно медианы 100%. ","MIN балл на грейде ",INDEX('справочная информация'!$C$223:$C$261,MATCH('Расчет грейда'!$AZ180,'справочная информация'!$C$223:$C$261,1)),", "," MAX балл на грейде ",INDEX('справочная информация'!$E$223:$E$261,MATCH('Расчет грейда'!$AZ180,'справочная информация'!$C$223:$C$261,1))),"")</f>
        <v/>
      </c>
      <c r="BB180" s="120" t="str">
        <f t="shared" si="93"/>
        <v/>
      </c>
      <c r="BC180" s="3" t="str">
        <f t="shared" si="94"/>
        <v/>
      </c>
      <c r="BD180" s="121" t="str">
        <f>IFERROR(VLOOKUP(BC180,'справочная информация'!$B$416:$C$424,2,0),"Проверить данные, нетипичная должность")</f>
        <v>Проверить данные, нетипичная должность</v>
      </c>
      <c r="BE180" s="3" t="str">
        <f t="shared" si="95"/>
        <v/>
      </c>
      <c r="BF180" s="3" t="str">
        <f>IFERROR(INDEX('справочная информация'!$F$223:$F$261,MATCH('Расчет грейда'!$AZ180,'справочная информация'!$C$223:$C$261,1)),"")</f>
        <v/>
      </c>
    </row>
    <row r="181" spans="1:58" s="9" customFormat="1" x14ac:dyDescent="0.35">
      <c r="A181" s="120"/>
      <c r="B181" s="122"/>
      <c r="C181" s="140"/>
      <c r="D181" s="120"/>
      <c r="E181" s="120"/>
      <c r="F181" s="120"/>
      <c r="G181" s="120"/>
      <c r="H181" s="120"/>
      <c r="J181" s="142"/>
      <c r="K181" s="142"/>
      <c r="L181" s="142"/>
      <c r="R181" s="3"/>
      <c r="S181" s="138"/>
      <c r="T181" s="3"/>
      <c r="U181" s="3"/>
      <c r="V181" s="3"/>
      <c r="W181" s="3" t="str">
        <f t="shared" si="80"/>
        <v/>
      </c>
      <c r="X181" s="9" t="str">
        <f t="shared" si="81"/>
        <v/>
      </c>
      <c r="Y181" s="9" t="str">
        <f t="shared" si="82"/>
        <v/>
      </c>
      <c r="Z181" s="3" t="e">
        <f>INDEX('справочная информация'!$U$6:$AK$29,MATCH('Расчет грейда'!$Y181,'справочная информация'!$T$6:$T$29,0),MATCH('Расчет грейда'!$X181,'справочная информация'!$U$5:$AK$5,0))</f>
        <v>#N/A</v>
      </c>
      <c r="AA181" s="9" t="str">
        <f t="shared" si="83"/>
        <v/>
      </c>
      <c r="AB181" s="3" t="e">
        <f>INDEX('справочная информация'!$B$68:$H$83,MATCH('Расчет грейда'!$AA181,'справочная информация'!$A$68:$A$83,0),MATCH('Расчет грейда'!$N181,'справочная информация'!$B$67:$H$67,0))</f>
        <v>#N/A</v>
      </c>
      <c r="AC181" s="3" t="e">
        <f>INDEX('справочная информация'!$D$130:$AD$145,MATCH('Расчет грейда'!$AW181,'справочная информация'!$C$130:$C$145,0),MATCH('Расчет грейда'!$AV181,'справочная информация'!$D$129:$AD$129,0))</f>
        <v>#N/A</v>
      </c>
      <c r="AD181" s="9" t="str">
        <f t="shared" si="84"/>
        <v/>
      </c>
      <c r="AE181" s="9" t="str">
        <f t="shared" si="85"/>
        <v/>
      </c>
      <c r="AF181" s="3" t="str">
        <f>IFERROR(IF(AND(AD181="",AE181=""),"",INDEX('справочная информация'!$B$188:$Y$211,MATCH('Расчет грейда'!$AE181,'справочная информация'!$A$188:$A$211,0),MATCH('Расчет грейда'!$AD181,'справочная информация'!$B$187:$Y$187,0))),"НЕТ")</f>
        <v/>
      </c>
      <c r="AG181" s="3" t="e">
        <f>VLOOKUP(J181,'справочная информация'!$D$267:$E$274,2,0)</f>
        <v>#N/A</v>
      </c>
      <c r="AH181" s="3" t="e">
        <f>VLOOKUP(K181,'справочная информация'!$D$279:$E$283,2,0)</f>
        <v>#N/A</v>
      </c>
      <c r="AI181" s="3" t="e">
        <f>VLOOKUP(L181,'справочная информация'!$D$288:$E$290,2,0)</f>
        <v>#N/A</v>
      </c>
      <c r="AJ181" s="3" t="str">
        <f t="shared" si="86"/>
        <v/>
      </c>
      <c r="AK181" s="169" t="e">
        <f>VLOOKUP(M181,'справочная информация'!$D$294:$E$301,2,0)</f>
        <v>#N/A</v>
      </c>
      <c r="AL181" s="3" t="e">
        <f>VLOOKUP(N181,'справочная информация'!$D$306:$E$310,2,0)</f>
        <v>#N/A</v>
      </c>
      <c r="AM181" s="169" t="str">
        <f t="shared" si="87"/>
        <v>()</v>
      </c>
      <c r="AN181" s="3" t="str">
        <f t="shared" si="88"/>
        <v/>
      </c>
      <c r="AO181" s="3" t="e">
        <f>VLOOKUP(O181,'справочная информация'!$D$329:$E$336,2,0)</f>
        <v>#N/A</v>
      </c>
      <c r="AP181" s="3" t="e">
        <f>VLOOKUP(P181,'справочная информация'!$D$342:$E$349,2,0)</f>
        <v>#N/A</v>
      </c>
      <c r="AQ181" s="3" t="e">
        <f>VLOOKUP(Q181,'справочная информация'!$D$316:$E$325,2,0)</f>
        <v>#N/A</v>
      </c>
      <c r="AR181" s="3" t="str">
        <f t="shared" si="89"/>
        <v/>
      </c>
      <c r="AS181" s="170" t="str">
        <f t="shared" si="90"/>
        <v/>
      </c>
      <c r="AT181" s="3" t="str">
        <f t="shared" si="91"/>
        <v/>
      </c>
      <c r="AU181" s="3" t="e">
        <f>ABS(MATCH($AX181,'справочная информация'!$A$354:$A$391,0)-MATCH($AY181,'справочная информация'!$A$354:$A$391,0))</f>
        <v>#N/A</v>
      </c>
      <c r="AV181" s="3" t="str">
        <f>IFERROR(INDEX('справочная информация'!$B$6:$R$29,MATCH('Расчет грейда'!$Y181,'справочная информация'!$A$6:$A$29,0),MATCH('Расчет грейда'!$X181,'справочная информация'!$B$5:$R$5,0)),"")</f>
        <v/>
      </c>
      <c r="AW181" s="171" t="str">
        <f>IFERROR(INDEX('справочная информация'!$B$37:$H$52,MATCH('Расчет грейда'!$AA181,'справочная информация'!$A$37:$A$52,0),MATCH('Расчет грейда'!$N181,'справочная информация'!$B$36:$H$36,0)),"")</f>
        <v/>
      </c>
      <c r="AX181" s="122" t="str">
        <f>IFERROR(INDEX('справочная информация'!$D$108:$AD$123,MATCH('Расчет грейда'!$AW181,'справочная информация'!$C$108:$C$123,0),MATCH('Расчет грейда'!$AV181,'справочная информация'!$D$107:$AD$107,0)),"")</f>
        <v/>
      </c>
      <c r="AY181" s="133" t="str">
        <f>IFERROR(INDEX('справочная информация'!$B$158:$Y$181,MATCH('Расчет грейда'!$AE181,'справочная информация'!$A$158:$A$181,0),MATCH('Расчет грейда'!$AD181,'справочная информация'!$B$157:$Y$157,0)),"")</f>
        <v/>
      </c>
      <c r="AZ181" s="170" t="str">
        <f t="shared" si="92"/>
        <v/>
      </c>
      <c r="BA181" s="172" t="str">
        <f>IFERROR(CONCATENATE(TEXT(AZ181/INDEX('справочная информация'!$D$223:$D$261,MATCH('Расчет грейда'!$AZ181,'справочная информация'!$C$223:$C$261,1)),"0%")," - процент относительно медианы 100%. ","MIN балл на грейде ",INDEX('справочная информация'!$C$223:$C$261,MATCH('Расчет грейда'!$AZ181,'справочная информация'!$C$223:$C$261,1)),", "," MAX балл на грейде ",INDEX('справочная информация'!$E$223:$E$261,MATCH('Расчет грейда'!$AZ181,'справочная информация'!$C$223:$C$261,1))),"")</f>
        <v/>
      </c>
      <c r="BB181" s="120" t="str">
        <f t="shared" si="93"/>
        <v/>
      </c>
      <c r="BC181" s="3" t="str">
        <f t="shared" si="94"/>
        <v/>
      </c>
      <c r="BD181" s="121" t="str">
        <f>IFERROR(VLOOKUP(BC181,'справочная информация'!$B$416:$C$424,2,0),"Проверить данные, нетипичная должность")</f>
        <v>Проверить данные, нетипичная должность</v>
      </c>
      <c r="BE181" s="3" t="str">
        <f t="shared" si="95"/>
        <v/>
      </c>
      <c r="BF181" s="3" t="str">
        <f>IFERROR(INDEX('справочная информация'!$F$223:$F$261,MATCH('Расчет грейда'!$AZ181,'справочная информация'!$C$223:$C$261,1)),"")</f>
        <v/>
      </c>
    </row>
    <row r="182" spans="1:58" ht="41.5" customHeight="1" x14ac:dyDescent="0.35">
      <c r="B182" s="122"/>
      <c r="C182" s="140"/>
      <c r="D182" s="120"/>
      <c r="E182" s="120"/>
      <c r="F182" s="120"/>
      <c r="G182" s="120"/>
      <c r="H182" s="120"/>
      <c r="I182" s="9"/>
      <c r="J182" s="142"/>
      <c r="K182" s="142"/>
      <c r="L182" s="142"/>
      <c r="M182" s="9"/>
      <c r="N182" s="9"/>
      <c r="O182" s="9"/>
      <c r="P182" s="9"/>
      <c r="Q182" s="9"/>
      <c r="T182" s="3"/>
      <c r="U182" s="3"/>
      <c r="V182" s="3"/>
      <c r="W182" s="30" t="str">
        <f t="shared" si="80"/>
        <v/>
      </c>
      <c r="X182" s="37" t="str">
        <f t="shared" si="81"/>
        <v/>
      </c>
      <c r="Y182" s="37" t="str">
        <f t="shared" si="82"/>
        <v/>
      </c>
      <c r="Z182" s="31" t="e">
        <f>INDEX('справочная информация'!$U$6:$AK$29,MATCH('Расчет грейда'!$Y182,'справочная информация'!$T$6:$T$29,0),MATCH('Расчет грейда'!$X182,'справочная информация'!$U$5:$AK$5,0))</f>
        <v>#N/A</v>
      </c>
      <c r="AA182" s="37" t="str">
        <f t="shared" si="83"/>
        <v/>
      </c>
      <c r="AB182" s="31" t="e">
        <f>INDEX('справочная информация'!$B$68:$H$83,MATCH('Расчет грейда'!$AA182,'справочная информация'!$A$68:$A$83,0),MATCH('Расчет грейда'!$N182,'справочная информация'!$B$67:$H$67,0))</f>
        <v>#N/A</v>
      </c>
      <c r="AC182" s="31" t="e">
        <f>INDEX('справочная информация'!$D$130:$AD$145,MATCH('Расчет грейда'!$AW182,'справочная информация'!$C$130:$C$145,0),MATCH('Расчет грейда'!$AV182,'справочная информация'!$D$129:$AD$129,0))</f>
        <v>#N/A</v>
      </c>
      <c r="AD182" s="37" t="str">
        <f t="shared" si="84"/>
        <v/>
      </c>
      <c r="AE182" s="37" t="str">
        <f t="shared" si="85"/>
        <v/>
      </c>
      <c r="AF182" s="31" t="str">
        <f>IFERROR(IF(AND(AD182="",AE182=""),"",INDEX('справочная информация'!$B$188:$Y$211,MATCH('Расчет грейда'!$AE182,'справочная информация'!$A$188:$A$211,0),MATCH('Расчет грейда'!$AD182,'справочная информация'!$B$187:$Y$187,0))),"НЕТ")</f>
        <v/>
      </c>
      <c r="AG182" s="31" t="e">
        <f>VLOOKUP(J182,'справочная информация'!$D$267:$E$274,2,0)</f>
        <v>#N/A</v>
      </c>
      <c r="AH182" s="31" t="e">
        <f>VLOOKUP(K182,'справочная информация'!$D$279:$E$283,2,0)</f>
        <v>#N/A</v>
      </c>
      <c r="AI182" s="31" t="e">
        <f>VLOOKUP(L182,'справочная информация'!$D$288:$E$290,2,0)</f>
        <v>#N/A</v>
      </c>
      <c r="AJ182" s="31" t="str">
        <f t="shared" si="86"/>
        <v/>
      </c>
      <c r="AK182" s="38" t="e">
        <f>VLOOKUP(M182,'справочная информация'!$D$294:$E$301,2,0)</f>
        <v>#N/A</v>
      </c>
      <c r="AL182" s="31" t="e">
        <f>VLOOKUP(N182,'справочная информация'!$D$306:$E$310,2,0)</f>
        <v>#N/A</v>
      </c>
      <c r="AM182" s="38" t="str">
        <f t="shared" si="87"/>
        <v>()</v>
      </c>
      <c r="AN182" s="31" t="str">
        <f t="shared" si="88"/>
        <v/>
      </c>
      <c r="AO182" s="31" t="e">
        <f>VLOOKUP(O182,'справочная информация'!$D$329:$E$336,2,0)</f>
        <v>#N/A</v>
      </c>
      <c r="AP182" s="31" t="e">
        <f>VLOOKUP(P182,'справочная информация'!$D$342:$E$349,2,0)</f>
        <v>#N/A</v>
      </c>
      <c r="AQ182" s="31" t="e">
        <f>VLOOKUP(Q182,'справочная информация'!$D$316:$E$325,2,0)</f>
        <v>#N/A</v>
      </c>
      <c r="AR182" s="31" t="str">
        <f t="shared" si="89"/>
        <v/>
      </c>
      <c r="AS182" s="39" t="str">
        <f t="shared" si="90"/>
        <v/>
      </c>
      <c r="AT182" s="31" t="str">
        <f t="shared" si="91"/>
        <v/>
      </c>
      <c r="AU182" s="31" t="e">
        <f>ABS(MATCH($AX182,'справочная информация'!$A$354:$A$391,0)-MATCH($AY182,'справочная информация'!$A$354:$A$391,0))</f>
        <v>#N/A</v>
      </c>
      <c r="AV182" s="30" t="str">
        <f>IFERROR(INDEX('справочная информация'!$B$6:$R$29,MATCH('Расчет грейда'!$Y182,'справочная информация'!$A$6:$A$29,0),MATCH('Расчет грейда'!$X182,'справочная информация'!$B$5:$R$5,0)),"")</f>
        <v/>
      </c>
      <c r="AW182" s="32" t="str">
        <f>IFERROR(INDEX('справочная информация'!$B$37:$H$52,MATCH('Расчет грейда'!$AA182,'справочная информация'!$A$37:$A$52,0),MATCH('Расчет грейда'!$N182,'справочная информация'!$B$36:$H$36,0)),"")</f>
        <v/>
      </c>
      <c r="AX182" s="33" t="str">
        <f>IFERROR(INDEX('справочная информация'!$D$108:$AD$123,MATCH('Расчет грейда'!$AW182,'справочная информация'!$C$108:$C$123,0),MATCH('Расчет грейда'!$AV182,'справочная информация'!$D$107:$AD$107,0)),"")</f>
        <v/>
      </c>
      <c r="AY182" s="137" t="str">
        <f>IFERROR(INDEX('справочная информация'!$B$158:$Y$181,MATCH('Расчет грейда'!$AE182,'справочная информация'!$A$158:$A$181,0),MATCH('Расчет грейда'!$AD182,'справочная информация'!$B$157:$Y$157,0)),"")</f>
        <v/>
      </c>
      <c r="AZ182" s="34" t="str">
        <f t="shared" si="92"/>
        <v/>
      </c>
      <c r="BA182" s="35" t="str">
        <f>IFERROR(CONCATENATE(TEXT(AZ182/INDEX('справочная информация'!$D$223:$D$261,MATCH('Расчет грейда'!$AZ182,'справочная информация'!$C$223:$C$261,1)),"0%")," - процент относительно медианы 100%. ","MIN балл на грейде ",INDEX('справочная информация'!$C$223:$C$261,MATCH('Расчет грейда'!$AZ182,'справочная информация'!$C$223:$C$261,1)),", "," MAX балл на грейде ",INDEX('справочная информация'!$E$223:$E$261,MATCH('Расчет грейда'!$AZ182,'справочная информация'!$C$223:$C$261,1))),"")</f>
        <v/>
      </c>
      <c r="BB182" s="111" t="str">
        <f t="shared" si="93"/>
        <v/>
      </c>
      <c r="BC182" s="30" t="str">
        <f t="shared" si="94"/>
        <v/>
      </c>
      <c r="BD182" s="36" t="str">
        <f>IFERROR(VLOOKUP(BC182,'справочная информация'!$B$416:$C$424,2,0),"Проверить данные, нетипичная должность")</f>
        <v>Проверить данные, нетипичная должность</v>
      </c>
      <c r="BE182" s="30" t="str">
        <f t="shared" si="95"/>
        <v/>
      </c>
      <c r="BF182" s="30" t="str">
        <f>IFERROR(INDEX('справочная информация'!$F$223:$F$261,MATCH('Расчет грейда'!$AZ182,'справочная информация'!$C$223:$C$261,1)),"")</f>
        <v/>
      </c>
    </row>
    <row r="183" spans="1:58" ht="41.5" customHeight="1" x14ac:dyDescent="0.35">
      <c r="T183" s="3"/>
      <c r="U183" s="3"/>
      <c r="V183" s="3"/>
      <c r="W183" s="30" t="str">
        <f t="shared" si="80"/>
        <v/>
      </c>
      <c r="X183" s="37" t="str">
        <f t="shared" si="81"/>
        <v/>
      </c>
      <c r="Y183" s="37" t="str">
        <f t="shared" si="82"/>
        <v/>
      </c>
      <c r="Z183" s="31" t="e">
        <f>INDEX('справочная информация'!$U$6:$AK$29,MATCH('Расчет грейда'!$Y183,'справочная информация'!$T$6:$T$29,0),MATCH('Расчет грейда'!$X183,'справочная информация'!$U$5:$AK$5,0))</f>
        <v>#N/A</v>
      </c>
      <c r="AA183" s="37" t="str">
        <f t="shared" si="83"/>
        <v/>
      </c>
      <c r="AB183" s="31" t="e">
        <f>INDEX('справочная информация'!$B$68:$H$83,MATCH('Расчет грейда'!$AA183,'справочная информация'!$A$68:$A$83,0),MATCH('Расчет грейда'!$N183,'справочная информация'!$B$67:$H$67,0))</f>
        <v>#N/A</v>
      </c>
      <c r="AC183" s="31" t="e">
        <f>INDEX('справочная информация'!$D$130:$AD$145,MATCH('Расчет грейда'!$AW183,'справочная информация'!$C$130:$C$145,0),MATCH('Расчет грейда'!$AV183,'справочная информация'!$D$129:$AD$129,0))</f>
        <v>#N/A</v>
      </c>
      <c r="AD183" s="37" t="str">
        <f t="shared" si="84"/>
        <v/>
      </c>
      <c r="AE183" s="37" t="str">
        <f t="shared" si="85"/>
        <v/>
      </c>
      <c r="AF183" s="31" t="str">
        <f>IFERROR(IF(AND(AD183="",AE183=""),"",INDEX('справочная информация'!$B$188:$Y$211,MATCH('Расчет грейда'!$AE183,'справочная информация'!$A$188:$A$211,0),MATCH('Расчет грейда'!$AD183,'справочная информация'!$B$187:$Y$187,0))),"НЕТ")</f>
        <v/>
      </c>
      <c r="AG183" s="31" t="e">
        <f>VLOOKUP(J183,'справочная информация'!$D$267:$E$274,2,0)</f>
        <v>#N/A</v>
      </c>
      <c r="AH183" s="31" t="e">
        <f>VLOOKUP(K183,'справочная информация'!$D$279:$E$283,2,0)</f>
        <v>#N/A</v>
      </c>
      <c r="AI183" s="31" t="e">
        <f>VLOOKUP(L183,'справочная информация'!$D$288:$E$290,2,0)</f>
        <v>#N/A</v>
      </c>
      <c r="AJ183" s="31" t="str">
        <f t="shared" si="86"/>
        <v/>
      </c>
      <c r="AK183" s="38" t="e">
        <f>VLOOKUP(M183,'справочная информация'!$D$294:$E$301,2,0)</f>
        <v>#N/A</v>
      </c>
      <c r="AL183" s="31" t="e">
        <f>VLOOKUP(N183,'справочная информация'!$D$306:$E$310,2,0)</f>
        <v>#N/A</v>
      </c>
      <c r="AM183" s="38" t="str">
        <f t="shared" si="87"/>
        <v>()</v>
      </c>
      <c r="AN183" s="31" t="str">
        <f t="shared" si="88"/>
        <v/>
      </c>
      <c r="AO183" s="31" t="e">
        <f>VLOOKUP(O183,'справочная информация'!$D$329:$E$336,2,0)</f>
        <v>#N/A</v>
      </c>
      <c r="AP183" s="31" t="e">
        <f>VLOOKUP(P183,'справочная информация'!$D$342:$E$349,2,0)</f>
        <v>#N/A</v>
      </c>
      <c r="AQ183" s="31" t="e">
        <f>VLOOKUP(Q183,'справочная информация'!$D$316:$E$325,2,0)</f>
        <v>#N/A</v>
      </c>
      <c r="AR183" s="31" t="str">
        <f t="shared" si="89"/>
        <v/>
      </c>
      <c r="AS183" s="39" t="str">
        <f t="shared" si="90"/>
        <v/>
      </c>
      <c r="AT183" s="31" t="str">
        <f t="shared" si="91"/>
        <v/>
      </c>
      <c r="AU183" s="31" t="e">
        <f>ABS(MATCH($AX183,'справочная информация'!$A$354:$A$391,0)-MATCH($AY183,'справочная информация'!$A$354:$A$391,0))</f>
        <v>#N/A</v>
      </c>
      <c r="AV183" s="30" t="str">
        <f>IFERROR(INDEX('справочная информация'!$B$6:$R$29,MATCH('Расчет грейда'!$Y183,'справочная информация'!$A$6:$A$29,0),MATCH('Расчет грейда'!$X183,'справочная информация'!$B$5:$R$5,0)),"")</f>
        <v/>
      </c>
      <c r="AW183" s="32" t="str">
        <f>IFERROR(INDEX('справочная информация'!$B$37:$H$52,MATCH('Расчет грейда'!$AA183,'справочная информация'!$A$37:$A$52,0),MATCH('Расчет грейда'!$N183,'справочная информация'!$B$36:$H$36,0)),"")</f>
        <v/>
      </c>
      <c r="AX183" s="33" t="str">
        <f>IFERROR(INDEX('справочная информация'!$D$108:$AD$123,MATCH('Расчет грейда'!$AW183,'справочная информация'!$C$108:$C$123,0),MATCH('Расчет грейда'!$AV183,'справочная информация'!$D$107:$AD$107,0)),"")</f>
        <v/>
      </c>
      <c r="AY183" s="137" t="str">
        <f>IFERROR(INDEX('справочная информация'!$B$158:$Y$181,MATCH('Расчет грейда'!$AE183,'справочная информация'!$A$158:$A$181,0),MATCH('Расчет грейда'!$AD183,'справочная информация'!$B$157:$Y$157,0)),"")</f>
        <v/>
      </c>
      <c r="AZ183" s="34" t="str">
        <f t="shared" si="92"/>
        <v/>
      </c>
      <c r="BA183" s="35" t="str">
        <f>IFERROR(CONCATENATE(TEXT(AZ183/INDEX('справочная информация'!$D$223:$D$261,MATCH('Расчет грейда'!$AZ183,'справочная информация'!$C$223:$C$261,1)),"0%")," - процент относительно медианы 100%. ","MIN балл на грейде ",INDEX('справочная информация'!$C$223:$C$261,MATCH('Расчет грейда'!$AZ183,'справочная информация'!$C$223:$C$261,1)),", "," MAX балл на грейде ",INDEX('справочная информация'!$E$223:$E$261,MATCH('Расчет грейда'!$AZ183,'справочная информация'!$C$223:$C$261,1))),"")</f>
        <v/>
      </c>
      <c r="BB183" s="111" t="str">
        <f t="shared" si="93"/>
        <v/>
      </c>
      <c r="BC183" s="30" t="str">
        <f t="shared" si="94"/>
        <v/>
      </c>
      <c r="BD183" s="36" t="str">
        <f>IFERROR(VLOOKUP(BC183,'справочная информация'!$B$416:$C$424,2,0),"Проверить данные, нетипичная должность")</f>
        <v>Проверить данные, нетипичная должность</v>
      </c>
      <c r="BE183" s="30" t="str">
        <f t="shared" si="95"/>
        <v/>
      </c>
      <c r="BF183" s="30" t="str">
        <f>IFERROR(INDEX('справочная информация'!$F$223:$F$261,MATCH('Расчет грейда'!$AZ183,'справочная информация'!$C$223:$C$261,1)),"")</f>
        <v/>
      </c>
    </row>
    <row r="184" spans="1:58" ht="41.5" customHeight="1" x14ac:dyDescent="0.35">
      <c r="B184" s="122"/>
      <c r="C184" s="140"/>
      <c r="D184" s="120"/>
      <c r="E184" s="120"/>
      <c r="F184" s="120"/>
      <c r="G184" s="120"/>
      <c r="H184" s="120"/>
      <c r="I184" s="9"/>
      <c r="J184" s="142"/>
      <c r="K184" s="142"/>
      <c r="L184" s="142"/>
      <c r="M184" s="9"/>
      <c r="N184" s="9"/>
      <c r="O184" s="9"/>
      <c r="P184" s="9"/>
      <c r="Q184" s="9"/>
      <c r="T184" s="3"/>
      <c r="U184" s="3"/>
      <c r="V184" s="3"/>
      <c r="W184" s="30" t="str">
        <f t="shared" si="80"/>
        <v/>
      </c>
      <c r="X184" s="37" t="str">
        <f t="shared" si="81"/>
        <v/>
      </c>
      <c r="Y184" s="37" t="str">
        <f t="shared" si="82"/>
        <v/>
      </c>
      <c r="Z184" s="31" t="e">
        <f>INDEX('справочная информация'!$U$6:$AK$29,MATCH('Расчет грейда'!$Y184,'справочная информация'!$T$6:$T$29,0),MATCH('Расчет грейда'!$X184,'справочная информация'!$U$5:$AK$5,0))</f>
        <v>#N/A</v>
      </c>
      <c r="AA184" s="37" t="str">
        <f t="shared" si="83"/>
        <v/>
      </c>
      <c r="AB184" s="31" t="e">
        <f>INDEX('справочная информация'!$B$68:$H$83,MATCH('Расчет грейда'!$AA184,'справочная информация'!$A$68:$A$83,0),MATCH('Расчет грейда'!$N184,'справочная информация'!$B$67:$H$67,0))</f>
        <v>#N/A</v>
      </c>
      <c r="AC184" s="31" t="e">
        <f>INDEX('справочная информация'!$D$130:$AD$145,MATCH('Расчет грейда'!$AW184,'справочная информация'!$C$130:$C$145,0),MATCH('Расчет грейда'!$AV184,'справочная информация'!$D$129:$AD$129,0))</f>
        <v>#N/A</v>
      </c>
      <c r="AD184" s="37" t="str">
        <f t="shared" si="84"/>
        <v/>
      </c>
      <c r="AE184" s="37" t="str">
        <f t="shared" si="85"/>
        <v/>
      </c>
      <c r="AF184" s="31" t="str">
        <f>IFERROR(IF(AND(AD184="",AE184=""),"",INDEX('справочная информация'!$B$188:$Y$211,MATCH('Расчет грейда'!$AE184,'справочная информация'!$A$188:$A$211,0),MATCH('Расчет грейда'!$AD184,'справочная информация'!$B$187:$Y$187,0))),"НЕТ")</f>
        <v/>
      </c>
      <c r="AG184" s="31" t="e">
        <f>VLOOKUP(J184,'справочная информация'!$D$267:$E$274,2,0)</f>
        <v>#N/A</v>
      </c>
      <c r="AH184" s="31" t="e">
        <f>VLOOKUP(K184,'справочная информация'!$D$279:$E$283,2,0)</f>
        <v>#N/A</v>
      </c>
      <c r="AI184" s="31" t="e">
        <f>VLOOKUP(L184,'справочная информация'!$D$288:$E$290,2,0)</f>
        <v>#N/A</v>
      </c>
      <c r="AJ184" s="31" t="str">
        <f t="shared" si="86"/>
        <v/>
      </c>
      <c r="AK184" s="38" t="e">
        <f>VLOOKUP(M184,'справочная информация'!$D$294:$E$301,2,0)</f>
        <v>#N/A</v>
      </c>
      <c r="AL184" s="31" t="e">
        <f>VLOOKUP(N184,'справочная информация'!$D$306:$E$310,2,0)</f>
        <v>#N/A</v>
      </c>
      <c r="AM184" s="38" t="str">
        <f t="shared" si="87"/>
        <v>()</v>
      </c>
      <c r="AN184" s="31" t="str">
        <f t="shared" si="88"/>
        <v/>
      </c>
      <c r="AO184" s="31" t="e">
        <f>VLOOKUP(O184,'справочная информация'!$D$329:$E$336,2,0)</f>
        <v>#N/A</v>
      </c>
      <c r="AP184" s="31" t="e">
        <f>VLOOKUP(P184,'справочная информация'!$D$342:$E$349,2,0)</f>
        <v>#N/A</v>
      </c>
      <c r="AQ184" s="31" t="e">
        <f>VLOOKUP(Q184,'справочная информация'!$D$316:$E$325,2,0)</f>
        <v>#N/A</v>
      </c>
      <c r="AR184" s="31" t="str">
        <f t="shared" si="89"/>
        <v/>
      </c>
      <c r="AS184" s="39" t="str">
        <f t="shared" si="90"/>
        <v/>
      </c>
      <c r="AT184" s="31" t="str">
        <f t="shared" si="91"/>
        <v/>
      </c>
      <c r="AU184" s="31" t="e">
        <f>ABS(MATCH($AX184,'справочная информация'!$A$354:$A$391,0)-MATCH($AY184,'справочная информация'!$A$354:$A$391,0))</f>
        <v>#N/A</v>
      </c>
      <c r="AV184" s="30" t="str">
        <f>IFERROR(INDEX('справочная информация'!$B$6:$R$29,MATCH('Расчет грейда'!$Y184,'справочная информация'!$A$6:$A$29,0),MATCH('Расчет грейда'!$X184,'справочная информация'!$B$5:$R$5,0)),"")</f>
        <v/>
      </c>
      <c r="AW184" s="32" t="str">
        <f>IFERROR(INDEX('справочная информация'!$B$37:$H$52,MATCH('Расчет грейда'!$AA184,'справочная информация'!$A$37:$A$52,0),MATCH('Расчет грейда'!$N184,'справочная информация'!$B$36:$H$36,0)),"")</f>
        <v/>
      </c>
      <c r="AX184" s="33" t="str">
        <f>IFERROR(INDEX('справочная информация'!$D$108:$AD$123,MATCH('Расчет грейда'!$AW184,'справочная информация'!$C$108:$C$123,0),MATCH('Расчет грейда'!$AV184,'справочная информация'!$D$107:$AD$107,0)),"")</f>
        <v/>
      </c>
      <c r="AY184" s="137" t="str">
        <f>IFERROR(INDEX('справочная информация'!$B$158:$Y$181,MATCH('Расчет грейда'!$AE184,'справочная информация'!$A$158:$A$181,0),MATCH('Расчет грейда'!$AD184,'справочная информация'!$B$157:$Y$157,0)),"")</f>
        <v/>
      </c>
      <c r="AZ184" s="34" t="str">
        <f t="shared" si="92"/>
        <v/>
      </c>
      <c r="BA184" s="35" t="str">
        <f>IFERROR(CONCATENATE(TEXT(AZ184/INDEX('справочная информация'!$D$223:$D$261,MATCH('Расчет грейда'!$AZ184,'справочная информация'!$C$223:$C$261,1)),"0%")," - процент относительно медианы 100%. ","MIN балл на грейде ",INDEX('справочная информация'!$C$223:$C$261,MATCH('Расчет грейда'!$AZ184,'справочная информация'!$C$223:$C$261,1)),", "," MAX балл на грейде ",INDEX('справочная информация'!$E$223:$E$261,MATCH('Расчет грейда'!$AZ184,'справочная информация'!$C$223:$C$261,1))),"")</f>
        <v/>
      </c>
      <c r="BB184" s="111" t="str">
        <f t="shared" si="93"/>
        <v/>
      </c>
      <c r="BC184" s="30" t="str">
        <f t="shared" si="94"/>
        <v/>
      </c>
      <c r="BD184" s="36" t="str">
        <f>IFERROR(VLOOKUP(BC184,'справочная информация'!$B$416:$C$424,2,0),"Проверить данные, нетипичная должность")</f>
        <v>Проверить данные, нетипичная должность</v>
      </c>
      <c r="BE184" s="30" t="str">
        <f t="shared" si="95"/>
        <v/>
      </c>
      <c r="BF184" s="30" t="str">
        <f>IFERROR(INDEX('справочная информация'!$F$223:$F$261,MATCH('Расчет грейда'!$AZ184,'справочная информация'!$C$223:$C$261,1)),"")</f>
        <v/>
      </c>
    </row>
    <row r="185" spans="1:58" ht="41.5" customHeight="1" x14ac:dyDescent="0.35">
      <c r="B185" s="122"/>
      <c r="C185" s="140"/>
      <c r="D185" s="120"/>
      <c r="E185" s="120"/>
      <c r="F185" s="120"/>
      <c r="G185" s="120"/>
      <c r="H185" s="120"/>
      <c r="I185" s="9"/>
      <c r="J185" s="142"/>
      <c r="K185" s="142"/>
      <c r="L185" s="142"/>
      <c r="M185" s="9"/>
      <c r="N185" s="9"/>
      <c r="O185" s="9"/>
      <c r="P185" s="9"/>
      <c r="Q185" s="9"/>
      <c r="T185" s="3"/>
      <c r="U185" s="3"/>
      <c r="V185" s="3"/>
      <c r="W185" s="30" t="str">
        <f t="shared" si="80"/>
        <v/>
      </c>
      <c r="X185" s="37" t="str">
        <f t="shared" si="81"/>
        <v/>
      </c>
      <c r="Y185" s="37" t="str">
        <f t="shared" si="82"/>
        <v/>
      </c>
      <c r="Z185" s="31" t="e">
        <f>INDEX('справочная информация'!$U$6:$AK$29,MATCH('Расчет грейда'!$Y185,'справочная информация'!$T$6:$T$29,0),MATCH('Расчет грейда'!$X185,'справочная информация'!$U$5:$AK$5,0))</f>
        <v>#N/A</v>
      </c>
      <c r="AA185" s="37" t="str">
        <f t="shared" si="83"/>
        <v/>
      </c>
      <c r="AB185" s="31" t="e">
        <f>INDEX('справочная информация'!$B$68:$H$83,MATCH('Расчет грейда'!$AA185,'справочная информация'!$A$68:$A$83,0),MATCH('Расчет грейда'!$N185,'справочная информация'!$B$67:$H$67,0))</f>
        <v>#N/A</v>
      </c>
      <c r="AC185" s="31" t="e">
        <f>INDEX('справочная информация'!$D$130:$AD$145,MATCH('Расчет грейда'!$AW185,'справочная информация'!$C$130:$C$145,0),MATCH('Расчет грейда'!$AV185,'справочная информация'!$D$129:$AD$129,0))</f>
        <v>#N/A</v>
      </c>
      <c r="AD185" s="37" t="str">
        <f t="shared" si="84"/>
        <v/>
      </c>
      <c r="AE185" s="37" t="str">
        <f t="shared" si="85"/>
        <v/>
      </c>
      <c r="AF185" s="31" t="str">
        <f>IFERROR(IF(AND(AD185="",AE185=""),"",INDEX('справочная информация'!$B$188:$Y$211,MATCH('Расчет грейда'!$AE185,'справочная информация'!$A$188:$A$211,0),MATCH('Расчет грейда'!$AD185,'справочная информация'!$B$187:$Y$187,0))),"НЕТ")</f>
        <v/>
      </c>
      <c r="AG185" s="31" t="e">
        <f>VLOOKUP(J185,'справочная информация'!$D$267:$E$274,2,0)</f>
        <v>#N/A</v>
      </c>
      <c r="AH185" s="31" t="e">
        <f>VLOOKUP(K185,'справочная информация'!$D$279:$E$283,2,0)</f>
        <v>#N/A</v>
      </c>
      <c r="AI185" s="31" t="e">
        <f>VLOOKUP(L185,'справочная информация'!$D$288:$E$290,2,0)</f>
        <v>#N/A</v>
      </c>
      <c r="AJ185" s="31" t="str">
        <f t="shared" si="86"/>
        <v/>
      </c>
      <c r="AK185" s="38" t="e">
        <f>VLOOKUP(M185,'справочная информация'!$D$294:$E$301,2,0)</f>
        <v>#N/A</v>
      </c>
      <c r="AL185" s="31" t="e">
        <f>VLOOKUP(N185,'справочная информация'!$D$306:$E$310,2,0)</f>
        <v>#N/A</v>
      </c>
      <c r="AM185" s="38" t="str">
        <f t="shared" si="87"/>
        <v>()</v>
      </c>
      <c r="AN185" s="31" t="str">
        <f t="shared" si="88"/>
        <v/>
      </c>
      <c r="AO185" s="31" t="e">
        <f>VLOOKUP(O185,'справочная информация'!$D$329:$E$336,2,0)</f>
        <v>#N/A</v>
      </c>
      <c r="AP185" s="31" t="e">
        <f>VLOOKUP(P185,'справочная информация'!$D$342:$E$349,2,0)</f>
        <v>#N/A</v>
      </c>
      <c r="AQ185" s="31" t="e">
        <f>VLOOKUP(Q185,'справочная информация'!$D$316:$E$325,2,0)</f>
        <v>#N/A</v>
      </c>
      <c r="AR185" s="31" t="str">
        <f t="shared" si="89"/>
        <v/>
      </c>
      <c r="AS185" s="39" t="str">
        <f t="shared" si="90"/>
        <v/>
      </c>
      <c r="AT185" s="31" t="str">
        <f t="shared" si="91"/>
        <v/>
      </c>
      <c r="AU185" s="31" t="e">
        <f>ABS(MATCH($AX185,'справочная информация'!$A$354:$A$391,0)-MATCH($AY185,'справочная информация'!$A$354:$A$391,0))</f>
        <v>#N/A</v>
      </c>
      <c r="AV185" s="30" t="str">
        <f>IFERROR(INDEX('справочная информация'!$B$6:$R$29,MATCH('Расчет грейда'!$Y185,'справочная информация'!$A$6:$A$29,0),MATCH('Расчет грейда'!$X185,'справочная информация'!$B$5:$R$5,0)),"")</f>
        <v/>
      </c>
      <c r="AW185" s="32" t="str">
        <f>IFERROR(INDEX('справочная информация'!$B$37:$H$52,MATCH('Расчет грейда'!$AA185,'справочная информация'!$A$37:$A$52,0),MATCH('Расчет грейда'!$N185,'справочная информация'!$B$36:$H$36,0)),"")</f>
        <v/>
      </c>
      <c r="AX185" s="33" t="str">
        <f>IFERROR(INDEX('справочная информация'!$D$108:$AD$123,MATCH('Расчет грейда'!$AW185,'справочная информация'!$C$108:$C$123,0),MATCH('Расчет грейда'!$AV185,'справочная информация'!$D$107:$AD$107,0)),"")</f>
        <v/>
      </c>
      <c r="AY185" s="137" t="str">
        <f>IFERROR(INDEX('справочная информация'!$B$158:$Y$181,MATCH('Расчет грейда'!$AE185,'справочная информация'!$A$158:$A$181,0),MATCH('Расчет грейда'!$AD185,'справочная информация'!$B$157:$Y$157,0)),"")</f>
        <v/>
      </c>
      <c r="AZ185" s="34" t="str">
        <f t="shared" si="92"/>
        <v/>
      </c>
      <c r="BA185" s="35" t="str">
        <f>IFERROR(CONCATENATE(TEXT(AZ185/INDEX('справочная информация'!$D$223:$D$261,MATCH('Расчет грейда'!$AZ185,'справочная информация'!$C$223:$C$261,1)),"0%")," - процент относительно медианы 100%. ","MIN балл на грейде ",INDEX('справочная информация'!$C$223:$C$261,MATCH('Расчет грейда'!$AZ185,'справочная информация'!$C$223:$C$261,1)),", "," MAX балл на грейде ",INDEX('справочная информация'!$E$223:$E$261,MATCH('Расчет грейда'!$AZ185,'справочная информация'!$C$223:$C$261,1))),"")</f>
        <v/>
      </c>
      <c r="BB185" s="111" t="str">
        <f t="shared" si="93"/>
        <v/>
      </c>
      <c r="BC185" s="30" t="str">
        <f t="shared" si="94"/>
        <v/>
      </c>
      <c r="BD185" s="36" t="str">
        <f>IFERROR(VLOOKUP(BC185,'справочная информация'!$B$416:$C$424,2,0),"Проверить данные, нетипичная должность")</f>
        <v>Проверить данные, нетипичная должность</v>
      </c>
      <c r="BE185" s="30" t="str">
        <f t="shared" si="95"/>
        <v/>
      </c>
      <c r="BF185" s="30" t="str">
        <f>IFERROR(INDEX('справочная информация'!$F$223:$F$261,MATCH('Расчет грейда'!$AZ185,'справочная информация'!$C$223:$C$261,1)),"")</f>
        <v/>
      </c>
    </row>
  </sheetData>
  <autoFilter ref="A18:BF185" xr:uid="{00000000-0009-0000-0000-000000000000}"/>
  <sortState xmlns:xlrd2="http://schemas.microsoft.com/office/spreadsheetml/2017/richdata2" ref="A19:X185">
    <sortCondition descending="1" ref="W19:W185"/>
  </sortState>
  <mergeCells count="13">
    <mergeCell ref="T17:V17"/>
    <mergeCell ref="L2:N2"/>
    <mergeCell ref="BB17:BD17"/>
    <mergeCell ref="X17:Z17"/>
    <mergeCell ref="AG17:AS17"/>
    <mergeCell ref="AA17:AC17"/>
    <mergeCell ref="AD17:AF17"/>
    <mergeCell ref="AT17:AU17"/>
    <mergeCell ref="J17:L17"/>
    <mergeCell ref="M17:N17"/>
    <mergeCell ref="O17:Q17"/>
    <mergeCell ref="M16:N16"/>
    <mergeCell ref="AW17:AX17"/>
  </mergeCells>
  <conditionalFormatting sqref="A18">
    <cfRule type="duplicateValues" dxfId="25" priority="223"/>
  </conditionalFormatting>
  <conditionalFormatting sqref="J19:L1048576">
    <cfRule type="expression" dxfId="24" priority="9">
      <formula>IF($Z19="Б",1,0)</formula>
    </cfRule>
    <cfRule type="expression" dxfId="23" priority="10">
      <formula>IF($Z19="С",1,0)</formula>
    </cfRule>
    <cfRule type="expression" dxfId="22" priority="11">
      <formula>IF($Z19="Ж",1,0)</formula>
    </cfRule>
  </conditionalFormatting>
  <conditionalFormatting sqref="M19:N1048576">
    <cfRule type="expression" dxfId="21" priority="6">
      <formula>IF(AND($AC19="Б",$AB19="Б"),1,0)</formula>
    </cfRule>
    <cfRule type="expression" dxfId="20" priority="7">
      <formula>IF(OR($AC19="С",$AB19="С"),1,0)</formula>
    </cfRule>
    <cfRule type="expression" dxfId="19" priority="8">
      <formula>IF(OR($AC19="Ж",$AB19="Ж"),1,0)</formula>
    </cfRule>
  </conditionalFormatting>
  <conditionalFormatting sqref="O19:Q1048576">
    <cfRule type="expression" dxfId="18" priority="2">
      <formula>IF($AF19="НЕТ",1,0)</formula>
    </cfRule>
    <cfRule type="expression" dxfId="17" priority="3">
      <formula>IF($AF19="Ж",1,0)</formula>
    </cfRule>
    <cfRule type="expression" dxfId="16" priority="4">
      <formula>IF($AF19="С",2,0)</formula>
    </cfRule>
    <cfRule type="expression" dxfId="15" priority="5">
      <formula>IF($AF19="Б",1,0)</formula>
    </cfRule>
  </conditionalFormatting>
  <conditionalFormatting sqref="S18">
    <cfRule type="duplicateValues" dxfId="14" priority="571"/>
  </conditionalFormatting>
  <conditionalFormatting sqref="W18 R18">
    <cfRule type="duplicateValues" dxfId="13" priority="570"/>
  </conditionalFormatting>
  <conditionalFormatting sqref="BC19:BC185">
    <cfRule type="expression" dxfId="12" priority="1">
      <formula>IF(BD19="Проверить данные, нетипичная должность",1,0)</formula>
    </cfRule>
  </conditionalFormatting>
  <conditionalFormatting sqref="BE19">
    <cfRule type="duplicateValues" dxfId="11" priority="562"/>
  </conditionalFormatting>
  <conditionalFormatting sqref="BE20:BE181">
    <cfRule type="duplicateValues" dxfId="10" priority="12"/>
  </conditionalFormatting>
  <conditionalFormatting sqref="BE182:BE185">
    <cfRule type="duplicateValues" dxfId="9" priority="42"/>
  </conditionalFormatting>
  <dataValidations count="1">
    <dataValidation type="list" allowBlank="1" showInputMessage="1" showErrorMessage="1" sqref="R19:R127" xr:uid="{00000000-0002-0000-0000-000000000000}">
      <formula1>$R$6:$R$8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'справочная информация'!$D$267:$D$274</xm:f>
          </x14:formula1>
          <xm:sqref>J19:J185</xm:sqref>
        </x14:dataValidation>
        <x14:dataValidation type="list" allowBlank="1" showInputMessage="1" showErrorMessage="1" xr:uid="{00000000-0002-0000-0000-000002000000}">
          <x14:formula1>
            <xm:f>'справочная информация'!$D$279:$D$283</xm:f>
          </x14:formula1>
          <xm:sqref>K19:K185</xm:sqref>
        </x14:dataValidation>
        <x14:dataValidation type="list" allowBlank="1" showInputMessage="1" showErrorMessage="1" xr:uid="{00000000-0002-0000-0000-000003000000}">
          <x14:formula1>
            <xm:f>'справочная информация'!$D$288:$D$290</xm:f>
          </x14:formula1>
          <xm:sqref>L19:L185</xm:sqref>
        </x14:dataValidation>
        <x14:dataValidation type="list" allowBlank="1" showInputMessage="1" showErrorMessage="1" xr:uid="{00000000-0002-0000-0000-000004000000}">
          <x14:formula1>
            <xm:f>'справочная информация'!$D$293:$D$301</xm:f>
          </x14:formula1>
          <xm:sqref>M19:M185</xm:sqref>
        </x14:dataValidation>
        <x14:dataValidation type="list" allowBlank="1" showInputMessage="1" showErrorMessage="1" xr:uid="{00000000-0002-0000-0000-000005000000}">
          <x14:formula1>
            <xm:f>'справочная информация'!$D$306:$D$310</xm:f>
          </x14:formula1>
          <xm:sqref>N19:N185</xm:sqref>
        </x14:dataValidation>
        <x14:dataValidation type="list" allowBlank="1" showInputMessage="1" showErrorMessage="1" xr:uid="{00000000-0002-0000-0000-000006000000}">
          <x14:formula1>
            <xm:f>'справочная информация'!$D$329:$D$336</xm:f>
          </x14:formula1>
          <xm:sqref>O19:O185</xm:sqref>
        </x14:dataValidation>
        <x14:dataValidation type="list" allowBlank="1" showInputMessage="1" showErrorMessage="1" xr:uid="{00000000-0002-0000-0000-000007000000}">
          <x14:formula1>
            <xm:f>'справочная информация'!$D$342:$D$346</xm:f>
          </x14:formula1>
          <xm:sqref>P19:P185</xm:sqref>
        </x14:dataValidation>
        <x14:dataValidation type="list" allowBlank="1" showInputMessage="1" showErrorMessage="1" xr:uid="{00000000-0002-0000-0000-000008000000}">
          <x14:formula1>
            <xm:f>'справочная информация'!$D$316:$D$325</xm:f>
          </x14:formula1>
          <xm:sqref>Q19:Q185</xm:sqref>
        </x14:dataValidation>
        <x14:dataValidation type="list" allowBlank="1" showInputMessage="1" showErrorMessage="1" xr:uid="{00000000-0002-0000-0000-000009000000}">
          <x14:formula1>
            <xm:f>'справочная информация'!$C$214:$C$215</xm:f>
          </x14:formula1>
          <xm:sqref>V19:V185 T19:T185</xm:sqref>
        </x14:dataValidation>
        <x14:dataValidation type="list" allowBlank="1" showInputMessage="1" showErrorMessage="1" xr:uid="{00000000-0002-0000-0000-00000A000000}">
          <x14:formula1>
            <xm:f>'справочная информация'!$C$214</xm:f>
          </x14:formula1>
          <xm:sqref>U19:U185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O61"/>
  <sheetViews>
    <sheetView view="pageBreakPreview" zoomScale="25" zoomScaleNormal="25" zoomScaleSheetLayoutView="25" workbookViewId="0">
      <selection activeCell="AI40" sqref="AE1:AI1048576"/>
    </sheetView>
  </sheetViews>
  <sheetFormatPr defaultRowHeight="33" x14ac:dyDescent="0.7"/>
  <cols>
    <col min="1" max="1" width="8.6640625" style="1"/>
    <col min="2" max="2" width="18.25" style="1" customWidth="1"/>
    <col min="3" max="3" width="24.25" style="1" customWidth="1"/>
    <col min="4" max="24" width="40.6640625" style="144" customWidth="1"/>
    <col min="25" max="35" width="40.6640625" style="1" customWidth="1"/>
    <col min="36" max="16384" width="8.6640625" style="1"/>
  </cols>
  <sheetData>
    <row r="1" spans="2:39" x14ac:dyDescent="0.7"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</row>
    <row r="2" spans="2:39" s="123" customFormat="1" x14ac:dyDescent="0.3">
      <c r="D2" s="149">
        <v>1</v>
      </c>
      <c r="E2" s="149">
        <v>2</v>
      </c>
      <c r="F2" s="149">
        <v>3</v>
      </c>
      <c r="G2" s="149">
        <v>4</v>
      </c>
      <c r="H2" s="149">
        <v>5</v>
      </c>
      <c r="I2" s="149">
        <v>6</v>
      </c>
      <c r="J2" s="149">
        <v>7</v>
      </c>
      <c r="K2" s="149">
        <v>8</v>
      </c>
      <c r="L2" s="149">
        <v>9</v>
      </c>
      <c r="M2" s="149">
        <v>10</v>
      </c>
      <c r="N2" s="149">
        <v>11</v>
      </c>
      <c r="O2" s="149">
        <v>12</v>
      </c>
      <c r="P2" s="149">
        <v>13</v>
      </c>
      <c r="Q2" s="149">
        <v>14</v>
      </c>
      <c r="R2" s="149">
        <v>15</v>
      </c>
      <c r="S2" s="149">
        <v>16</v>
      </c>
      <c r="T2" s="149">
        <v>17</v>
      </c>
      <c r="U2" s="149">
        <v>18</v>
      </c>
      <c r="V2" s="149">
        <v>19</v>
      </c>
      <c r="W2" s="149">
        <v>20</v>
      </c>
      <c r="X2" s="149">
        <v>21</v>
      </c>
      <c r="Y2" s="149">
        <v>22</v>
      </c>
      <c r="Z2" s="149">
        <v>23</v>
      </c>
      <c r="AA2" s="149">
        <v>24</v>
      </c>
      <c r="AB2" s="149">
        <v>25</v>
      </c>
      <c r="AC2" s="149">
        <v>26</v>
      </c>
      <c r="AD2" s="149">
        <v>27</v>
      </c>
      <c r="AE2" s="149">
        <v>28</v>
      </c>
      <c r="AF2" s="149">
        <v>29</v>
      </c>
      <c r="AG2" s="149">
        <v>30</v>
      </c>
      <c r="AH2" s="149">
        <v>31</v>
      </c>
      <c r="AI2" s="149">
        <v>32</v>
      </c>
      <c r="AJ2" s="149">
        <v>33</v>
      </c>
    </row>
    <row r="3" spans="2:39" x14ac:dyDescent="0.7"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</row>
    <row r="4" spans="2:39" x14ac:dyDescent="0.7"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</row>
    <row r="5" spans="2:39" x14ac:dyDescent="0.7"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</row>
    <row r="6" spans="2:39" ht="61" x14ac:dyDescent="1.25">
      <c r="B6" s="145" t="s">
        <v>299</v>
      </c>
      <c r="C6" s="146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</row>
    <row r="7" spans="2:39" ht="35.5" customHeight="1" x14ac:dyDescent="0.35">
      <c r="B7" s="154" t="s">
        <v>296</v>
      </c>
      <c r="C7" s="154" t="s">
        <v>298</v>
      </c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</row>
    <row r="8" spans="2:39" ht="101.5" customHeight="1" x14ac:dyDescent="0.35">
      <c r="B8" s="155">
        <v>20</v>
      </c>
      <c r="C8" s="156">
        <f>COUNTIF('Расчет грейда'!$W:$W,'ТРС общая'!$B8)</f>
        <v>0</v>
      </c>
      <c r="D8" s="152" t="str">
        <f t="array" ref="D8">IFERROR(INDEX(#REF!,SMALL(IF('ТРС общая'!$B8=#REF!,ROW(#REF!)-18,""),ROW()-(ROW()-D$2))),"")</f>
        <v/>
      </c>
      <c r="E8" s="152" t="str">
        <f t="array" ref="E8">IFERROR(INDEX(#REF!,SMALL(IF('ТРС общая'!$B8=#REF!,ROW(#REF!)-18,""),ROW()-(ROW()-E$2))),"")</f>
        <v/>
      </c>
      <c r="F8" s="152" t="str">
        <f t="array" ref="F8">IFERROR(INDEX(#REF!,SMALL(IF('ТРС общая'!$B8=#REF!,ROW(#REF!)-18,""),ROW()-(ROW()-F$2))),"")</f>
        <v/>
      </c>
      <c r="G8" s="152" t="str">
        <f t="array" ref="G8">IFERROR(INDEX(#REF!,SMALL(IF('ТРС общая'!$B8=#REF!,ROW(#REF!)-18,""),ROW()-(ROW()-G$2))),"")</f>
        <v/>
      </c>
      <c r="H8" s="152" t="str">
        <f t="array" ref="H8">IFERROR(INDEX(#REF!,SMALL(IF('ТРС общая'!$B8=#REF!,ROW(#REF!)-18,""),ROW()-(ROW()-H$2))),"")</f>
        <v/>
      </c>
      <c r="I8" s="152" t="str">
        <f t="array" ref="I8">IFERROR(INDEX(#REF!,SMALL(IF('ТРС общая'!$B8=#REF!,ROW(#REF!)-18,""),ROW()-(ROW()-I$2))),"")</f>
        <v/>
      </c>
      <c r="J8" s="152" t="str">
        <f t="array" ref="J8">IFERROR(INDEX(#REF!,SMALL(IF('ТРС общая'!$B8=#REF!,ROW(#REF!)-18,""),ROW()-(ROW()-J$2))),"")</f>
        <v/>
      </c>
      <c r="K8" s="152" t="str">
        <f t="array" ref="K8">IFERROR(INDEX(#REF!,SMALL(IF('ТРС общая'!$B8=#REF!,ROW(#REF!)-18,""),ROW()-(ROW()-K$2))),"")</f>
        <v/>
      </c>
      <c r="L8" s="152" t="str">
        <f t="array" ref="L8">IFERROR(INDEX(#REF!,SMALL(IF('ТРС общая'!$B8=#REF!,ROW(#REF!)-18,""),ROW()-(ROW()-L$2))),"")</f>
        <v/>
      </c>
      <c r="M8" s="152" t="str">
        <f t="array" ref="M8">IFERROR(INDEX(#REF!,SMALL(IF('ТРС общая'!$B8=#REF!,ROW(#REF!)-18,""),ROW()-(ROW()-M$2))),"")</f>
        <v/>
      </c>
      <c r="N8" s="152" t="str">
        <f t="array" ref="N8">IFERROR(INDEX(#REF!,SMALL(IF('ТРС общая'!$B8=#REF!,ROW(#REF!)-18,""),ROW()-(ROW()-N$2))),"")</f>
        <v/>
      </c>
      <c r="O8" s="152" t="str">
        <f t="array" ref="O8">IFERROR(INDEX(#REF!,SMALL(IF('ТРС общая'!$B8=#REF!,ROW(#REF!)-18,""),ROW()-(ROW()-O$2))),"")</f>
        <v/>
      </c>
      <c r="P8" s="152" t="str">
        <f t="array" ref="P8">IFERROR(INDEX(#REF!,SMALL(IF('ТРС общая'!$B8=#REF!,ROW(#REF!)-18,""),ROW()-(ROW()-P$2))),"")</f>
        <v/>
      </c>
      <c r="Q8" s="152" t="str">
        <f t="array" ref="Q8">IFERROR(INDEX(#REF!,SMALL(IF('ТРС общая'!$B8=#REF!,ROW(#REF!)-18,""),ROW()-(ROW()-Q$2))),"")</f>
        <v/>
      </c>
      <c r="R8" s="152" t="str">
        <f t="array" ref="R8">IFERROR(INDEX(#REF!,SMALL(IF('ТРС общая'!$B8=#REF!,ROW(#REF!)-18,""),ROW()-(ROW()-R$2))),"")</f>
        <v/>
      </c>
      <c r="S8" s="152" t="str">
        <f t="array" ref="S8">IFERROR(INDEX(#REF!,SMALL(IF('ТРС общая'!$B8=#REF!,ROW(#REF!)-18,""),ROW()-(ROW()-S$2))),"")</f>
        <v/>
      </c>
      <c r="T8" s="152" t="str">
        <f t="array" ref="T8">IFERROR(INDEX(#REF!,SMALL(IF('ТРС общая'!$B8=#REF!,ROW(#REF!)-18,""),ROW()-(ROW()-T$2))),"")</f>
        <v/>
      </c>
      <c r="U8" s="152" t="str">
        <f t="array" ref="U8">IFERROR(INDEX(#REF!,SMALL(IF('ТРС общая'!$B8=#REF!,ROW(#REF!)-18,""),ROW()-(ROW()-U$2))),"")</f>
        <v/>
      </c>
      <c r="V8" s="152" t="str">
        <f t="array" ref="V8">IFERROR(INDEX(#REF!,SMALL(IF('ТРС общая'!$B8=#REF!,ROW(#REF!)-18,""),ROW()-(ROW()-V$2))),"")</f>
        <v/>
      </c>
      <c r="W8" s="152" t="str">
        <f t="array" ref="W8">IFERROR(INDEX(#REF!,SMALL(IF('ТРС общая'!$B8=#REF!,ROW(#REF!)-18,""),ROW()-(ROW()-W$2))),"")</f>
        <v/>
      </c>
      <c r="X8" s="152" t="str">
        <f t="array" ref="X8">IFERROR(INDEX(#REF!,SMALL(IF('ТРС общая'!$B8=#REF!,ROW(#REF!)-18,""),ROW()-(ROW()-X$2))),"")</f>
        <v/>
      </c>
      <c r="Y8" s="152" t="str">
        <f t="array" ref="Y8">IFERROR(INDEX(#REF!,SMALL(IF('ТРС общая'!$B8=#REF!,ROW(#REF!)-18,""),ROW()-(ROW()-Y$2))),"")</f>
        <v/>
      </c>
      <c r="Z8" s="152" t="str">
        <f t="array" ref="Z8">IFERROR(INDEX(#REF!,SMALL(IF('ТРС общая'!$B8=#REF!,ROW(#REF!)-18,""),ROW()-(ROW()-Z$2))),"")</f>
        <v/>
      </c>
      <c r="AA8" s="152" t="str">
        <f t="array" ref="AA8">IFERROR(INDEX(#REF!,SMALL(IF('ТРС общая'!$B8=#REF!,ROW(#REF!)-18,""),ROW()-(ROW()-AA$2))),"")</f>
        <v/>
      </c>
      <c r="AB8" s="152" t="str">
        <f t="array" ref="AB8">IFERROR(INDEX(#REF!,SMALL(IF('ТРС общая'!$B8=#REF!,ROW(#REF!)-18,""),ROW()-(ROW()-AB$2))),"")</f>
        <v/>
      </c>
      <c r="AC8" s="152" t="str">
        <f t="array" ref="AC8">IFERROR(INDEX(#REF!,SMALL(IF('ТРС общая'!$B8=#REF!,ROW(#REF!)-18,""),ROW()-(ROW()-AC$2))),"")</f>
        <v/>
      </c>
      <c r="AD8" s="152" t="str">
        <f t="array" ref="AD8">IFERROR(INDEX(#REF!,SMALL(IF('ТРС общая'!$B8=#REF!,ROW(#REF!)-18,""),ROW()-(ROW()-AD$2))),"")</f>
        <v/>
      </c>
      <c r="AE8" s="152" t="str">
        <f t="array" ref="AE8">IFERROR(INDEX(#REF!,SMALL(IF('ТРС общая'!$B8=#REF!,ROW(#REF!)-18,""),ROW()-(ROW()-AE$2))),"")</f>
        <v/>
      </c>
      <c r="AF8" s="152" t="str">
        <f t="array" ref="AF8">IFERROR(INDEX(#REF!,SMALL(IF('ТРС общая'!$B8=#REF!,ROW(#REF!)-18,""),ROW()-(ROW()-AF$2))),"")</f>
        <v/>
      </c>
      <c r="AG8" s="152" t="str">
        <f t="array" ref="AG8">IFERROR(INDEX(#REF!,SMALL(IF('ТРС общая'!$B8=#REF!,ROW(#REF!)-18,""),ROW()-(ROW()-AG$2))),"")</f>
        <v/>
      </c>
      <c r="AH8" s="152" t="str">
        <f t="array" ref="AH8">IFERROR(INDEX(#REF!,SMALL(IF('ТРС общая'!$B8=#REF!,ROW(#REF!)-18,""),ROW()-(ROW()-AH$2))),"")</f>
        <v/>
      </c>
      <c r="AI8" s="152" t="str">
        <f t="array" ref="AI8">IFERROR(INDEX(#REF!,SMALL(IF('ТРС общая'!$B8=#REF!,ROW(#REF!)-18,""),ROW()-(ROW()-AI$2))),"")</f>
        <v/>
      </c>
      <c r="AJ8" s="152" t="str">
        <f t="array" ref="AJ8">IFERROR(INDEX(#REF!,SMALL(IF('ТРС общая'!$B8=#REF!,ROW(#REF!)-18,""),ROW()-(ROW()-AJ$2))),"")</f>
        <v/>
      </c>
      <c r="AK8" s="152" t="str">
        <f t="array" ref="AK8">IFERROR(INDEX(#REF!,SMALL(IF('ТРС общая'!$B8=#REF!,ROW(#REF!)-18,""),ROW()-(ROW()-AK$2))),"")</f>
        <v/>
      </c>
      <c r="AL8" s="152" t="str">
        <f t="array" ref="AL8">IFERROR(INDEX(#REF!,SMALL(IF('ТРС общая'!$B8=#REF!,ROW(#REF!)-18,""),ROW()-(ROW()-AL$2))),"")</f>
        <v/>
      </c>
      <c r="AM8" s="152" t="str">
        <f t="array" ref="AM8">IFERROR(INDEX(#REF!,SMALL(IF('ТРС общая'!$B8=#REF!,ROW(#REF!)-18,""),ROW()-(ROW()-AM$2))),"")</f>
        <v/>
      </c>
    </row>
    <row r="9" spans="2:39" ht="101.5" customHeight="1" x14ac:dyDescent="0.35">
      <c r="B9" s="155">
        <v>19</v>
      </c>
      <c r="C9" s="156">
        <f>COUNTIF('Расчет грейда'!$W:$W,'ТРС общая'!$B9)</f>
        <v>0</v>
      </c>
      <c r="D9" s="152" t="str">
        <f t="array" ref="D9">IFERROR(INDEX(#REF!,SMALL(IF('ТРС общая'!$B9=#REF!,ROW(#REF!)-18,""),ROW()-(ROW()-D$2))),"")</f>
        <v/>
      </c>
      <c r="E9" s="152" t="str">
        <f t="array" ref="E9">IFERROR(INDEX(#REF!,SMALL(IF('ТРС общая'!$B9=#REF!,ROW(#REF!)-18,""),ROW()-(ROW()-E$2))),"")</f>
        <v/>
      </c>
      <c r="F9" s="152" t="str">
        <f t="array" ref="F9">IFERROR(INDEX(#REF!,SMALL(IF('ТРС общая'!$B9=#REF!,ROW(#REF!)-18,""),ROW()-(ROW()-F$2))),"")</f>
        <v/>
      </c>
      <c r="G9" s="152" t="str">
        <f t="array" ref="G9">IFERROR(INDEX(#REF!,SMALL(IF('ТРС общая'!$B9=#REF!,ROW(#REF!)-18,""),ROW()-(ROW()-G$2))),"")</f>
        <v/>
      </c>
      <c r="H9" s="152" t="str">
        <f t="array" ref="H9">IFERROR(INDEX(#REF!,SMALL(IF('ТРС общая'!$B9=#REF!,ROW(#REF!)-18,""),ROW()-(ROW()-H$2))),"")</f>
        <v/>
      </c>
      <c r="I9" s="152" t="str">
        <f t="array" ref="I9">IFERROR(INDEX(#REF!,SMALL(IF('ТРС общая'!$B9=#REF!,ROW(#REF!)-18,""),ROW()-(ROW()-I$2))),"")</f>
        <v/>
      </c>
      <c r="J9" s="152" t="str">
        <f t="array" ref="J9">IFERROR(INDEX(#REF!,SMALL(IF('ТРС общая'!$B9=#REF!,ROW(#REF!)-18,""),ROW()-(ROW()-J$2))),"")</f>
        <v/>
      </c>
      <c r="K9" s="152" t="str">
        <f t="array" ref="K9">IFERROR(INDEX(#REF!,SMALL(IF('ТРС общая'!$B9=#REF!,ROW(#REF!)-18,""),ROW()-(ROW()-K$2))),"")</f>
        <v/>
      </c>
      <c r="L9" s="152" t="str">
        <f t="array" ref="L9">IFERROR(INDEX(#REF!,SMALL(IF('ТРС общая'!$B9=#REF!,ROW(#REF!)-18,""),ROW()-(ROW()-L$2))),"")</f>
        <v/>
      </c>
      <c r="M9" s="152" t="str">
        <f t="array" ref="M9">IFERROR(INDEX(#REF!,SMALL(IF('ТРС общая'!$B9=#REF!,ROW(#REF!)-18,""),ROW()-(ROW()-M$2))),"")</f>
        <v/>
      </c>
      <c r="N9" s="152" t="str">
        <f t="array" ref="N9">IFERROR(INDEX(#REF!,SMALL(IF('ТРС общая'!$B9=#REF!,ROW(#REF!)-18,""),ROW()-(ROW()-N$2))),"")</f>
        <v/>
      </c>
      <c r="O9" s="152" t="str">
        <f t="array" ref="O9">IFERROR(INDEX(#REF!,SMALL(IF('ТРС общая'!$B9=#REF!,ROW(#REF!)-18,""),ROW()-(ROW()-O$2))),"")</f>
        <v/>
      </c>
      <c r="P9" s="152" t="str">
        <f t="array" ref="P9">IFERROR(INDEX(#REF!,SMALL(IF('ТРС общая'!$B9=#REF!,ROW(#REF!)-18,""),ROW()-(ROW()-P$2))),"")</f>
        <v/>
      </c>
      <c r="Q9" s="152" t="str">
        <f t="array" ref="Q9">IFERROR(INDEX(#REF!,SMALL(IF('ТРС общая'!$B9=#REF!,ROW(#REF!)-18,""),ROW()-(ROW()-Q$2))),"")</f>
        <v/>
      </c>
      <c r="R9" s="152" t="str">
        <f t="array" ref="R9">IFERROR(INDEX(#REF!,SMALL(IF('ТРС общая'!$B9=#REF!,ROW(#REF!)-18,""),ROW()-(ROW()-R$2))),"")</f>
        <v/>
      </c>
      <c r="S9" s="152" t="str">
        <f t="array" ref="S9">IFERROR(INDEX(#REF!,SMALL(IF('ТРС общая'!$B9=#REF!,ROW(#REF!)-18,""),ROW()-(ROW()-S$2))),"")</f>
        <v/>
      </c>
      <c r="T9" s="152" t="str">
        <f t="array" ref="T9">IFERROR(INDEX(#REF!,SMALL(IF('ТРС общая'!$B9=#REF!,ROW(#REF!)-18,""),ROW()-(ROW()-T$2))),"")</f>
        <v/>
      </c>
      <c r="U9" s="152" t="str">
        <f t="array" ref="U9">IFERROR(INDEX(#REF!,SMALL(IF('ТРС общая'!$B9=#REF!,ROW(#REF!)-18,""),ROW()-(ROW()-U$2))),"")</f>
        <v/>
      </c>
      <c r="V9" s="152" t="str">
        <f t="array" ref="V9">IFERROR(INDEX(#REF!,SMALL(IF('ТРС общая'!$B9=#REF!,ROW(#REF!)-18,""),ROW()-(ROW()-V$2))),"")</f>
        <v/>
      </c>
      <c r="W9" s="152" t="str">
        <f t="array" ref="W9">IFERROR(INDEX(#REF!,SMALL(IF('ТРС общая'!$B9=#REF!,ROW(#REF!)-18,""),ROW()-(ROW()-W$2))),"")</f>
        <v/>
      </c>
      <c r="X9" s="152" t="str">
        <f t="array" ref="X9">IFERROR(INDEX(#REF!,SMALL(IF('ТРС общая'!$B9=#REF!,ROW(#REF!)-18,""),ROW()-(ROW()-X$2))),"")</f>
        <v/>
      </c>
      <c r="Y9" s="152" t="str">
        <f t="array" ref="Y9">IFERROR(INDEX(#REF!,SMALL(IF('ТРС общая'!$B9=#REF!,ROW(#REF!)-18,""),ROW()-(ROW()-Y$2))),"")</f>
        <v/>
      </c>
      <c r="Z9" s="152" t="str">
        <f t="array" ref="Z9">IFERROR(INDEX(#REF!,SMALL(IF('ТРС общая'!$B9=#REF!,ROW(#REF!)-18,""),ROW()-(ROW()-Z$2))),"")</f>
        <v/>
      </c>
      <c r="AA9" s="152" t="str">
        <f t="array" ref="AA9">IFERROR(INDEX(#REF!,SMALL(IF('ТРС общая'!$B9=#REF!,ROW(#REF!)-18,""),ROW()-(ROW()-AA$2))),"")</f>
        <v/>
      </c>
      <c r="AB9" s="152" t="str">
        <f t="array" ref="AB9">IFERROR(INDEX(#REF!,SMALL(IF('ТРС общая'!$B9=#REF!,ROW(#REF!)-18,""),ROW()-(ROW()-AB$2))),"")</f>
        <v/>
      </c>
      <c r="AC9" s="152" t="str">
        <f t="array" ref="AC9">IFERROR(INDEX(#REF!,SMALL(IF('ТРС общая'!$B9=#REF!,ROW(#REF!)-18,""),ROW()-(ROW()-AC$2))),"")</f>
        <v/>
      </c>
      <c r="AD9" s="152" t="str">
        <f t="array" ref="AD9">IFERROR(INDEX(#REF!,SMALL(IF('ТРС общая'!$B9=#REF!,ROW(#REF!)-18,""),ROW()-(ROW()-AD$2))),"")</f>
        <v/>
      </c>
      <c r="AE9" s="152" t="str">
        <f t="array" ref="AE9">IFERROR(INDEX(#REF!,SMALL(IF('ТРС общая'!$B9=#REF!,ROW(#REF!)-18,""),ROW()-(ROW()-AE$2))),"")</f>
        <v/>
      </c>
      <c r="AF9" s="152" t="str">
        <f t="array" ref="AF9">IFERROR(INDEX(#REF!,SMALL(IF('ТРС общая'!$B9=#REF!,ROW(#REF!)-18,""),ROW()-(ROW()-AF$2))),"")</f>
        <v/>
      </c>
      <c r="AG9" s="152" t="str">
        <f t="array" ref="AG9">IFERROR(INDEX(#REF!,SMALL(IF('ТРС общая'!$B9=#REF!,ROW(#REF!)-18,""),ROW()-(ROW()-AG$2))),"")</f>
        <v/>
      </c>
      <c r="AH9" s="152" t="str">
        <f t="array" ref="AH9">IFERROR(INDEX(#REF!,SMALL(IF('ТРС общая'!$B9=#REF!,ROW(#REF!)-18,""),ROW()-(ROW()-AH$2))),"")</f>
        <v/>
      </c>
      <c r="AI9" s="152" t="str">
        <f t="array" ref="AI9">IFERROR(INDEX(#REF!,SMALL(IF('ТРС общая'!$B9=#REF!,ROW(#REF!)-18,""),ROW()-(ROW()-AI$2))),"")</f>
        <v/>
      </c>
      <c r="AJ9" s="152" t="str">
        <f t="array" ref="AJ9">IFERROR(INDEX(#REF!,SMALL(IF('ТРС общая'!$B9=#REF!,ROW(#REF!)-18,""),ROW()-(ROW()-AJ$2))),"")</f>
        <v/>
      </c>
      <c r="AK9" s="152" t="str">
        <f t="array" ref="AK9">IFERROR(INDEX(#REF!,SMALL(IF('ТРС общая'!$B9=#REF!,ROW(#REF!)-18,""),ROW()-(ROW()-AK$2))),"")</f>
        <v/>
      </c>
      <c r="AL9" s="152" t="str">
        <f t="array" ref="AL9">IFERROR(INDEX(#REF!,SMALL(IF('ТРС общая'!$B9=#REF!,ROW(#REF!)-18,""),ROW()-(ROW()-AL$2))),"")</f>
        <v/>
      </c>
      <c r="AM9" s="152" t="str">
        <f t="array" ref="AM9">IFERROR(INDEX(#REF!,SMALL(IF('ТРС общая'!$B9=#REF!,ROW(#REF!)-18,""),ROW()-(ROW()-AM$2))),"")</f>
        <v/>
      </c>
    </row>
    <row r="10" spans="2:39" ht="101.5" customHeight="1" x14ac:dyDescent="0.35">
      <c r="B10" s="155">
        <v>18</v>
      </c>
      <c r="C10" s="156">
        <f>COUNTIF('Расчет грейда'!$W:$W,'ТРС общая'!$B10)</f>
        <v>0</v>
      </c>
      <c r="D10" s="152" t="str">
        <f t="array" ref="D10">IFERROR(INDEX(#REF!,SMALL(IF('ТРС общая'!$B10=#REF!,ROW(#REF!)-18,""),ROW()-(ROW()-D$2))),"")</f>
        <v/>
      </c>
      <c r="E10" s="152" t="str">
        <f t="array" ref="E10">IFERROR(INDEX(#REF!,SMALL(IF('ТРС общая'!$B10=#REF!,ROW(#REF!)-18,""),ROW()-(ROW()-E$2))),"")</f>
        <v/>
      </c>
      <c r="F10" s="152" t="str">
        <f t="array" ref="F10">IFERROR(INDEX(#REF!,SMALL(IF('ТРС общая'!$B10=#REF!,ROW(#REF!)-18,""),ROW()-(ROW()-F$2))),"")</f>
        <v/>
      </c>
      <c r="G10" s="152" t="str">
        <f t="array" ref="G10">IFERROR(INDEX(#REF!,SMALL(IF('ТРС общая'!$B10=#REF!,ROW(#REF!)-18,""),ROW()-(ROW()-G$2))),"")</f>
        <v/>
      </c>
      <c r="H10" s="152" t="str">
        <f t="array" ref="H10">IFERROR(INDEX(#REF!,SMALL(IF('ТРС общая'!$B10=#REF!,ROW(#REF!)-18,""),ROW()-(ROW()-H$2))),"")</f>
        <v/>
      </c>
      <c r="I10" s="152" t="str">
        <f t="array" ref="I10">IFERROR(INDEX(#REF!,SMALL(IF('ТРС общая'!$B10=#REF!,ROW(#REF!)-18,""),ROW()-(ROW()-I$2))),"")</f>
        <v/>
      </c>
      <c r="J10" s="152" t="str">
        <f t="array" ref="J10">IFERROR(INDEX(#REF!,SMALL(IF('ТРС общая'!$B10=#REF!,ROW(#REF!)-18,""),ROW()-(ROW()-J$2))),"")</f>
        <v/>
      </c>
      <c r="K10" s="152" t="str">
        <f t="array" ref="K10">IFERROR(INDEX(#REF!,SMALL(IF('ТРС общая'!$B10=#REF!,ROW(#REF!)-18,""),ROW()-(ROW()-K$2))),"")</f>
        <v/>
      </c>
      <c r="L10" s="152" t="str">
        <f t="array" ref="L10">IFERROR(INDEX(#REF!,SMALL(IF('ТРС общая'!$B10=#REF!,ROW(#REF!)-18,""),ROW()-(ROW()-L$2))),"")</f>
        <v/>
      </c>
      <c r="M10" s="152" t="str">
        <f t="array" ref="M10">IFERROR(INDEX(#REF!,SMALL(IF('ТРС общая'!$B10=#REF!,ROW(#REF!)-18,""),ROW()-(ROW()-M$2))),"")</f>
        <v/>
      </c>
      <c r="N10" s="152" t="str">
        <f t="array" ref="N10">IFERROR(INDEX(#REF!,SMALL(IF('ТРС общая'!$B10=#REF!,ROW(#REF!)-18,""),ROW()-(ROW()-N$2))),"")</f>
        <v/>
      </c>
      <c r="O10" s="152" t="str">
        <f t="array" ref="O10">IFERROR(INDEX(#REF!,SMALL(IF('ТРС общая'!$B10=#REF!,ROW(#REF!)-18,""),ROW()-(ROW()-O$2))),"")</f>
        <v/>
      </c>
      <c r="P10" s="152" t="str">
        <f t="array" ref="P10">IFERROR(INDEX(#REF!,SMALL(IF('ТРС общая'!$B10=#REF!,ROW(#REF!)-18,""),ROW()-(ROW()-P$2))),"")</f>
        <v/>
      </c>
      <c r="Q10" s="152" t="str">
        <f t="array" ref="Q10">IFERROR(INDEX(#REF!,SMALL(IF('ТРС общая'!$B10=#REF!,ROW(#REF!)-18,""),ROW()-(ROW()-Q$2))),"")</f>
        <v/>
      </c>
      <c r="R10" s="152" t="str">
        <f t="array" ref="R10">IFERROR(INDEX(#REF!,SMALL(IF('ТРС общая'!$B10=#REF!,ROW(#REF!)-18,""),ROW()-(ROW()-R$2))),"")</f>
        <v/>
      </c>
      <c r="S10" s="152" t="str">
        <f t="array" ref="S10">IFERROR(INDEX(#REF!,SMALL(IF('ТРС общая'!$B10=#REF!,ROW(#REF!)-18,""),ROW()-(ROW()-S$2))),"")</f>
        <v/>
      </c>
      <c r="T10" s="152" t="str">
        <f t="array" ref="T10">IFERROR(INDEX(#REF!,SMALL(IF('ТРС общая'!$B10=#REF!,ROW(#REF!)-18,""),ROW()-(ROW()-T$2))),"")</f>
        <v/>
      </c>
      <c r="U10" s="152" t="str">
        <f t="array" ref="U10">IFERROR(INDEX(#REF!,SMALL(IF('ТРС общая'!$B10=#REF!,ROW(#REF!)-18,""),ROW()-(ROW()-U$2))),"")</f>
        <v/>
      </c>
      <c r="V10" s="152" t="str">
        <f t="array" ref="V10">IFERROR(INDEX(#REF!,SMALL(IF('ТРС общая'!$B10=#REF!,ROW(#REF!)-18,""),ROW()-(ROW()-V$2))),"")</f>
        <v/>
      </c>
      <c r="W10" s="152" t="str">
        <f t="array" ref="W10">IFERROR(INDEX(#REF!,SMALL(IF('ТРС общая'!$B10=#REF!,ROW(#REF!)-18,""),ROW()-(ROW()-W$2))),"")</f>
        <v/>
      </c>
      <c r="X10" s="152" t="str">
        <f t="array" ref="X10">IFERROR(INDEX(#REF!,SMALL(IF('ТРС общая'!$B10=#REF!,ROW(#REF!)-18,""),ROW()-(ROW()-X$2))),"")</f>
        <v/>
      </c>
      <c r="Y10" s="152" t="str">
        <f t="array" ref="Y10">IFERROR(INDEX(#REF!,SMALL(IF('ТРС общая'!$B10=#REF!,ROW(#REF!)-18,""),ROW()-(ROW()-Y$2))),"")</f>
        <v/>
      </c>
      <c r="Z10" s="152" t="str">
        <f t="array" ref="Z10">IFERROR(INDEX(#REF!,SMALL(IF('ТРС общая'!$B10=#REF!,ROW(#REF!)-18,""),ROW()-(ROW()-Z$2))),"")</f>
        <v/>
      </c>
      <c r="AA10" s="152" t="str">
        <f t="array" ref="AA10">IFERROR(INDEX(#REF!,SMALL(IF('ТРС общая'!$B10=#REF!,ROW(#REF!)-18,""),ROW()-(ROW()-AA$2))),"")</f>
        <v/>
      </c>
      <c r="AB10" s="152" t="str">
        <f t="array" ref="AB10">IFERROR(INDEX(#REF!,SMALL(IF('ТРС общая'!$B10=#REF!,ROW(#REF!)-18,""),ROW()-(ROW()-AB$2))),"")</f>
        <v/>
      </c>
      <c r="AC10" s="152" t="str">
        <f t="array" ref="AC10">IFERROR(INDEX(#REF!,SMALL(IF('ТРС общая'!$B10=#REF!,ROW(#REF!)-18,""),ROW()-(ROW()-AC$2))),"")</f>
        <v/>
      </c>
      <c r="AD10" s="152" t="str">
        <f t="array" ref="AD10">IFERROR(INDEX(#REF!,SMALL(IF('ТРС общая'!$B10=#REF!,ROW(#REF!)-18,""),ROW()-(ROW()-AD$2))),"")</f>
        <v/>
      </c>
      <c r="AE10" s="152" t="str">
        <f t="array" ref="AE10">IFERROR(INDEX(#REF!,SMALL(IF('ТРС общая'!$B10=#REF!,ROW(#REF!)-18,""),ROW()-(ROW()-AE$2))),"")</f>
        <v/>
      </c>
      <c r="AF10" s="152" t="str">
        <f t="array" ref="AF10">IFERROR(INDEX(#REF!,SMALL(IF('ТРС общая'!$B10=#REF!,ROW(#REF!)-18,""),ROW()-(ROW()-AF$2))),"")</f>
        <v/>
      </c>
      <c r="AG10" s="152" t="str">
        <f t="array" ref="AG10">IFERROR(INDEX(#REF!,SMALL(IF('ТРС общая'!$B10=#REF!,ROW(#REF!)-18,""),ROW()-(ROW()-AG$2))),"")</f>
        <v/>
      </c>
      <c r="AH10" s="152" t="str">
        <f t="array" ref="AH10">IFERROR(INDEX(#REF!,SMALL(IF('ТРС общая'!$B10=#REF!,ROW(#REF!)-18,""),ROW()-(ROW()-AH$2))),"")</f>
        <v/>
      </c>
      <c r="AI10" s="152" t="str">
        <f t="array" ref="AI10">IFERROR(INDEX(#REF!,SMALL(IF('ТРС общая'!$B10=#REF!,ROW(#REF!)-18,""),ROW()-(ROW()-AI$2))),"")</f>
        <v/>
      </c>
      <c r="AJ10" s="152" t="str">
        <f t="array" ref="AJ10">IFERROR(INDEX(#REF!,SMALL(IF('ТРС общая'!$B10=#REF!,ROW(#REF!)-18,""),ROW()-(ROW()-AJ$2))),"")</f>
        <v/>
      </c>
      <c r="AK10" s="152" t="str">
        <f t="array" ref="AK10">IFERROR(INDEX(#REF!,SMALL(IF('ТРС общая'!$B10=#REF!,ROW(#REF!)-18,""),ROW()-(ROW()-AK$2))),"")</f>
        <v/>
      </c>
      <c r="AL10" s="152" t="str">
        <f t="array" ref="AL10">IFERROR(INDEX(#REF!,SMALL(IF('ТРС общая'!$B10=#REF!,ROW(#REF!)-18,""),ROW()-(ROW()-AL$2))),"")</f>
        <v/>
      </c>
      <c r="AM10" s="152" t="str">
        <f t="array" ref="AM10">IFERROR(INDEX(#REF!,SMALL(IF('ТРС общая'!$B10=#REF!,ROW(#REF!)-18,""),ROW()-(ROW()-AM$2))),"")</f>
        <v/>
      </c>
    </row>
    <row r="11" spans="2:39" ht="101.5" customHeight="1" x14ac:dyDescent="0.35">
      <c r="B11" s="155">
        <v>17</v>
      </c>
      <c r="C11" s="156">
        <f>COUNTIF('Расчет грейда'!$W:$W,'ТРС общая'!$B11)</f>
        <v>0</v>
      </c>
      <c r="D11" s="152" t="str">
        <f t="array" ref="D11">IFERROR(INDEX(#REF!,SMALL(IF('ТРС общая'!$B11=#REF!,ROW(#REF!)-18,""),ROW()-(ROW()-D$2))),"")</f>
        <v/>
      </c>
      <c r="E11" s="152" t="str">
        <f t="array" ref="E11">IFERROR(INDEX(#REF!,SMALL(IF('ТРС общая'!$B11=#REF!,ROW(#REF!)-18,""),ROW()-(ROW()-E$2))),"")</f>
        <v/>
      </c>
      <c r="F11" s="152" t="str">
        <f t="array" ref="F11">IFERROR(INDEX(#REF!,SMALL(IF('ТРС общая'!$B11=#REF!,ROW(#REF!)-18,""),ROW()-(ROW()-F$2))),"")</f>
        <v/>
      </c>
      <c r="G11" s="152" t="str">
        <f t="array" ref="G11">IFERROR(INDEX(#REF!,SMALL(IF('ТРС общая'!$B11=#REF!,ROW(#REF!)-18,""),ROW()-(ROW()-G$2))),"")</f>
        <v/>
      </c>
      <c r="H11" s="152" t="str">
        <f t="array" ref="H11">IFERROR(INDEX(#REF!,SMALL(IF('ТРС общая'!$B11=#REF!,ROW(#REF!)-18,""),ROW()-(ROW()-H$2))),"")</f>
        <v/>
      </c>
      <c r="I11" s="152" t="str">
        <f t="array" ref="I11">IFERROR(INDEX(#REF!,SMALL(IF('ТРС общая'!$B11=#REF!,ROW(#REF!)-18,""),ROW()-(ROW()-I$2))),"")</f>
        <v/>
      </c>
      <c r="J11" s="152" t="str">
        <f t="array" ref="J11">IFERROR(INDEX(#REF!,SMALL(IF('ТРС общая'!$B11=#REF!,ROW(#REF!)-18,""),ROW()-(ROW()-J$2))),"")</f>
        <v/>
      </c>
      <c r="K11" s="152" t="str">
        <f t="array" ref="K11">IFERROR(INDEX(#REF!,SMALL(IF('ТРС общая'!$B11=#REF!,ROW(#REF!)-18,""),ROW()-(ROW()-K$2))),"")</f>
        <v/>
      </c>
      <c r="L11" s="152" t="str">
        <f t="array" ref="L11">IFERROR(INDEX(#REF!,SMALL(IF('ТРС общая'!$B11=#REF!,ROW(#REF!)-18,""),ROW()-(ROW()-L$2))),"")</f>
        <v/>
      </c>
      <c r="M11" s="152" t="str">
        <f t="array" ref="M11">IFERROR(INDEX(#REF!,SMALL(IF('ТРС общая'!$B11=#REF!,ROW(#REF!)-18,""),ROW()-(ROW()-M$2))),"")</f>
        <v/>
      </c>
      <c r="N11" s="152" t="str">
        <f t="array" ref="N11">IFERROR(INDEX(#REF!,SMALL(IF('ТРС общая'!$B11=#REF!,ROW(#REF!)-18,""),ROW()-(ROW()-N$2))),"")</f>
        <v/>
      </c>
      <c r="O11" s="152" t="str">
        <f t="array" ref="O11">IFERROR(INDEX(#REF!,SMALL(IF('ТРС общая'!$B11=#REF!,ROW(#REF!)-18,""),ROW()-(ROW()-O$2))),"")</f>
        <v/>
      </c>
      <c r="P11" s="152" t="str">
        <f t="array" ref="P11">IFERROR(INDEX(#REF!,SMALL(IF('ТРС общая'!$B11=#REF!,ROW(#REF!)-18,""),ROW()-(ROW()-P$2))),"")</f>
        <v/>
      </c>
      <c r="Q11" s="152" t="str">
        <f t="array" ref="Q11">IFERROR(INDEX(#REF!,SMALL(IF('ТРС общая'!$B11=#REF!,ROW(#REF!)-18,""),ROW()-(ROW()-Q$2))),"")</f>
        <v/>
      </c>
      <c r="R11" s="152" t="str">
        <f t="array" ref="R11">IFERROR(INDEX(#REF!,SMALL(IF('ТРС общая'!$B11=#REF!,ROW(#REF!)-18,""),ROW()-(ROW()-R$2))),"")</f>
        <v/>
      </c>
      <c r="S11" s="152" t="str">
        <f t="array" ref="S11">IFERROR(INDEX(#REF!,SMALL(IF('ТРС общая'!$B11=#REF!,ROW(#REF!)-18,""),ROW()-(ROW()-S$2))),"")</f>
        <v/>
      </c>
      <c r="T11" s="152" t="str">
        <f t="array" ref="T11">IFERROR(INDEX(#REF!,SMALL(IF('ТРС общая'!$B11=#REF!,ROW(#REF!)-18,""),ROW()-(ROW()-T$2))),"")</f>
        <v/>
      </c>
      <c r="U11" s="152" t="str">
        <f t="array" ref="U11">IFERROR(INDEX(#REF!,SMALL(IF('ТРС общая'!$B11=#REF!,ROW(#REF!)-18,""),ROW()-(ROW()-U$2))),"")</f>
        <v/>
      </c>
      <c r="V11" s="152" t="str">
        <f t="array" ref="V11">IFERROR(INDEX(#REF!,SMALL(IF('ТРС общая'!$B11=#REF!,ROW(#REF!)-18,""),ROW()-(ROW()-V$2))),"")</f>
        <v/>
      </c>
      <c r="W11" s="152" t="str">
        <f t="array" ref="W11">IFERROR(INDEX(#REF!,SMALL(IF('ТРС общая'!$B11=#REF!,ROW(#REF!)-18,""),ROW()-(ROW()-W$2))),"")</f>
        <v/>
      </c>
      <c r="X11" s="152" t="str">
        <f t="array" ref="X11">IFERROR(INDEX(#REF!,SMALL(IF('ТРС общая'!$B11=#REF!,ROW(#REF!)-18,""),ROW()-(ROW()-X$2))),"")</f>
        <v/>
      </c>
      <c r="Y11" s="152" t="str">
        <f t="array" ref="Y11">IFERROR(INDEX(#REF!,SMALL(IF('ТРС общая'!$B11=#REF!,ROW(#REF!)-18,""),ROW()-(ROW()-Y$2))),"")</f>
        <v/>
      </c>
      <c r="Z11" s="152" t="str">
        <f t="array" ref="Z11">IFERROR(INDEX(#REF!,SMALL(IF('ТРС общая'!$B11=#REF!,ROW(#REF!)-18,""),ROW()-(ROW()-Z$2))),"")</f>
        <v/>
      </c>
      <c r="AA11" s="152" t="str">
        <f t="array" ref="AA11">IFERROR(INDEX(#REF!,SMALL(IF('ТРС общая'!$B11=#REF!,ROW(#REF!)-18,""),ROW()-(ROW()-AA$2))),"")</f>
        <v/>
      </c>
      <c r="AB11" s="152" t="str">
        <f t="array" ref="AB11">IFERROR(INDEX(#REF!,SMALL(IF('ТРС общая'!$B11=#REF!,ROW(#REF!)-18,""),ROW()-(ROW()-AB$2))),"")</f>
        <v/>
      </c>
      <c r="AC11" s="152" t="str">
        <f t="array" ref="AC11">IFERROR(INDEX(#REF!,SMALL(IF('ТРС общая'!$B11=#REF!,ROW(#REF!)-18,""),ROW()-(ROW()-AC$2))),"")</f>
        <v/>
      </c>
      <c r="AD11" s="152" t="str">
        <f t="array" ref="AD11">IFERROR(INDEX(#REF!,SMALL(IF('ТРС общая'!$B11=#REF!,ROW(#REF!)-18,""),ROW()-(ROW()-AD$2))),"")</f>
        <v/>
      </c>
      <c r="AE11" s="152" t="str">
        <f t="array" ref="AE11">IFERROR(INDEX(#REF!,SMALL(IF('ТРС общая'!$B11=#REF!,ROW(#REF!)-18,""),ROW()-(ROW()-AE$2))),"")</f>
        <v/>
      </c>
      <c r="AF11" s="152" t="str">
        <f t="array" ref="AF11">IFERROR(INDEX(#REF!,SMALL(IF('ТРС общая'!$B11=#REF!,ROW(#REF!)-18,""),ROW()-(ROW()-AF$2))),"")</f>
        <v/>
      </c>
      <c r="AG11" s="152" t="str">
        <f t="array" ref="AG11">IFERROR(INDEX(#REF!,SMALL(IF('ТРС общая'!$B11=#REF!,ROW(#REF!)-18,""),ROW()-(ROW()-AG$2))),"")</f>
        <v/>
      </c>
      <c r="AH11" s="152" t="str">
        <f t="array" ref="AH11">IFERROR(INDEX(#REF!,SMALL(IF('ТРС общая'!$B11=#REF!,ROW(#REF!)-18,""),ROW()-(ROW()-AH$2))),"")</f>
        <v/>
      </c>
      <c r="AI11" s="152" t="str">
        <f t="array" ref="AI11">IFERROR(INDEX(#REF!,SMALL(IF('ТРС общая'!$B11=#REF!,ROW(#REF!)-18,""),ROW()-(ROW()-AI$2))),"")</f>
        <v/>
      </c>
      <c r="AJ11" s="152" t="str">
        <f t="array" ref="AJ11">IFERROR(INDEX(#REF!,SMALL(IF('ТРС общая'!$B11=#REF!,ROW(#REF!)-18,""),ROW()-(ROW()-AJ$2))),"")</f>
        <v/>
      </c>
      <c r="AK11" s="152" t="str">
        <f t="array" ref="AK11">IFERROR(INDEX(#REF!,SMALL(IF('ТРС общая'!$B11=#REF!,ROW(#REF!)-18,""),ROW()-(ROW()-AK$2))),"")</f>
        <v/>
      </c>
      <c r="AL11" s="152" t="str">
        <f t="array" ref="AL11">IFERROR(INDEX(#REF!,SMALL(IF('ТРС общая'!$B11=#REF!,ROW(#REF!)-18,""),ROW()-(ROW()-AL$2))),"")</f>
        <v/>
      </c>
      <c r="AM11" s="152" t="str">
        <f t="array" ref="AM11">IFERROR(INDEX(#REF!,SMALL(IF('ТРС общая'!$B11=#REF!,ROW(#REF!)-18,""),ROW()-(ROW()-AM$2))),"")</f>
        <v/>
      </c>
    </row>
    <row r="12" spans="2:39" ht="101.5" customHeight="1" x14ac:dyDescent="0.35">
      <c r="B12" s="155">
        <v>16</v>
      </c>
      <c r="C12" s="156">
        <f>COUNTIF('Расчет грейда'!$W:$W,'ТРС общая'!$B12)</f>
        <v>0</v>
      </c>
      <c r="D12" s="152" t="str">
        <f t="array" ref="D12">IFERROR(INDEX(#REF!,SMALL(IF('ТРС общая'!$B12=#REF!,ROW(#REF!)-18,""),ROW()-(ROW()-D$2))),"")</f>
        <v/>
      </c>
      <c r="E12" s="152" t="str">
        <f t="array" ref="E12">IFERROR(INDEX(#REF!,SMALL(IF('ТРС общая'!$B12=#REF!,ROW(#REF!)-18,""),ROW()-(ROW()-E$2))),"")</f>
        <v/>
      </c>
      <c r="F12" s="152" t="str">
        <f t="array" ref="F12">IFERROR(INDEX(#REF!,SMALL(IF('ТРС общая'!$B12=#REF!,ROW(#REF!)-18,""),ROW()-(ROW()-F$2))),"")</f>
        <v/>
      </c>
      <c r="G12" s="152" t="str">
        <f t="array" ref="G12">IFERROR(INDEX(#REF!,SMALL(IF('ТРС общая'!$B12=#REF!,ROW(#REF!)-18,""),ROW()-(ROW()-G$2))),"")</f>
        <v/>
      </c>
      <c r="H12" s="152" t="str">
        <f t="array" ref="H12">IFERROR(INDEX(#REF!,SMALL(IF('ТРС общая'!$B12=#REF!,ROW(#REF!)-18,""),ROW()-(ROW()-H$2))),"")</f>
        <v/>
      </c>
      <c r="I12" s="152" t="str">
        <f t="array" ref="I12">IFERROR(INDEX(#REF!,SMALL(IF('ТРС общая'!$B12=#REF!,ROW(#REF!)-18,""),ROW()-(ROW()-I$2))),"")</f>
        <v/>
      </c>
      <c r="J12" s="152" t="str">
        <f t="array" ref="J12">IFERROR(INDEX(#REF!,SMALL(IF('ТРС общая'!$B12=#REF!,ROW(#REF!)-18,""),ROW()-(ROW()-J$2))),"")</f>
        <v/>
      </c>
      <c r="K12" s="152" t="str">
        <f t="array" ref="K12">IFERROR(INDEX(#REF!,SMALL(IF('ТРС общая'!$B12=#REF!,ROW(#REF!)-18,""),ROW()-(ROW()-K$2))),"")</f>
        <v/>
      </c>
      <c r="L12" s="152" t="str">
        <f t="array" ref="L12">IFERROR(INDEX(#REF!,SMALL(IF('ТРС общая'!$B12=#REF!,ROW(#REF!)-18,""),ROW()-(ROW()-L$2))),"")</f>
        <v/>
      </c>
      <c r="M12" s="152" t="str">
        <f t="array" ref="M12">IFERROR(INDEX(#REF!,SMALL(IF('ТРС общая'!$B12=#REF!,ROW(#REF!)-18,""),ROW()-(ROW()-M$2))),"")</f>
        <v/>
      </c>
      <c r="N12" s="152" t="str">
        <f t="array" ref="N12">IFERROR(INDEX(#REF!,SMALL(IF('ТРС общая'!$B12=#REF!,ROW(#REF!)-18,""),ROW()-(ROW()-N$2))),"")</f>
        <v/>
      </c>
      <c r="O12" s="152" t="str">
        <f t="array" ref="O12">IFERROR(INDEX(#REF!,SMALL(IF('ТРС общая'!$B12=#REF!,ROW(#REF!)-18,""),ROW()-(ROW()-O$2))),"")</f>
        <v/>
      </c>
      <c r="P12" s="152" t="str">
        <f t="array" ref="P12">IFERROR(INDEX(#REF!,SMALL(IF('ТРС общая'!$B12=#REF!,ROW(#REF!)-18,""),ROW()-(ROW()-P$2))),"")</f>
        <v/>
      </c>
      <c r="Q12" s="152" t="str">
        <f t="array" ref="Q12">IFERROR(INDEX(#REF!,SMALL(IF('ТРС общая'!$B12=#REF!,ROW(#REF!)-18,""),ROW()-(ROW()-Q$2))),"")</f>
        <v/>
      </c>
      <c r="R12" s="152" t="str">
        <f t="array" ref="R12">IFERROR(INDEX(#REF!,SMALL(IF('ТРС общая'!$B12=#REF!,ROW(#REF!)-18,""),ROW()-(ROW()-R$2))),"")</f>
        <v/>
      </c>
      <c r="S12" s="152" t="str">
        <f t="array" ref="S12">IFERROR(INDEX(#REF!,SMALL(IF('ТРС общая'!$B12=#REF!,ROW(#REF!)-18,""),ROW()-(ROW()-S$2))),"")</f>
        <v/>
      </c>
      <c r="T12" s="152" t="str">
        <f t="array" ref="T12">IFERROR(INDEX(#REF!,SMALL(IF('ТРС общая'!$B12=#REF!,ROW(#REF!)-18,""),ROW()-(ROW()-T$2))),"")</f>
        <v/>
      </c>
      <c r="U12" s="152" t="str">
        <f t="array" ref="U12">IFERROR(INDEX(#REF!,SMALL(IF('ТРС общая'!$B12=#REF!,ROW(#REF!)-18,""),ROW()-(ROW()-U$2))),"")</f>
        <v/>
      </c>
      <c r="V12" s="152" t="str">
        <f t="array" ref="V12">IFERROR(INDEX(#REF!,SMALL(IF('ТРС общая'!$B12=#REF!,ROW(#REF!)-18,""),ROW()-(ROW()-V$2))),"")</f>
        <v/>
      </c>
      <c r="W12" s="152" t="str">
        <f t="array" ref="W12">IFERROR(INDEX(#REF!,SMALL(IF('ТРС общая'!$B12=#REF!,ROW(#REF!)-18,""),ROW()-(ROW()-W$2))),"")</f>
        <v/>
      </c>
      <c r="X12" s="152" t="str">
        <f t="array" ref="X12">IFERROR(INDEX(#REF!,SMALL(IF('ТРС общая'!$B12=#REF!,ROW(#REF!)-18,""),ROW()-(ROW()-X$2))),"")</f>
        <v/>
      </c>
      <c r="Y12" s="152" t="str">
        <f t="array" ref="Y12">IFERROR(INDEX(#REF!,SMALL(IF('ТРС общая'!$B12=#REF!,ROW(#REF!)-18,""),ROW()-(ROW()-Y$2))),"")</f>
        <v/>
      </c>
      <c r="Z12" s="152" t="str">
        <f t="array" ref="Z12">IFERROR(INDEX(#REF!,SMALL(IF('ТРС общая'!$B12=#REF!,ROW(#REF!)-18,""),ROW()-(ROW()-Z$2))),"")</f>
        <v/>
      </c>
      <c r="AA12" s="152" t="str">
        <f t="array" ref="AA12">IFERROR(INDEX(#REF!,SMALL(IF('ТРС общая'!$B12=#REF!,ROW(#REF!)-18,""),ROW()-(ROW()-AA$2))),"")</f>
        <v/>
      </c>
      <c r="AB12" s="152" t="str">
        <f t="array" ref="AB12">IFERROR(INDEX(#REF!,SMALL(IF('ТРС общая'!$B12=#REF!,ROW(#REF!)-18,""),ROW()-(ROW()-AB$2))),"")</f>
        <v/>
      </c>
      <c r="AC12" s="152" t="str">
        <f t="array" ref="AC12">IFERROR(INDEX(#REF!,SMALL(IF('ТРС общая'!$B12=#REF!,ROW(#REF!)-18,""),ROW()-(ROW()-AC$2))),"")</f>
        <v/>
      </c>
      <c r="AD12" s="152" t="str">
        <f t="array" ref="AD12">IFERROR(INDEX(#REF!,SMALL(IF('ТРС общая'!$B12=#REF!,ROW(#REF!)-18,""),ROW()-(ROW()-AD$2))),"")</f>
        <v/>
      </c>
      <c r="AE12" s="152" t="str">
        <f t="array" ref="AE12">IFERROR(INDEX(#REF!,SMALL(IF('ТРС общая'!$B12=#REF!,ROW(#REF!)-18,""),ROW()-(ROW()-AE$2))),"")</f>
        <v/>
      </c>
      <c r="AF12" s="152" t="str">
        <f t="array" ref="AF12">IFERROR(INDEX(#REF!,SMALL(IF('ТРС общая'!$B12=#REF!,ROW(#REF!)-18,""),ROW()-(ROW()-AF$2))),"")</f>
        <v/>
      </c>
      <c r="AG12" s="152" t="str">
        <f t="array" ref="AG12">IFERROR(INDEX(#REF!,SMALL(IF('ТРС общая'!$B12=#REF!,ROW(#REF!)-18,""),ROW()-(ROW()-AG$2))),"")</f>
        <v/>
      </c>
      <c r="AH12" s="152" t="str">
        <f t="array" ref="AH12">IFERROR(INDEX(#REF!,SMALL(IF('ТРС общая'!$B12=#REF!,ROW(#REF!)-18,""),ROW()-(ROW()-AH$2))),"")</f>
        <v/>
      </c>
      <c r="AI12" s="152" t="str">
        <f t="array" ref="AI12">IFERROR(INDEX(#REF!,SMALL(IF('ТРС общая'!$B12=#REF!,ROW(#REF!)-18,""),ROW()-(ROW()-AI$2))),"")</f>
        <v/>
      </c>
      <c r="AJ12" s="152" t="str">
        <f t="array" ref="AJ12">IFERROR(INDEX(#REF!,SMALL(IF('ТРС общая'!$B12=#REF!,ROW(#REF!)-18,""),ROW()-(ROW()-AJ$2))),"")</f>
        <v/>
      </c>
      <c r="AK12" s="152" t="str">
        <f t="array" ref="AK12">IFERROR(INDEX(#REF!,SMALL(IF('ТРС общая'!$B12=#REF!,ROW(#REF!)-18,""),ROW()-(ROW()-AK$2))),"")</f>
        <v/>
      </c>
      <c r="AL12" s="152" t="str">
        <f t="array" ref="AL12">IFERROR(INDEX(#REF!,SMALL(IF('ТРС общая'!$B12=#REF!,ROW(#REF!)-18,""),ROW()-(ROW()-AL$2))),"")</f>
        <v/>
      </c>
      <c r="AM12" s="152" t="str">
        <f t="array" ref="AM12">IFERROR(INDEX(#REF!,SMALL(IF('ТРС общая'!$B12=#REF!,ROW(#REF!)-18,""),ROW()-(ROW()-AM$2))),"")</f>
        <v/>
      </c>
    </row>
    <row r="13" spans="2:39" s="124" customFormat="1" ht="101.5" customHeight="1" x14ac:dyDescent="0.55000000000000004">
      <c r="B13" s="155">
        <v>15</v>
      </c>
      <c r="C13" s="156">
        <f>COUNTIF('Расчет грейда'!$W:$W,'ТРС общая'!$B13)</f>
        <v>0</v>
      </c>
      <c r="D13" s="152" t="str">
        <f t="array" ref="D13">IFERROR(INDEX(#REF!,SMALL(IF('ТРС общая'!$B13=#REF!,ROW(#REF!)-18,""),ROW()-(ROW()-D$2))),"")</f>
        <v/>
      </c>
      <c r="E13" s="152" t="str">
        <f t="array" ref="E13">IFERROR(INDEX(#REF!,SMALL(IF('ТРС общая'!$B13=#REF!,ROW(#REF!)-18,""),ROW()-(ROW()-E$2))),"")</f>
        <v/>
      </c>
      <c r="F13" s="152" t="str">
        <f t="array" ref="F13">IFERROR(INDEX(#REF!,SMALL(IF('ТРС общая'!$B13=#REF!,ROW(#REF!)-18,""),ROW()-(ROW()-F$2))),"")</f>
        <v/>
      </c>
      <c r="G13" s="152" t="str">
        <f t="array" ref="G13">IFERROR(INDEX(#REF!,SMALL(IF('ТРС общая'!$B13=#REF!,ROW(#REF!)-18,""),ROW()-(ROW()-G$2))),"")</f>
        <v/>
      </c>
      <c r="H13" s="152" t="str">
        <f t="array" ref="H13">IFERROR(INDEX(#REF!,SMALL(IF('ТРС общая'!$B13=#REF!,ROW(#REF!)-18,""),ROW()-(ROW()-H$2))),"")</f>
        <v/>
      </c>
      <c r="I13" s="152" t="str">
        <f t="array" ref="I13">IFERROR(INDEX(#REF!,SMALL(IF('ТРС общая'!$B13=#REF!,ROW(#REF!)-18,""),ROW()-(ROW()-I$2))),"")</f>
        <v/>
      </c>
      <c r="J13" s="152" t="str">
        <f t="array" ref="J13">IFERROR(INDEX(#REF!,SMALL(IF('ТРС общая'!$B13=#REF!,ROW(#REF!)-18,""),ROW()-(ROW()-J$2))),"")</f>
        <v/>
      </c>
      <c r="K13" s="152" t="str">
        <f t="array" ref="K13">IFERROR(INDEX(#REF!,SMALL(IF('ТРС общая'!$B13=#REF!,ROW(#REF!)-18,""),ROW()-(ROW()-K$2))),"")</f>
        <v/>
      </c>
      <c r="L13" s="152" t="str">
        <f t="array" ref="L13">IFERROR(INDEX(#REF!,SMALL(IF('ТРС общая'!$B13=#REF!,ROW(#REF!)-18,""),ROW()-(ROW()-L$2))),"")</f>
        <v/>
      </c>
      <c r="M13" s="152" t="str">
        <f t="array" ref="M13">IFERROR(INDEX(#REF!,SMALL(IF('ТРС общая'!$B13=#REF!,ROW(#REF!)-18,""),ROW()-(ROW()-M$2))),"")</f>
        <v/>
      </c>
      <c r="N13" s="152" t="str">
        <f t="array" ref="N13">IFERROR(INDEX(#REF!,SMALL(IF('ТРС общая'!$B13=#REF!,ROW(#REF!)-18,""),ROW()-(ROW()-N$2))),"")</f>
        <v/>
      </c>
      <c r="O13" s="152" t="str">
        <f t="array" ref="O13">IFERROR(INDEX(#REF!,SMALL(IF('ТРС общая'!$B13=#REF!,ROW(#REF!)-18,""),ROW()-(ROW()-O$2))),"")</f>
        <v/>
      </c>
      <c r="P13" s="152" t="str">
        <f t="array" ref="P13">IFERROR(INDEX(#REF!,SMALL(IF('ТРС общая'!$B13=#REF!,ROW(#REF!)-18,""),ROW()-(ROW()-P$2))),"")</f>
        <v/>
      </c>
      <c r="Q13" s="152" t="str">
        <f t="array" ref="Q13">IFERROR(INDEX(#REF!,SMALL(IF('ТРС общая'!$B13=#REF!,ROW(#REF!)-18,""),ROW()-(ROW()-Q$2))),"")</f>
        <v/>
      </c>
      <c r="R13" s="152" t="str">
        <f t="array" ref="R13">IFERROR(INDEX(#REF!,SMALL(IF('ТРС общая'!$B13=#REF!,ROW(#REF!)-18,""),ROW()-(ROW()-R$2))),"")</f>
        <v/>
      </c>
      <c r="S13" s="152" t="str">
        <f t="array" ref="S13">IFERROR(INDEX(#REF!,SMALL(IF('ТРС общая'!$B13=#REF!,ROW(#REF!)-18,""),ROW()-(ROW()-S$2))),"")</f>
        <v/>
      </c>
      <c r="T13" s="152" t="str">
        <f t="array" ref="T13">IFERROR(INDEX(#REF!,SMALL(IF('ТРС общая'!$B13=#REF!,ROW(#REF!)-18,""),ROW()-(ROW()-T$2))),"")</f>
        <v/>
      </c>
      <c r="U13" s="152" t="str">
        <f t="array" ref="U13">IFERROR(INDEX(#REF!,SMALL(IF('ТРС общая'!$B13=#REF!,ROW(#REF!)-18,""),ROW()-(ROW()-U$2))),"")</f>
        <v/>
      </c>
      <c r="V13" s="152" t="str">
        <f t="array" ref="V13">IFERROR(INDEX(#REF!,SMALL(IF('ТРС общая'!$B13=#REF!,ROW(#REF!)-18,""),ROW()-(ROW()-V$2))),"")</f>
        <v/>
      </c>
      <c r="W13" s="152" t="str">
        <f t="array" ref="W13">IFERROR(INDEX(#REF!,SMALL(IF('ТРС общая'!$B13=#REF!,ROW(#REF!)-18,""),ROW()-(ROW()-W$2))),"")</f>
        <v/>
      </c>
      <c r="X13" s="152" t="str">
        <f t="array" ref="X13">IFERROR(INDEX(#REF!,SMALL(IF('ТРС общая'!$B13=#REF!,ROW(#REF!)-18,""),ROW()-(ROW()-X$2))),"")</f>
        <v/>
      </c>
      <c r="Y13" s="152" t="str">
        <f t="array" ref="Y13">IFERROR(INDEX(#REF!,SMALL(IF('ТРС общая'!$B13=#REF!,ROW(#REF!)-18,""),ROW()-(ROW()-Y$2))),"")</f>
        <v/>
      </c>
      <c r="Z13" s="152" t="str">
        <f t="array" ref="Z13">IFERROR(INDEX(#REF!,SMALL(IF('ТРС общая'!$B13=#REF!,ROW(#REF!)-18,""),ROW()-(ROW()-Z$2))),"")</f>
        <v/>
      </c>
      <c r="AA13" s="152" t="str">
        <f t="array" ref="AA13">IFERROR(INDEX(#REF!,SMALL(IF('ТРС общая'!$B13=#REF!,ROW(#REF!)-18,""),ROW()-(ROW()-AA$2))),"")</f>
        <v/>
      </c>
      <c r="AB13" s="152" t="str">
        <f t="array" ref="AB13">IFERROR(INDEX(#REF!,SMALL(IF('ТРС общая'!$B13=#REF!,ROW(#REF!)-18,""),ROW()-(ROW()-AB$2))),"")</f>
        <v/>
      </c>
      <c r="AC13" s="152" t="str">
        <f t="array" ref="AC13">IFERROR(INDEX(#REF!,SMALL(IF('ТРС общая'!$B13=#REF!,ROW(#REF!)-18,""),ROW()-(ROW()-AC$2))),"")</f>
        <v/>
      </c>
      <c r="AD13" s="152" t="str">
        <f t="array" ref="AD13">IFERROR(INDEX(#REF!,SMALL(IF('ТРС общая'!$B13=#REF!,ROW(#REF!)-18,""),ROW()-(ROW()-AD$2))),"")</f>
        <v/>
      </c>
      <c r="AE13" s="152" t="str">
        <f t="array" ref="AE13">IFERROR(INDEX(#REF!,SMALL(IF('ТРС общая'!$B13=#REF!,ROW(#REF!)-18,""),ROW()-(ROW()-AE$2))),"")</f>
        <v/>
      </c>
      <c r="AF13" s="152" t="str">
        <f t="array" ref="AF13">IFERROR(INDEX(#REF!,SMALL(IF('ТРС общая'!$B13=#REF!,ROW(#REF!)-18,""),ROW()-(ROW()-AF$2))),"")</f>
        <v/>
      </c>
      <c r="AG13" s="152" t="str">
        <f t="array" ref="AG13">IFERROR(INDEX(#REF!,SMALL(IF('ТРС общая'!$B13=#REF!,ROW(#REF!)-18,""),ROW()-(ROW()-AG$2))),"")</f>
        <v/>
      </c>
      <c r="AH13" s="152" t="str">
        <f t="array" ref="AH13">IFERROR(INDEX(#REF!,SMALL(IF('ТРС общая'!$B13=#REF!,ROW(#REF!)-18,""),ROW()-(ROW()-AH$2))),"")</f>
        <v/>
      </c>
      <c r="AI13" s="152" t="str">
        <f t="array" ref="AI13">IFERROR(INDEX(#REF!,SMALL(IF('ТРС общая'!$B13=#REF!,ROW(#REF!)-18,""),ROW()-(ROW()-AI$2))),"")</f>
        <v/>
      </c>
      <c r="AJ13" s="152" t="str">
        <f t="array" ref="AJ13">IFERROR(INDEX(#REF!,SMALL(IF('ТРС общая'!$B13=#REF!,ROW(#REF!)-18,""),ROW()-(ROW()-AJ$2))),"")</f>
        <v/>
      </c>
      <c r="AK13" s="152" t="str">
        <f t="array" ref="AK13">IFERROR(INDEX(#REF!,SMALL(IF('ТРС общая'!$B13=#REF!,ROW(#REF!)-18,""),ROW()-(ROW()-AK$2))),"")</f>
        <v/>
      </c>
      <c r="AL13" s="152" t="str">
        <f t="array" ref="AL13">IFERROR(INDEX(#REF!,SMALL(IF('ТРС общая'!$B13=#REF!,ROW(#REF!)-18,""),ROW()-(ROW()-AL$2))),"")</f>
        <v/>
      </c>
      <c r="AM13" s="152" t="str">
        <f t="array" ref="AM13">IFERROR(INDEX(#REF!,SMALL(IF('ТРС общая'!$B13=#REF!,ROW(#REF!)-18,""),ROW()-(ROW()-AM$2))),"")</f>
        <v/>
      </c>
    </row>
    <row r="14" spans="2:39" s="124" customFormat="1" ht="101.5" customHeight="1" x14ac:dyDescent="0.55000000000000004">
      <c r="B14" s="155">
        <v>14</v>
      </c>
      <c r="C14" s="156">
        <f>COUNTIF('Расчет грейда'!$W:$W,'ТРС общая'!$B14)</f>
        <v>0</v>
      </c>
      <c r="D14" s="152" t="str">
        <f t="array" ref="D14">IFERROR(INDEX(#REF!,SMALL(IF('ТРС общая'!$B14=#REF!,ROW(#REF!)-18,""),ROW()-(ROW()-D$2))),"")</f>
        <v/>
      </c>
      <c r="E14" s="152" t="str">
        <f t="array" ref="E14">IFERROR(INDEX(#REF!,SMALL(IF('ТРС общая'!$B14=#REF!,ROW(#REF!)-18,""),ROW()-(ROW()-E$2))),"")</f>
        <v/>
      </c>
      <c r="F14" s="152" t="str">
        <f t="array" ref="F14">IFERROR(INDEX(#REF!,SMALL(IF('ТРС общая'!$B14=#REF!,ROW(#REF!)-18,""),ROW()-(ROW()-F$2))),"")</f>
        <v/>
      </c>
      <c r="G14" s="152" t="str">
        <f t="array" ref="G14">IFERROR(INDEX(#REF!,SMALL(IF('ТРС общая'!$B14=#REF!,ROW(#REF!)-18,""),ROW()-(ROW()-G$2))),"")</f>
        <v/>
      </c>
      <c r="H14" s="152" t="str">
        <f t="array" ref="H14">IFERROR(INDEX(#REF!,SMALL(IF('ТРС общая'!$B14=#REF!,ROW(#REF!)-18,""),ROW()-(ROW()-H$2))),"")</f>
        <v/>
      </c>
      <c r="I14" s="152" t="str">
        <f t="array" ref="I14">IFERROR(INDEX(#REF!,SMALL(IF('ТРС общая'!$B14=#REF!,ROW(#REF!)-18,""),ROW()-(ROW()-I$2))),"")</f>
        <v/>
      </c>
      <c r="J14" s="152" t="str">
        <f t="array" ref="J14">IFERROR(INDEX(#REF!,SMALL(IF('ТРС общая'!$B14=#REF!,ROW(#REF!)-18,""),ROW()-(ROW()-J$2))),"")</f>
        <v/>
      </c>
      <c r="K14" s="152" t="str">
        <f t="array" ref="K14">IFERROR(INDEX(#REF!,SMALL(IF('ТРС общая'!$B14=#REF!,ROW(#REF!)-18,""),ROW()-(ROW()-K$2))),"")</f>
        <v/>
      </c>
      <c r="L14" s="152" t="str">
        <f t="array" ref="L14">IFERROR(INDEX(#REF!,SMALL(IF('ТРС общая'!$B14=#REF!,ROW(#REF!)-18,""),ROW()-(ROW()-L$2))),"")</f>
        <v/>
      </c>
      <c r="M14" s="152" t="str">
        <f t="array" ref="M14">IFERROR(INDEX(#REF!,SMALL(IF('ТРС общая'!$B14=#REF!,ROW(#REF!)-18,""),ROW()-(ROW()-M$2))),"")</f>
        <v/>
      </c>
      <c r="N14" s="152" t="str">
        <f t="array" ref="N14">IFERROR(INDEX(#REF!,SMALL(IF('ТРС общая'!$B14=#REF!,ROW(#REF!)-18,""),ROW()-(ROW()-N$2))),"")</f>
        <v/>
      </c>
      <c r="O14" s="152" t="str">
        <f t="array" ref="O14">IFERROR(INDEX(#REF!,SMALL(IF('ТРС общая'!$B14=#REF!,ROW(#REF!)-18,""),ROW()-(ROW()-O$2))),"")</f>
        <v/>
      </c>
      <c r="P14" s="152" t="str">
        <f t="array" ref="P14">IFERROR(INDEX(#REF!,SMALL(IF('ТРС общая'!$B14=#REF!,ROW(#REF!)-18,""),ROW()-(ROW()-P$2))),"")</f>
        <v/>
      </c>
      <c r="Q14" s="152" t="str">
        <f t="array" ref="Q14">IFERROR(INDEX(#REF!,SMALL(IF('ТРС общая'!$B14=#REF!,ROW(#REF!)-18,""),ROW()-(ROW()-Q$2))),"")</f>
        <v/>
      </c>
      <c r="R14" s="152" t="str">
        <f t="array" ref="R14">IFERROR(INDEX(#REF!,SMALL(IF('ТРС общая'!$B14=#REF!,ROW(#REF!)-18,""),ROW()-(ROW()-R$2))),"")</f>
        <v/>
      </c>
      <c r="S14" s="152" t="str">
        <f t="array" ref="S14">IFERROR(INDEX(#REF!,SMALL(IF('ТРС общая'!$B14=#REF!,ROW(#REF!)-18,""),ROW()-(ROW()-S$2))),"")</f>
        <v/>
      </c>
      <c r="T14" s="152" t="str">
        <f t="array" ref="T14">IFERROR(INDEX(#REF!,SMALL(IF('ТРС общая'!$B14=#REF!,ROW(#REF!)-18,""),ROW()-(ROW()-T$2))),"")</f>
        <v/>
      </c>
      <c r="U14" s="152" t="str">
        <f t="array" ref="U14">IFERROR(INDEX(#REF!,SMALL(IF('ТРС общая'!$B14=#REF!,ROW(#REF!)-18,""),ROW()-(ROW()-U$2))),"")</f>
        <v/>
      </c>
      <c r="V14" s="152" t="str">
        <f t="array" ref="V14">IFERROR(INDEX(#REF!,SMALL(IF('ТРС общая'!$B14=#REF!,ROW(#REF!)-18,""),ROW()-(ROW()-V$2))),"")</f>
        <v/>
      </c>
      <c r="W14" s="152" t="str">
        <f t="array" ref="W14">IFERROR(INDEX(#REF!,SMALL(IF('ТРС общая'!$B14=#REF!,ROW(#REF!)-18,""),ROW()-(ROW()-W$2))),"")</f>
        <v/>
      </c>
      <c r="X14" s="152" t="str">
        <f t="array" ref="X14">IFERROR(INDEX(#REF!,SMALL(IF('ТРС общая'!$B14=#REF!,ROW(#REF!)-18,""),ROW()-(ROW()-X$2))),"")</f>
        <v/>
      </c>
      <c r="Y14" s="152" t="str">
        <f t="array" ref="Y14">IFERROR(INDEX(#REF!,SMALL(IF('ТРС общая'!$B14=#REF!,ROW(#REF!)-18,""),ROW()-(ROW()-Y$2))),"")</f>
        <v/>
      </c>
      <c r="Z14" s="152" t="str">
        <f t="array" ref="Z14">IFERROR(INDEX(#REF!,SMALL(IF('ТРС общая'!$B14=#REF!,ROW(#REF!)-18,""),ROW()-(ROW()-Z$2))),"")</f>
        <v/>
      </c>
      <c r="AA14" s="152" t="str">
        <f t="array" ref="AA14">IFERROR(INDEX(#REF!,SMALL(IF('ТРС общая'!$B14=#REF!,ROW(#REF!)-18,""),ROW()-(ROW()-AA$2))),"")</f>
        <v/>
      </c>
      <c r="AB14" s="152" t="str">
        <f t="array" ref="AB14">IFERROR(INDEX(#REF!,SMALL(IF('ТРС общая'!$B14=#REF!,ROW(#REF!)-18,""),ROW()-(ROW()-AB$2))),"")</f>
        <v/>
      </c>
      <c r="AC14" s="152" t="str">
        <f t="array" ref="AC14">IFERROR(INDEX(#REF!,SMALL(IF('ТРС общая'!$B14=#REF!,ROW(#REF!)-18,""),ROW()-(ROW()-AC$2))),"")</f>
        <v/>
      </c>
      <c r="AD14" s="152" t="str">
        <f t="array" ref="AD14">IFERROR(INDEX(#REF!,SMALL(IF('ТРС общая'!$B14=#REF!,ROW(#REF!)-18,""),ROW()-(ROW()-AD$2))),"")</f>
        <v/>
      </c>
      <c r="AE14" s="152" t="str">
        <f t="array" ref="AE14">IFERROR(INDEX(#REF!,SMALL(IF('ТРС общая'!$B14=#REF!,ROW(#REF!)-18,""),ROW()-(ROW()-AE$2))),"")</f>
        <v/>
      </c>
      <c r="AF14" s="152" t="str">
        <f t="array" ref="AF14">IFERROR(INDEX(#REF!,SMALL(IF('ТРС общая'!$B14=#REF!,ROW(#REF!)-18,""),ROW()-(ROW()-AF$2))),"")</f>
        <v/>
      </c>
      <c r="AG14" s="152" t="str">
        <f t="array" ref="AG14">IFERROR(INDEX(#REF!,SMALL(IF('ТРС общая'!$B14=#REF!,ROW(#REF!)-18,""),ROW()-(ROW()-AG$2))),"")</f>
        <v/>
      </c>
      <c r="AH14" s="152" t="str">
        <f t="array" ref="AH14">IFERROR(INDEX(#REF!,SMALL(IF('ТРС общая'!$B14=#REF!,ROW(#REF!)-18,""),ROW()-(ROW()-AH$2))),"")</f>
        <v/>
      </c>
      <c r="AI14" s="152" t="str">
        <f t="array" ref="AI14">IFERROR(INDEX(#REF!,SMALL(IF('ТРС общая'!$B14=#REF!,ROW(#REF!)-18,""),ROW()-(ROW()-AI$2))),"")</f>
        <v/>
      </c>
      <c r="AJ14" s="152" t="str">
        <f t="array" ref="AJ14">IFERROR(INDEX(#REF!,SMALL(IF('ТРС общая'!$B14=#REF!,ROW(#REF!)-18,""),ROW()-(ROW()-AJ$2))),"")</f>
        <v/>
      </c>
      <c r="AK14" s="152" t="str">
        <f t="array" ref="AK14">IFERROR(INDEX(#REF!,SMALL(IF('ТРС общая'!$B14=#REF!,ROW(#REF!)-18,""),ROW()-(ROW()-AK$2))),"")</f>
        <v/>
      </c>
      <c r="AL14" s="152" t="str">
        <f t="array" ref="AL14">IFERROR(INDEX(#REF!,SMALL(IF('ТРС общая'!$B14=#REF!,ROW(#REF!)-18,""),ROW()-(ROW()-AL$2))),"")</f>
        <v/>
      </c>
      <c r="AM14" s="152" t="str">
        <f t="array" ref="AM14">IFERROR(INDEX(#REF!,SMALL(IF('ТРС общая'!$B14=#REF!,ROW(#REF!)-18,""),ROW()-(ROW()-AM$2))),"")</f>
        <v/>
      </c>
    </row>
    <row r="15" spans="2:39" s="124" customFormat="1" ht="101.5" customHeight="1" x14ac:dyDescent="0.55000000000000004">
      <c r="B15" s="155">
        <v>13</v>
      </c>
      <c r="C15" s="156">
        <f>COUNTIF('Расчет грейда'!$W:$W,'ТРС общая'!$B15)</f>
        <v>0</v>
      </c>
      <c r="D15" s="152" t="str">
        <f t="array" ref="D15">IFERROR(INDEX(#REF!,SMALL(IF('ТРС общая'!$B15=#REF!,ROW(#REF!)-18,""),ROW()-(ROW()-D$2))),"")</f>
        <v/>
      </c>
      <c r="E15" s="152" t="str">
        <f t="array" ref="E15">IFERROR(INDEX(#REF!,SMALL(IF('ТРС общая'!$B15=#REF!,ROW(#REF!)-18,""),ROW()-(ROW()-E$2))),"")</f>
        <v/>
      </c>
      <c r="F15" s="152" t="str">
        <f t="array" ref="F15">IFERROR(INDEX(#REF!,SMALL(IF('ТРС общая'!$B15=#REF!,ROW(#REF!)-18,""),ROW()-(ROW()-F$2))),"")</f>
        <v/>
      </c>
      <c r="G15" s="152" t="str">
        <f t="array" ref="G15">IFERROR(INDEX(#REF!,SMALL(IF('ТРС общая'!$B15=#REF!,ROW(#REF!)-18,""),ROW()-(ROW()-G$2))),"")</f>
        <v/>
      </c>
      <c r="H15" s="152" t="str">
        <f t="array" ref="H15">IFERROR(INDEX(#REF!,SMALL(IF('ТРС общая'!$B15=#REF!,ROW(#REF!)-18,""),ROW()-(ROW()-H$2))),"")</f>
        <v/>
      </c>
      <c r="I15" s="152" t="str">
        <f t="array" ref="I15">IFERROR(INDEX(#REF!,SMALL(IF('ТРС общая'!$B15=#REF!,ROW(#REF!)-18,""),ROW()-(ROW()-I$2))),"")</f>
        <v/>
      </c>
      <c r="J15" s="152" t="str">
        <f t="array" ref="J15">IFERROR(INDEX(#REF!,SMALL(IF('ТРС общая'!$B15=#REF!,ROW(#REF!)-18,""),ROW()-(ROW()-J$2))),"")</f>
        <v/>
      </c>
      <c r="K15" s="152" t="str">
        <f t="array" ref="K15">IFERROR(INDEX(#REF!,SMALL(IF('ТРС общая'!$B15=#REF!,ROW(#REF!)-18,""),ROW()-(ROW()-K$2))),"")</f>
        <v/>
      </c>
      <c r="L15" s="152" t="str">
        <f t="array" ref="L15">IFERROR(INDEX(#REF!,SMALL(IF('ТРС общая'!$B15=#REF!,ROW(#REF!)-18,""),ROW()-(ROW()-L$2))),"")</f>
        <v/>
      </c>
      <c r="M15" s="152" t="str">
        <f t="array" ref="M15">IFERROR(INDEX(#REF!,SMALL(IF('ТРС общая'!$B15=#REF!,ROW(#REF!)-18,""),ROW()-(ROW()-M$2))),"")</f>
        <v/>
      </c>
      <c r="N15" s="152" t="str">
        <f t="array" ref="N15">IFERROR(INDEX(#REF!,SMALL(IF('ТРС общая'!$B15=#REF!,ROW(#REF!)-18,""),ROW()-(ROW()-N$2))),"")</f>
        <v/>
      </c>
      <c r="O15" s="152" t="str">
        <f t="array" ref="O15">IFERROR(INDEX(#REF!,SMALL(IF('ТРС общая'!$B15=#REF!,ROW(#REF!)-18,""),ROW()-(ROW()-O$2))),"")</f>
        <v/>
      </c>
      <c r="P15" s="152" t="str">
        <f t="array" ref="P15">IFERROR(INDEX(#REF!,SMALL(IF('ТРС общая'!$B15=#REF!,ROW(#REF!)-18,""),ROW()-(ROW()-P$2))),"")</f>
        <v/>
      </c>
      <c r="Q15" s="152" t="str">
        <f t="array" ref="Q15">IFERROR(INDEX(#REF!,SMALL(IF('ТРС общая'!$B15=#REF!,ROW(#REF!)-18,""),ROW()-(ROW()-Q$2))),"")</f>
        <v/>
      </c>
      <c r="R15" s="152" t="str">
        <f t="array" ref="R15">IFERROR(INDEX(#REF!,SMALL(IF('ТРС общая'!$B15=#REF!,ROW(#REF!)-18,""),ROW()-(ROW()-R$2))),"")</f>
        <v/>
      </c>
      <c r="S15" s="152" t="str">
        <f t="array" ref="S15">IFERROR(INDEX(#REF!,SMALL(IF('ТРС общая'!$B15=#REF!,ROW(#REF!)-18,""),ROW()-(ROW()-S$2))),"")</f>
        <v/>
      </c>
      <c r="T15" s="152" t="str">
        <f t="array" ref="T15">IFERROR(INDEX(#REF!,SMALL(IF('ТРС общая'!$B15=#REF!,ROW(#REF!)-18,""),ROW()-(ROW()-T$2))),"")</f>
        <v/>
      </c>
      <c r="U15" s="152" t="str">
        <f t="array" ref="U15">IFERROR(INDEX(#REF!,SMALL(IF('ТРС общая'!$B15=#REF!,ROW(#REF!)-18,""),ROW()-(ROW()-U$2))),"")</f>
        <v/>
      </c>
      <c r="V15" s="152" t="str">
        <f t="array" ref="V15">IFERROR(INDEX(#REF!,SMALL(IF('ТРС общая'!$B15=#REF!,ROW(#REF!)-18,""),ROW()-(ROW()-V$2))),"")</f>
        <v/>
      </c>
      <c r="W15" s="152" t="str">
        <f t="array" ref="W15">IFERROR(INDEX(#REF!,SMALL(IF('ТРС общая'!$B15=#REF!,ROW(#REF!)-18,""),ROW()-(ROW()-W$2))),"")</f>
        <v/>
      </c>
      <c r="X15" s="152" t="str">
        <f t="array" ref="X15">IFERROR(INDEX(#REF!,SMALL(IF('ТРС общая'!$B15=#REF!,ROW(#REF!)-18,""),ROW()-(ROW()-X$2))),"")</f>
        <v/>
      </c>
      <c r="Y15" s="152" t="str">
        <f t="array" ref="Y15">IFERROR(INDEX(#REF!,SMALL(IF('ТРС общая'!$B15=#REF!,ROW(#REF!)-18,""),ROW()-(ROW()-Y$2))),"")</f>
        <v/>
      </c>
      <c r="Z15" s="152" t="str">
        <f t="array" ref="Z15">IFERROR(INDEX(#REF!,SMALL(IF('ТРС общая'!$B15=#REF!,ROW(#REF!)-18,""),ROW()-(ROW()-Z$2))),"")</f>
        <v/>
      </c>
      <c r="AA15" s="152" t="str">
        <f t="array" ref="AA15">IFERROR(INDEX(#REF!,SMALL(IF('ТРС общая'!$B15=#REF!,ROW(#REF!)-18,""),ROW()-(ROW()-AA$2))),"")</f>
        <v/>
      </c>
      <c r="AB15" s="152" t="str">
        <f t="array" ref="AB15">IFERROR(INDEX(#REF!,SMALL(IF('ТРС общая'!$B15=#REF!,ROW(#REF!)-18,""),ROW()-(ROW()-AB$2))),"")</f>
        <v/>
      </c>
      <c r="AC15" s="152" t="str">
        <f t="array" ref="AC15">IFERROR(INDEX(#REF!,SMALL(IF('ТРС общая'!$B15=#REF!,ROW(#REF!)-18,""),ROW()-(ROW()-AC$2))),"")</f>
        <v/>
      </c>
      <c r="AD15" s="152" t="str">
        <f t="array" ref="AD15">IFERROR(INDEX(#REF!,SMALL(IF('ТРС общая'!$B15=#REF!,ROW(#REF!)-18,""),ROW()-(ROW()-AD$2))),"")</f>
        <v/>
      </c>
      <c r="AE15" s="152" t="str">
        <f t="array" ref="AE15">IFERROR(INDEX(#REF!,SMALL(IF('ТРС общая'!$B15=#REF!,ROW(#REF!)-18,""),ROW()-(ROW()-AE$2))),"")</f>
        <v/>
      </c>
      <c r="AF15" s="152" t="str">
        <f t="array" ref="AF15">IFERROR(INDEX(#REF!,SMALL(IF('ТРС общая'!$B15=#REF!,ROW(#REF!)-18,""),ROW()-(ROW()-AF$2))),"")</f>
        <v/>
      </c>
      <c r="AG15" s="152" t="str">
        <f t="array" ref="AG15">IFERROR(INDEX(#REF!,SMALL(IF('ТРС общая'!$B15=#REF!,ROW(#REF!)-18,""),ROW()-(ROW()-AG$2))),"")</f>
        <v/>
      </c>
      <c r="AH15" s="152" t="str">
        <f t="array" ref="AH15">IFERROR(INDEX(#REF!,SMALL(IF('ТРС общая'!$B15=#REF!,ROW(#REF!)-18,""),ROW()-(ROW()-AH$2))),"")</f>
        <v/>
      </c>
      <c r="AI15" s="152" t="str">
        <f t="array" ref="AI15">IFERROR(INDEX(#REF!,SMALL(IF('ТРС общая'!$B15=#REF!,ROW(#REF!)-18,""),ROW()-(ROW()-AI$2))),"")</f>
        <v/>
      </c>
      <c r="AJ15" s="152" t="str">
        <f t="array" ref="AJ15">IFERROR(INDEX(#REF!,SMALL(IF('ТРС общая'!$B15=#REF!,ROW(#REF!)-18,""),ROW()-(ROW()-AJ$2))),"")</f>
        <v/>
      </c>
      <c r="AK15" s="152" t="str">
        <f t="array" ref="AK15">IFERROR(INDEX(#REF!,SMALL(IF('ТРС общая'!$B15=#REF!,ROW(#REF!)-18,""),ROW()-(ROW()-AK$2))),"")</f>
        <v/>
      </c>
      <c r="AL15" s="152" t="str">
        <f t="array" ref="AL15">IFERROR(INDEX(#REF!,SMALL(IF('ТРС общая'!$B15=#REF!,ROW(#REF!)-18,""),ROW()-(ROW()-AL$2))),"")</f>
        <v/>
      </c>
      <c r="AM15" s="152" t="str">
        <f t="array" ref="AM15">IFERROR(INDEX(#REF!,SMALL(IF('ТРС общая'!$B15=#REF!,ROW(#REF!)-18,""),ROW()-(ROW()-AM$2))),"")</f>
        <v/>
      </c>
    </row>
    <row r="16" spans="2:39" s="124" customFormat="1" ht="101.5" customHeight="1" x14ac:dyDescent="0.55000000000000004">
      <c r="B16" s="155">
        <v>12</v>
      </c>
      <c r="C16" s="156">
        <f>COUNTIF('Расчет грейда'!$W:$W,'ТРС общая'!$B16)</f>
        <v>0</v>
      </c>
      <c r="D16" s="152" t="str">
        <f t="array" ref="D16">IFERROR(INDEX(#REF!,SMALL(IF('ТРС общая'!$B16=#REF!,ROW(#REF!)-18,""),ROW()-(ROW()-D$2))),"")</f>
        <v/>
      </c>
      <c r="E16" s="152" t="str">
        <f t="array" ref="E16">IFERROR(INDEX(#REF!,SMALL(IF('ТРС общая'!$B16=#REF!,ROW(#REF!)-18,""),ROW()-(ROW()-E$2))),"")</f>
        <v/>
      </c>
      <c r="F16" s="152" t="str">
        <f t="array" ref="F16">IFERROR(INDEX(#REF!,SMALL(IF('ТРС общая'!$B16=#REF!,ROW(#REF!)-18,""),ROW()-(ROW()-F$2))),"")</f>
        <v/>
      </c>
      <c r="G16" s="152" t="str">
        <f t="array" ref="G16">IFERROR(INDEX(#REF!,SMALL(IF('ТРС общая'!$B16=#REF!,ROW(#REF!)-18,""),ROW()-(ROW()-G$2))),"")</f>
        <v/>
      </c>
      <c r="H16" s="152" t="str">
        <f t="array" ref="H16">IFERROR(INDEX(#REF!,SMALL(IF('ТРС общая'!$B16=#REF!,ROW(#REF!)-18,""),ROW()-(ROW()-H$2))),"")</f>
        <v/>
      </c>
      <c r="I16" s="152" t="str">
        <f t="array" ref="I16">IFERROR(INDEX(#REF!,SMALL(IF('ТРС общая'!$B16=#REF!,ROW(#REF!)-18,""),ROW()-(ROW()-I$2))),"")</f>
        <v/>
      </c>
      <c r="J16" s="152" t="str">
        <f t="array" ref="J16">IFERROR(INDEX(#REF!,SMALL(IF('ТРС общая'!$B16=#REF!,ROW(#REF!)-18,""),ROW()-(ROW()-J$2))),"")</f>
        <v/>
      </c>
      <c r="K16" s="152" t="str">
        <f t="array" ref="K16">IFERROR(INDEX(#REF!,SMALL(IF('ТРС общая'!$B16=#REF!,ROW(#REF!)-18,""),ROW()-(ROW()-K$2))),"")</f>
        <v/>
      </c>
      <c r="L16" s="152" t="str">
        <f t="array" ref="L16">IFERROR(INDEX(#REF!,SMALL(IF('ТРС общая'!$B16=#REF!,ROW(#REF!)-18,""),ROW()-(ROW()-L$2))),"")</f>
        <v/>
      </c>
      <c r="M16" s="152" t="str">
        <f t="array" ref="M16">IFERROR(INDEX(#REF!,SMALL(IF('ТРС общая'!$B16=#REF!,ROW(#REF!)-18,""),ROW()-(ROW()-M$2))),"")</f>
        <v/>
      </c>
      <c r="N16" s="152" t="str">
        <f t="array" ref="N16">IFERROR(INDEX(#REF!,SMALL(IF('ТРС общая'!$B16=#REF!,ROW(#REF!)-18,""),ROW()-(ROW()-N$2))),"")</f>
        <v/>
      </c>
      <c r="O16" s="152" t="str">
        <f t="array" ref="O16">IFERROR(INDEX(#REF!,SMALL(IF('ТРС общая'!$B16=#REF!,ROW(#REF!)-18,""),ROW()-(ROW()-O$2))),"")</f>
        <v/>
      </c>
      <c r="P16" s="152" t="str">
        <f t="array" ref="P16">IFERROR(INDEX(#REF!,SMALL(IF('ТРС общая'!$B16=#REF!,ROW(#REF!)-18,""),ROW()-(ROW()-P$2))),"")</f>
        <v/>
      </c>
      <c r="Q16" s="152" t="str">
        <f t="array" ref="Q16">IFERROR(INDEX(#REF!,SMALL(IF('ТРС общая'!$B16=#REF!,ROW(#REF!)-18,""),ROW()-(ROW()-Q$2))),"")</f>
        <v/>
      </c>
      <c r="R16" s="152" t="str">
        <f t="array" ref="R16">IFERROR(INDEX(#REF!,SMALL(IF('ТРС общая'!$B16=#REF!,ROW(#REF!)-18,""),ROW()-(ROW()-R$2))),"")</f>
        <v/>
      </c>
      <c r="S16" s="152" t="str">
        <f t="array" ref="S16">IFERROR(INDEX(#REF!,SMALL(IF('ТРС общая'!$B16=#REF!,ROW(#REF!)-18,""),ROW()-(ROW()-S$2))),"")</f>
        <v/>
      </c>
      <c r="T16" s="152" t="str">
        <f t="array" ref="T16">IFERROR(INDEX(#REF!,SMALL(IF('ТРС общая'!$B16=#REF!,ROW(#REF!)-18,""),ROW()-(ROW()-T$2))),"")</f>
        <v/>
      </c>
      <c r="U16" s="152" t="str">
        <f t="array" ref="U16">IFERROR(INDEX(#REF!,SMALL(IF('ТРС общая'!$B16=#REF!,ROW(#REF!)-18,""),ROW()-(ROW()-U$2))),"")</f>
        <v/>
      </c>
      <c r="V16" s="152" t="str">
        <f t="array" ref="V16">IFERROR(INDEX(#REF!,SMALL(IF('ТРС общая'!$B16=#REF!,ROW(#REF!)-18,""),ROW()-(ROW()-V$2))),"")</f>
        <v/>
      </c>
      <c r="W16" s="152" t="str">
        <f t="array" ref="W16">IFERROR(INDEX(#REF!,SMALL(IF('ТРС общая'!$B16=#REF!,ROW(#REF!)-18,""),ROW()-(ROW()-W$2))),"")</f>
        <v/>
      </c>
      <c r="X16" s="152" t="str">
        <f t="array" ref="X16">IFERROR(INDEX(#REF!,SMALL(IF('ТРС общая'!$B16=#REF!,ROW(#REF!)-18,""),ROW()-(ROW()-X$2))),"")</f>
        <v/>
      </c>
      <c r="Y16" s="152" t="str">
        <f t="array" ref="Y16">IFERROR(INDEX(#REF!,SMALL(IF('ТРС общая'!$B16=#REF!,ROW(#REF!)-18,""),ROW()-(ROW()-Y$2))),"")</f>
        <v/>
      </c>
      <c r="Z16" s="152" t="str">
        <f t="array" ref="Z16">IFERROR(INDEX(#REF!,SMALL(IF('ТРС общая'!$B16=#REF!,ROW(#REF!)-18,""),ROW()-(ROW()-Z$2))),"")</f>
        <v/>
      </c>
      <c r="AA16" s="152" t="str">
        <f t="array" ref="AA16">IFERROR(INDEX(#REF!,SMALL(IF('ТРС общая'!$B16=#REF!,ROW(#REF!)-18,""),ROW()-(ROW()-AA$2))),"")</f>
        <v/>
      </c>
      <c r="AB16" s="152" t="str">
        <f t="array" ref="AB16">IFERROR(INDEX(#REF!,SMALL(IF('ТРС общая'!$B16=#REF!,ROW(#REF!)-18,""),ROW()-(ROW()-AB$2))),"")</f>
        <v/>
      </c>
      <c r="AC16" s="152" t="str">
        <f t="array" ref="AC16">IFERROR(INDEX(#REF!,SMALL(IF('ТРС общая'!$B16=#REF!,ROW(#REF!)-18,""),ROW()-(ROW()-AC$2))),"")</f>
        <v/>
      </c>
      <c r="AD16" s="152" t="str">
        <f t="array" ref="AD16">IFERROR(INDEX(#REF!,SMALL(IF('ТРС общая'!$B16=#REF!,ROW(#REF!)-18,""),ROW()-(ROW()-AD$2))),"")</f>
        <v/>
      </c>
      <c r="AE16" s="152" t="str">
        <f t="array" ref="AE16">IFERROR(INDEX(#REF!,SMALL(IF('ТРС общая'!$B16=#REF!,ROW(#REF!)-18,""),ROW()-(ROW()-AE$2))),"")</f>
        <v/>
      </c>
      <c r="AF16" s="152" t="str">
        <f t="array" ref="AF16">IFERROR(INDEX(#REF!,SMALL(IF('ТРС общая'!$B16=#REF!,ROW(#REF!)-18,""),ROW()-(ROW()-AF$2))),"")</f>
        <v/>
      </c>
      <c r="AG16" s="152" t="str">
        <f t="array" ref="AG16">IFERROR(INDEX(#REF!,SMALL(IF('ТРС общая'!$B16=#REF!,ROW(#REF!)-18,""),ROW()-(ROW()-AG$2))),"")</f>
        <v/>
      </c>
      <c r="AH16" s="152" t="str">
        <f t="array" ref="AH16">IFERROR(INDEX(#REF!,SMALL(IF('ТРС общая'!$B16=#REF!,ROW(#REF!)-18,""),ROW()-(ROW()-AH$2))),"")</f>
        <v/>
      </c>
      <c r="AI16" s="152" t="str">
        <f t="array" ref="AI16">IFERROR(INDEX(#REF!,SMALL(IF('ТРС общая'!$B16=#REF!,ROW(#REF!)-18,""),ROW()-(ROW()-AI$2))),"")</f>
        <v/>
      </c>
      <c r="AJ16" s="152" t="str">
        <f t="array" ref="AJ16">IFERROR(INDEX(#REF!,SMALL(IF('ТРС общая'!$B16=#REF!,ROW(#REF!)-18,""),ROW()-(ROW()-AJ$2))),"")</f>
        <v/>
      </c>
      <c r="AK16" s="152" t="str">
        <f t="array" ref="AK16">IFERROR(INDEX(#REF!,SMALL(IF('ТРС общая'!$B16=#REF!,ROW(#REF!)-18,""),ROW()-(ROW()-AK$2))),"")</f>
        <v/>
      </c>
      <c r="AL16" s="152" t="str">
        <f t="array" ref="AL16">IFERROR(INDEX(#REF!,SMALL(IF('ТРС общая'!$B16=#REF!,ROW(#REF!)-18,""),ROW()-(ROW()-AL$2))),"")</f>
        <v/>
      </c>
      <c r="AM16" s="152" t="str">
        <f t="array" ref="AM16">IFERROR(INDEX(#REF!,SMALL(IF('ТРС общая'!$B16=#REF!,ROW(#REF!)-18,""),ROW()-(ROW()-AM$2))),"")</f>
        <v/>
      </c>
    </row>
    <row r="17" spans="2:39" s="124" customFormat="1" ht="101.5" customHeight="1" x14ac:dyDescent="0.55000000000000004">
      <c r="B17" s="155">
        <v>11</v>
      </c>
      <c r="C17" s="156">
        <f>COUNTIF('Расчет грейда'!$W:$W,'ТРС общая'!$B17)</f>
        <v>0</v>
      </c>
      <c r="D17" s="152" t="str">
        <f t="array" ref="D17">IFERROR(INDEX(#REF!,SMALL(IF('ТРС общая'!$B17=#REF!,ROW(#REF!)-18,""),ROW()-(ROW()-D$2))),"")</f>
        <v/>
      </c>
      <c r="E17" s="152" t="str">
        <f t="array" ref="E17">IFERROR(INDEX(#REF!,SMALL(IF('ТРС общая'!$B17=#REF!,ROW(#REF!)-18,""),ROW()-(ROW()-E$2))),"")</f>
        <v/>
      </c>
      <c r="F17" s="152" t="str">
        <f t="array" ref="F17">IFERROR(INDEX(#REF!,SMALL(IF('ТРС общая'!$B17=#REF!,ROW(#REF!)-18,""),ROW()-(ROW()-F$2))),"")</f>
        <v/>
      </c>
      <c r="G17" s="152" t="str">
        <f t="array" ref="G17">IFERROR(INDEX(#REF!,SMALL(IF('ТРС общая'!$B17=#REF!,ROW(#REF!)-18,""),ROW()-(ROW()-G$2))),"")</f>
        <v/>
      </c>
      <c r="H17" s="152" t="str">
        <f t="array" ref="H17">IFERROR(INDEX(#REF!,SMALL(IF('ТРС общая'!$B17=#REF!,ROW(#REF!)-18,""),ROW()-(ROW()-H$2))),"")</f>
        <v/>
      </c>
      <c r="I17" s="152" t="str">
        <f t="array" ref="I17">IFERROR(INDEX(#REF!,SMALL(IF('ТРС общая'!$B17=#REF!,ROW(#REF!)-18,""),ROW()-(ROW()-I$2))),"")</f>
        <v/>
      </c>
      <c r="J17" s="152" t="str">
        <f t="array" ref="J17">IFERROR(INDEX(#REF!,SMALL(IF('ТРС общая'!$B17=#REF!,ROW(#REF!)-18,""),ROW()-(ROW()-J$2))),"")</f>
        <v/>
      </c>
      <c r="K17" s="152" t="str">
        <f t="array" ref="K17">IFERROR(INDEX(#REF!,SMALL(IF('ТРС общая'!$B17=#REF!,ROW(#REF!)-18,""),ROW()-(ROW()-K$2))),"")</f>
        <v/>
      </c>
      <c r="L17" s="152" t="str">
        <f t="array" ref="L17">IFERROR(INDEX(#REF!,SMALL(IF('ТРС общая'!$B17=#REF!,ROW(#REF!)-18,""),ROW()-(ROW()-L$2))),"")</f>
        <v/>
      </c>
      <c r="M17" s="152" t="str">
        <f t="array" ref="M17">IFERROR(INDEX(#REF!,SMALL(IF('ТРС общая'!$B17=#REF!,ROW(#REF!)-18,""),ROW()-(ROW()-M$2))),"")</f>
        <v/>
      </c>
      <c r="N17" s="152" t="str">
        <f t="array" ref="N17">IFERROR(INDEX(#REF!,SMALL(IF('ТРС общая'!$B17=#REF!,ROW(#REF!)-18,""),ROW()-(ROW()-N$2))),"")</f>
        <v/>
      </c>
      <c r="O17" s="152" t="str">
        <f t="array" ref="O17">IFERROR(INDEX(#REF!,SMALL(IF('ТРС общая'!$B17=#REF!,ROW(#REF!)-18,""),ROW()-(ROW()-O$2))),"")</f>
        <v/>
      </c>
      <c r="P17" s="152" t="str">
        <f t="array" ref="P17">IFERROR(INDEX(#REF!,SMALL(IF('ТРС общая'!$B17=#REF!,ROW(#REF!)-18,""),ROW()-(ROW()-P$2))),"")</f>
        <v/>
      </c>
      <c r="Q17" s="152" t="str">
        <f t="array" ref="Q17">IFERROR(INDEX(#REF!,SMALL(IF('ТРС общая'!$B17=#REF!,ROW(#REF!)-18,""),ROW()-(ROW()-Q$2))),"")</f>
        <v/>
      </c>
      <c r="R17" s="152" t="str">
        <f t="array" ref="R17">IFERROR(INDEX(#REF!,SMALL(IF('ТРС общая'!$B17=#REF!,ROW(#REF!)-18,""),ROW()-(ROW()-R$2))),"")</f>
        <v/>
      </c>
      <c r="S17" s="152" t="str">
        <f t="array" ref="S17">IFERROR(INDEX(#REF!,SMALL(IF('ТРС общая'!$B17=#REF!,ROW(#REF!)-18,""),ROW()-(ROW()-S$2))),"")</f>
        <v/>
      </c>
      <c r="T17" s="152" t="str">
        <f t="array" ref="T17">IFERROR(INDEX(#REF!,SMALL(IF('ТРС общая'!$B17=#REF!,ROW(#REF!)-18,""),ROW()-(ROW()-T$2))),"")</f>
        <v/>
      </c>
      <c r="U17" s="152" t="str">
        <f t="array" ref="U17">IFERROR(INDEX(#REF!,SMALL(IF('ТРС общая'!$B17=#REF!,ROW(#REF!)-18,""),ROW()-(ROW()-U$2))),"")</f>
        <v/>
      </c>
      <c r="V17" s="152" t="str">
        <f t="array" ref="V17">IFERROR(INDEX(#REF!,SMALL(IF('ТРС общая'!$B17=#REF!,ROW(#REF!)-18,""),ROW()-(ROW()-V$2))),"")</f>
        <v/>
      </c>
      <c r="W17" s="152" t="str">
        <f t="array" ref="W17">IFERROR(INDEX(#REF!,SMALL(IF('ТРС общая'!$B17=#REF!,ROW(#REF!)-18,""),ROW()-(ROW()-W$2))),"")</f>
        <v/>
      </c>
      <c r="X17" s="152" t="str">
        <f t="array" ref="X17">IFERROR(INDEX(#REF!,SMALL(IF('ТРС общая'!$B17=#REF!,ROW(#REF!)-18,""),ROW()-(ROW()-X$2))),"")</f>
        <v/>
      </c>
      <c r="Y17" s="152" t="str">
        <f t="array" ref="Y17">IFERROR(INDEX(#REF!,SMALL(IF('ТРС общая'!$B17=#REF!,ROW(#REF!)-18,""),ROW()-(ROW()-Y$2))),"")</f>
        <v/>
      </c>
      <c r="Z17" s="152" t="str">
        <f t="array" ref="Z17">IFERROR(INDEX(#REF!,SMALL(IF('ТРС общая'!$B17=#REF!,ROW(#REF!)-18,""),ROW()-(ROW()-Z$2))),"")</f>
        <v/>
      </c>
      <c r="AA17" s="152" t="str">
        <f t="array" ref="AA17">IFERROR(INDEX(#REF!,SMALL(IF('ТРС общая'!$B17=#REF!,ROW(#REF!)-18,""),ROW()-(ROW()-AA$2))),"")</f>
        <v/>
      </c>
      <c r="AB17" s="152" t="str">
        <f t="array" ref="AB17">IFERROR(INDEX(#REF!,SMALL(IF('ТРС общая'!$B17=#REF!,ROW(#REF!)-18,""),ROW()-(ROW()-AB$2))),"")</f>
        <v/>
      </c>
      <c r="AC17" s="152" t="str">
        <f t="array" ref="AC17">IFERROR(INDEX(#REF!,SMALL(IF('ТРС общая'!$B17=#REF!,ROW(#REF!)-18,""),ROW()-(ROW()-AC$2))),"")</f>
        <v/>
      </c>
      <c r="AD17" s="152" t="str">
        <f t="array" ref="AD17">IFERROR(INDEX(#REF!,SMALL(IF('ТРС общая'!$B17=#REF!,ROW(#REF!)-18,""),ROW()-(ROW()-AD$2))),"")</f>
        <v/>
      </c>
      <c r="AE17" s="152" t="str">
        <f t="array" ref="AE17">IFERROR(INDEX(#REF!,SMALL(IF('ТРС общая'!$B17=#REF!,ROW(#REF!)-18,""),ROW()-(ROW()-AE$2))),"")</f>
        <v/>
      </c>
      <c r="AF17" s="152" t="str">
        <f t="array" ref="AF17">IFERROR(INDEX(#REF!,SMALL(IF('ТРС общая'!$B17=#REF!,ROW(#REF!)-18,""),ROW()-(ROW()-AF$2))),"")</f>
        <v/>
      </c>
      <c r="AG17" s="152" t="str">
        <f t="array" ref="AG17">IFERROR(INDEX(#REF!,SMALL(IF('ТРС общая'!$B17=#REF!,ROW(#REF!)-18,""),ROW()-(ROW()-AG$2))),"")</f>
        <v/>
      </c>
      <c r="AH17" s="152" t="str">
        <f t="array" ref="AH17">IFERROR(INDEX(#REF!,SMALL(IF('ТРС общая'!$B17=#REF!,ROW(#REF!)-18,""),ROW()-(ROW()-AH$2))),"")</f>
        <v/>
      </c>
      <c r="AI17" s="152" t="str">
        <f t="array" ref="AI17">IFERROR(INDEX(#REF!,SMALL(IF('ТРС общая'!$B17=#REF!,ROW(#REF!)-18,""),ROW()-(ROW()-AI$2))),"")</f>
        <v/>
      </c>
      <c r="AJ17" s="152" t="str">
        <f t="array" ref="AJ17">IFERROR(INDEX(#REF!,SMALL(IF('ТРС общая'!$B17=#REF!,ROW(#REF!)-18,""),ROW()-(ROW()-AJ$2))),"")</f>
        <v/>
      </c>
      <c r="AK17" s="152" t="str">
        <f t="array" ref="AK17">IFERROR(INDEX(#REF!,SMALL(IF('ТРС общая'!$B17=#REF!,ROW(#REF!)-18,""),ROW()-(ROW()-AK$2))),"")</f>
        <v/>
      </c>
      <c r="AL17" s="152" t="str">
        <f t="array" ref="AL17">IFERROR(INDEX(#REF!,SMALL(IF('ТРС общая'!$B17=#REF!,ROW(#REF!)-18,""),ROW()-(ROW()-AL$2))),"")</f>
        <v/>
      </c>
      <c r="AM17" s="152" t="str">
        <f t="array" ref="AM17">IFERROR(INDEX(#REF!,SMALL(IF('ТРС общая'!$B17=#REF!,ROW(#REF!)-18,""),ROW()-(ROW()-AM$2))),"")</f>
        <v/>
      </c>
    </row>
    <row r="18" spans="2:39" s="124" customFormat="1" ht="101.5" customHeight="1" x14ac:dyDescent="0.55000000000000004">
      <c r="B18" s="155">
        <v>10</v>
      </c>
      <c r="C18" s="156">
        <f>COUNTIF('Расчет грейда'!$W:$W,'ТРС общая'!$B18)</f>
        <v>0</v>
      </c>
      <c r="D18" s="152" t="str">
        <f t="array" ref="D18">IFERROR(INDEX(#REF!,SMALL(IF('ТРС общая'!$B18=#REF!,ROW(#REF!)-18,""),ROW()-(ROW()-D$2))),"")</f>
        <v/>
      </c>
      <c r="E18" s="152" t="str">
        <f t="array" ref="E18">IFERROR(INDEX(#REF!,SMALL(IF('ТРС общая'!$B18=#REF!,ROW(#REF!)-18,""),ROW()-(ROW()-E$2))),"")</f>
        <v/>
      </c>
      <c r="F18" s="152" t="str">
        <f t="array" ref="F18">IFERROR(INDEX(#REF!,SMALL(IF('ТРС общая'!$B18=#REF!,ROW(#REF!)-18,""),ROW()-(ROW()-F$2))),"")</f>
        <v/>
      </c>
      <c r="G18" s="152" t="str">
        <f t="array" ref="G18">IFERROR(INDEX(#REF!,SMALL(IF('ТРС общая'!$B18=#REF!,ROW(#REF!)-18,""),ROW()-(ROW()-G$2))),"")</f>
        <v/>
      </c>
      <c r="H18" s="152" t="str">
        <f t="array" ref="H18">IFERROR(INDEX(#REF!,SMALL(IF('ТРС общая'!$B18=#REF!,ROW(#REF!)-18,""),ROW()-(ROW()-H$2))),"")</f>
        <v/>
      </c>
      <c r="I18" s="152" t="str">
        <f t="array" ref="I18">IFERROR(INDEX(#REF!,SMALL(IF('ТРС общая'!$B18=#REF!,ROW(#REF!)-18,""),ROW()-(ROW()-I$2))),"")</f>
        <v/>
      </c>
      <c r="J18" s="152" t="str">
        <f t="array" ref="J18">IFERROR(INDEX(#REF!,SMALL(IF('ТРС общая'!$B18=#REF!,ROW(#REF!)-18,""),ROW()-(ROW()-J$2))),"")</f>
        <v/>
      </c>
      <c r="K18" s="152" t="str">
        <f t="array" ref="K18">IFERROR(INDEX(#REF!,SMALL(IF('ТРС общая'!$B18=#REF!,ROW(#REF!)-18,""),ROW()-(ROW()-K$2))),"")</f>
        <v/>
      </c>
      <c r="L18" s="152" t="str">
        <f t="array" ref="L18">IFERROR(INDEX(#REF!,SMALL(IF('ТРС общая'!$B18=#REF!,ROW(#REF!)-18,""),ROW()-(ROW()-L$2))),"")</f>
        <v/>
      </c>
      <c r="M18" s="152" t="str">
        <f t="array" ref="M18">IFERROR(INDEX(#REF!,SMALL(IF('ТРС общая'!$B18=#REF!,ROW(#REF!)-18,""),ROW()-(ROW()-M$2))),"")</f>
        <v/>
      </c>
      <c r="N18" s="152" t="str">
        <f t="array" ref="N18">IFERROR(INDEX(#REF!,SMALL(IF('ТРС общая'!$B18=#REF!,ROW(#REF!)-18,""),ROW()-(ROW()-N$2))),"")</f>
        <v/>
      </c>
      <c r="O18" s="152" t="str">
        <f t="array" ref="O18">IFERROR(INDEX(#REF!,SMALL(IF('ТРС общая'!$B18=#REF!,ROW(#REF!)-18,""),ROW()-(ROW()-O$2))),"")</f>
        <v/>
      </c>
      <c r="P18" s="152" t="str">
        <f t="array" ref="P18">IFERROR(INDEX(#REF!,SMALL(IF('ТРС общая'!$B18=#REF!,ROW(#REF!)-18,""),ROW()-(ROW()-P$2))),"")</f>
        <v/>
      </c>
      <c r="Q18" s="152" t="str">
        <f t="array" ref="Q18">IFERROR(INDEX(#REF!,SMALL(IF('ТРС общая'!$B18=#REF!,ROW(#REF!)-18,""),ROW()-(ROW()-Q$2))),"")</f>
        <v/>
      </c>
      <c r="R18" s="152" t="str">
        <f t="array" ref="R18">IFERROR(INDEX(#REF!,SMALL(IF('ТРС общая'!$B18=#REF!,ROW(#REF!)-18,""),ROW()-(ROW()-R$2))),"")</f>
        <v/>
      </c>
      <c r="S18" s="152" t="str">
        <f t="array" ref="S18">IFERROR(INDEX(#REF!,SMALL(IF('ТРС общая'!$B18=#REF!,ROW(#REF!)-18,""),ROW()-(ROW()-S$2))),"")</f>
        <v/>
      </c>
      <c r="T18" s="152" t="str">
        <f t="array" ref="T18">IFERROR(INDEX(#REF!,SMALL(IF('ТРС общая'!$B18=#REF!,ROW(#REF!)-18,""),ROW()-(ROW()-T$2))),"")</f>
        <v/>
      </c>
      <c r="U18" s="152" t="str">
        <f t="array" ref="U18">IFERROR(INDEX(#REF!,SMALL(IF('ТРС общая'!$B18=#REF!,ROW(#REF!)-18,""),ROW()-(ROW()-U$2))),"")</f>
        <v/>
      </c>
      <c r="V18" s="152" t="str">
        <f t="array" ref="V18">IFERROR(INDEX(#REF!,SMALL(IF('ТРС общая'!$B18=#REF!,ROW(#REF!)-18,""),ROW()-(ROW()-V$2))),"")</f>
        <v/>
      </c>
      <c r="W18" s="152" t="str">
        <f t="array" ref="W18">IFERROR(INDEX(#REF!,SMALL(IF('ТРС общая'!$B18=#REF!,ROW(#REF!)-18,""),ROW()-(ROW()-W$2))),"")</f>
        <v/>
      </c>
      <c r="X18" s="152" t="str">
        <f t="array" ref="X18">IFERROR(INDEX(#REF!,SMALL(IF('ТРС общая'!$B18=#REF!,ROW(#REF!)-18,""),ROW()-(ROW()-X$2))),"")</f>
        <v/>
      </c>
      <c r="Y18" s="152" t="str">
        <f t="array" ref="Y18">IFERROR(INDEX(#REF!,SMALL(IF('ТРС общая'!$B18=#REF!,ROW(#REF!)-18,""),ROW()-(ROW()-Y$2))),"")</f>
        <v/>
      </c>
      <c r="Z18" s="152" t="str">
        <f t="array" ref="Z18">IFERROR(INDEX(#REF!,SMALL(IF('ТРС общая'!$B18=#REF!,ROW(#REF!)-18,""),ROW()-(ROW()-Z$2))),"")</f>
        <v/>
      </c>
      <c r="AA18" s="152" t="str">
        <f t="array" ref="AA18">IFERROR(INDEX(#REF!,SMALL(IF('ТРС общая'!$B18=#REF!,ROW(#REF!)-18,""),ROW()-(ROW()-AA$2))),"")</f>
        <v/>
      </c>
      <c r="AB18" s="152" t="str">
        <f t="array" ref="AB18">IFERROR(INDEX(#REF!,SMALL(IF('ТРС общая'!$B18=#REF!,ROW(#REF!)-18,""),ROW()-(ROW()-AB$2))),"")</f>
        <v/>
      </c>
      <c r="AC18" s="152" t="str">
        <f t="array" ref="AC18">IFERROR(INDEX(#REF!,SMALL(IF('ТРС общая'!$B18=#REF!,ROW(#REF!)-18,""),ROW()-(ROW()-AC$2))),"")</f>
        <v/>
      </c>
      <c r="AD18" s="152" t="str">
        <f t="array" ref="AD18">IFERROR(INDEX(#REF!,SMALL(IF('ТРС общая'!$B18=#REF!,ROW(#REF!)-18,""),ROW()-(ROW()-AD$2))),"")</f>
        <v/>
      </c>
      <c r="AE18" s="152" t="str">
        <f t="array" ref="AE18">IFERROR(INDEX(#REF!,SMALL(IF('ТРС общая'!$B18=#REF!,ROW(#REF!)-18,""),ROW()-(ROW()-AE$2))),"")</f>
        <v/>
      </c>
      <c r="AF18" s="152" t="str">
        <f t="array" ref="AF18">IFERROR(INDEX(#REF!,SMALL(IF('ТРС общая'!$B18=#REF!,ROW(#REF!)-18,""),ROW()-(ROW()-AF$2))),"")</f>
        <v/>
      </c>
      <c r="AG18" s="152" t="str">
        <f t="array" ref="AG18">IFERROR(INDEX(#REF!,SMALL(IF('ТРС общая'!$B18=#REF!,ROW(#REF!)-18,""),ROW()-(ROW()-AG$2))),"")</f>
        <v/>
      </c>
      <c r="AH18" s="152" t="str">
        <f t="array" ref="AH18">IFERROR(INDEX(#REF!,SMALL(IF('ТРС общая'!$B18=#REF!,ROW(#REF!)-18,""),ROW()-(ROW()-AH$2))),"")</f>
        <v/>
      </c>
      <c r="AI18" s="152" t="str">
        <f t="array" ref="AI18">IFERROR(INDEX(#REF!,SMALL(IF('ТРС общая'!$B18=#REF!,ROW(#REF!)-18,""),ROW()-(ROW()-AI$2))),"")</f>
        <v/>
      </c>
      <c r="AJ18" s="152" t="str">
        <f t="array" ref="AJ18">IFERROR(INDEX(#REF!,SMALL(IF('ТРС общая'!$B18=#REF!,ROW(#REF!)-18,""),ROW()-(ROW()-AJ$2))),"")</f>
        <v/>
      </c>
      <c r="AK18" s="152" t="str">
        <f t="array" ref="AK18">IFERROR(INDEX(#REF!,SMALL(IF('ТРС общая'!$B18=#REF!,ROW(#REF!)-18,""),ROW()-(ROW()-AK$2))),"")</f>
        <v/>
      </c>
      <c r="AL18" s="152" t="str">
        <f t="array" ref="AL18">IFERROR(INDEX(#REF!,SMALL(IF('ТРС общая'!$B18=#REF!,ROW(#REF!)-18,""),ROW()-(ROW()-AL$2))),"")</f>
        <v/>
      </c>
      <c r="AM18" s="152" t="str">
        <f t="array" ref="AM18">IFERROR(INDEX(#REF!,SMALL(IF('ТРС общая'!$B18=#REF!,ROW(#REF!)-18,""),ROW()-(ROW()-AM$2))),"")</f>
        <v/>
      </c>
    </row>
    <row r="19" spans="2:39" s="124" customFormat="1" ht="101.5" customHeight="1" x14ac:dyDescent="0.55000000000000004">
      <c r="B19" s="155">
        <v>9</v>
      </c>
      <c r="C19" s="156">
        <f>COUNTIF('Расчет грейда'!$W:$W,'ТРС общая'!$B19)</f>
        <v>0</v>
      </c>
      <c r="D19" s="152" t="str">
        <f t="array" ref="D19">IFERROR(INDEX(#REF!,SMALL(IF('ТРС общая'!$B19=#REF!,ROW(#REF!)-18,""),ROW()-(ROW()-D$2))),"")</f>
        <v/>
      </c>
      <c r="E19" s="152" t="str">
        <f t="array" ref="E19">IFERROR(INDEX(#REF!,SMALL(IF('ТРС общая'!$B19=#REF!,ROW(#REF!)-18,""),ROW()-(ROW()-E$2))),"")</f>
        <v/>
      </c>
      <c r="F19" s="152" t="str">
        <f t="array" ref="F19">IFERROR(INDEX(#REF!,SMALL(IF('ТРС общая'!$B19=#REF!,ROW(#REF!)-18,""),ROW()-(ROW()-F$2))),"")</f>
        <v/>
      </c>
      <c r="G19" s="152" t="str">
        <f t="array" ref="G19">IFERROR(INDEX(#REF!,SMALL(IF('ТРС общая'!$B19=#REF!,ROW(#REF!)-18,""),ROW()-(ROW()-G$2))),"")</f>
        <v/>
      </c>
      <c r="H19" s="152" t="str">
        <f t="array" ref="H19">IFERROR(INDEX(#REF!,SMALL(IF('ТРС общая'!$B19=#REF!,ROW(#REF!)-18,""),ROW()-(ROW()-H$2))),"")</f>
        <v/>
      </c>
      <c r="I19" s="152" t="str">
        <f t="array" ref="I19">IFERROR(INDEX(#REF!,SMALL(IF('ТРС общая'!$B19=#REF!,ROW(#REF!)-18,""),ROW()-(ROW()-I$2))),"")</f>
        <v/>
      </c>
      <c r="J19" s="152" t="str">
        <f t="array" ref="J19">IFERROR(INDEX(#REF!,SMALL(IF('ТРС общая'!$B19=#REF!,ROW(#REF!)-18,""),ROW()-(ROW()-J$2))),"")</f>
        <v/>
      </c>
      <c r="K19" s="152" t="str">
        <f t="array" ref="K19">IFERROR(INDEX(#REF!,SMALL(IF('ТРС общая'!$B19=#REF!,ROW(#REF!)-18,""),ROW()-(ROW()-K$2))),"")</f>
        <v/>
      </c>
      <c r="L19" s="152" t="str">
        <f t="array" ref="L19">IFERROR(INDEX(#REF!,SMALL(IF('ТРС общая'!$B19=#REF!,ROW(#REF!)-18,""),ROW()-(ROW()-L$2))),"")</f>
        <v/>
      </c>
      <c r="M19" s="152" t="str">
        <f t="array" ref="M19">IFERROR(INDEX(#REF!,SMALL(IF('ТРС общая'!$B19=#REF!,ROW(#REF!)-18,""),ROW()-(ROW()-M$2))),"")</f>
        <v/>
      </c>
      <c r="N19" s="152" t="str">
        <f t="array" ref="N19">IFERROR(INDEX(#REF!,SMALL(IF('ТРС общая'!$B19=#REF!,ROW(#REF!)-18,""),ROW()-(ROW()-N$2))),"")</f>
        <v/>
      </c>
      <c r="O19" s="152" t="str">
        <f t="array" ref="O19">IFERROR(INDEX(#REF!,SMALL(IF('ТРС общая'!$B19=#REF!,ROW(#REF!)-18,""),ROW()-(ROW()-O$2))),"")</f>
        <v/>
      </c>
      <c r="P19" s="152" t="str">
        <f t="array" ref="P19">IFERROR(INDEX(#REF!,SMALL(IF('ТРС общая'!$B19=#REF!,ROW(#REF!)-18,""),ROW()-(ROW()-P$2))),"")</f>
        <v/>
      </c>
      <c r="Q19" s="152" t="str">
        <f t="array" ref="Q19">IFERROR(INDEX(#REF!,SMALL(IF('ТРС общая'!$B19=#REF!,ROW(#REF!)-18,""),ROW()-(ROW()-Q$2))),"")</f>
        <v/>
      </c>
      <c r="R19" s="152" t="str">
        <f t="array" ref="R19">IFERROR(INDEX(#REF!,SMALL(IF('ТРС общая'!$B19=#REF!,ROW(#REF!)-18,""),ROW()-(ROW()-R$2))),"")</f>
        <v/>
      </c>
      <c r="S19" s="152" t="str">
        <f t="array" ref="S19">IFERROR(INDEX(#REF!,SMALL(IF('ТРС общая'!$B19=#REF!,ROW(#REF!)-18,""),ROW()-(ROW()-S$2))),"")</f>
        <v/>
      </c>
      <c r="T19" s="152" t="str">
        <f t="array" ref="T19">IFERROR(INDEX(#REF!,SMALL(IF('ТРС общая'!$B19=#REF!,ROW(#REF!)-18,""),ROW()-(ROW()-T$2))),"")</f>
        <v/>
      </c>
      <c r="U19" s="152" t="str">
        <f t="array" ref="U19">IFERROR(INDEX(#REF!,SMALL(IF('ТРС общая'!$B19=#REF!,ROW(#REF!)-18,""),ROW()-(ROW()-U$2))),"")</f>
        <v/>
      </c>
      <c r="V19" s="152" t="str">
        <f t="array" ref="V19">IFERROR(INDEX(#REF!,SMALL(IF('ТРС общая'!$B19=#REF!,ROW(#REF!)-18,""),ROW()-(ROW()-V$2))),"")</f>
        <v/>
      </c>
      <c r="W19" s="152" t="str">
        <f t="array" ref="W19">IFERROR(INDEX(#REF!,SMALL(IF('ТРС общая'!$B19=#REF!,ROW(#REF!)-18,""),ROW()-(ROW()-W$2))),"")</f>
        <v/>
      </c>
      <c r="X19" s="152" t="str">
        <f t="array" ref="X19">IFERROR(INDEX(#REF!,SMALL(IF('ТРС общая'!$B19=#REF!,ROW(#REF!)-18,""),ROW()-(ROW()-X$2))),"")</f>
        <v/>
      </c>
      <c r="Y19" s="152" t="str">
        <f t="array" ref="Y19">IFERROR(INDEX(#REF!,SMALL(IF('ТРС общая'!$B19=#REF!,ROW(#REF!)-18,""),ROW()-(ROW()-Y$2))),"")</f>
        <v/>
      </c>
      <c r="Z19" s="152" t="str">
        <f t="array" ref="Z19">IFERROR(INDEX(#REF!,SMALL(IF('ТРС общая'!$B19=#REF!,ROW(#REF!)-18,""),ROW()-(ROW()-Z$2))),"")</f>
        <v/>
      </c>
      <c r="AA19" s="152" t="str">
        <f t="array" ref="AA19">IFERROR(INDEX(#REF!,SMALL(IF('ТРС общая'!$B19=#REF!,ROW(#REF!)-18,""),ROW()-(ROW()-AA$2))),"")</f>
        <v/>
      </c>
      <c r="AB19" s="152" t="str">
        <f t="array" ref="AB19">IFERROR(INDEX(#REF!,SMALL(IF('ТРС общая'!$B19=#REF!,ROW(#REF!)-18,""),ROW()-(ROW()-AB$2))),"")</f>
        <v/>
      </c>
      <c r="AC19" s="152" t="str">
        <f t="array" ref="AC19">IFERROR(INDEX(#REF!,SMALL(IF('ТРС общая'!$B19=#REF!,ROW(#REF!)-18,""),ROW()-(ROW()-AC$2))),"")</f>
        <v/>
      </c>
      <c r="AD19" s="152" t="str">
        <f t="array" ref="AD19">IFERROR(INDEX(#REF!,SMALL(IF('ТРС общая'!$B19=#REF!,ROW(#REF!)-18,""),ROW()-(ROW()-AD$2))),"")</f>
        <v/>
      </c>
      <c r="AE19" s="152" t="str">
        <f t="array" ref="AE19">IFERROR(INDEX(#REF!,SMALL(IF('ТРС общая'!$B19=#REF!,ROW(#REF!)-18,""),ROW()-(ROW()-AE$2))),"")</f>
        <v/>
      </c>
      <c r="AF19" s="152" t="str">
        <f t="array" ref="AF19">IFERROR(INDEX(#REF!,SMALL(IF('ТРС общая'!$B19=#REF!,ROW(#REF!)-18,""),ROW()-(ROW()-AF$2))),"")</f>
        <v/>
      </c>
      <c r="AG19" s="152" t="str">
        <f t="array" ref="AG19">IFERROR(INDEX(#REF!,SMALL(IF('ТРС общая'!$B19=#REF!,ROW(#REF!)-18,""),ROW()-(ROW()-AG$2))),"")</f>
        <v/>
      </c>
      <c r="AH19" s="152" t="str">
        <f t="array" ref="AH19">IFERROR(INDEX(#REF!,SMALL(IF('ТРС общая'!$B19=#REF!,ROW(#REF!)-18,""),ROW()-(ROW()-AH$2))),"")</f>
        <v/>
      </c>
      <c r="AI19" s="152" t="str">
        <f t="array" ref="AI19">IFERROR(INDEX(#REF!,SMALL(IF('ТРС общая'!$B19=#REF!,ROW(#REF!)-18,""),ROW()-(ROW()-AI$2))),"")</f>
        <v/>
      </c>
      <c r="AJ19" s="152" t="str">
        <f t="array" ref="AJ19">IFERROR(INDEX(#REF!,SMALL(IF('ТРС общая'!$B19=#REF!,ROW(#REF!)-18,""),ROW()-(ROW()-AJ$2))),"")</f>
        <v/>
      </c>
      <c r="AK19" s="152" t="str">
        <f t="array" ref="AK19">IFERROR(INDEX(#REF!,SMALL(IF('ТРС общая'!$B19=#REF!,ROW(#REF!)-18,""),ROW()-(ROW()-AK$2))),"")</f>
        <v/>
      </c>
      <c r="AL19" s="152" t="str">
        <f t="array" ref="AL19">IFERROR(INDEX(#REF!,SMALL(IF('ТРС общая'!$B19=#REF!,ROW(#REF!)-18,""),ROW()-(ROW()-AL$2))),"")</f>
        <v/>
      </c>
      <c r="AM19" s="152" t="str">
        <f t="array" ref="AM19">IFERROR(INDEX(#REF!,SMALL(IF('ТРС общая'!$B19=#REF!,ROW(#REF!)-18,""),ROW()-(ROW()-AM$2))),"")</f>
        <v/>
      </c>
    </row>
    <row r="20" spans="2:39" s="124" customFormat="1" ht="101.5" customHeight="1" x14ac:dyDescent="0.55000000000000004">
      <c r="B20" s="155">
        <v>8</v>
      </c>
      <c r="C20" s="156">
        <f>COUNTIF('Расчет грейда'!$W:$W,'ТРС общая'!$B20)</f>
        <v>0</v>
      </c>
      <c r="D20" s="152" t="str">
        <f t="array" ref="D20">IFERROR(INDEX(#REF!,SMALL(IF('ТРС общая'!$B20=#REF!,ROW(#REF!)-18,""),ROW()-(ROW()-D$2))),"")</f>
        <v/>
      </c>
      <c r="E20" s="152" t="str">
        <f t="array" ref="E20">IFERROR(INDEX(#REF!,SMALL(IF('ТРС общая'!$B20=#REF!,ROW(#REF!)-18,""),ROW()-(ROW()-E$2))),"")</f>
        <v/>
      </c>
      <c r="F20" s="152" t="str">
        <f t="array" ref="F20">IFERROR(INDEX(#REF!,SMALL(IF('ТРС общая'!$B20=#REF!,ROW(#REF!)-18,""),ROW()-(ROW()-F$2))),"")</f>
        <v/>
      </c>
      <c r="G20" s="152" t="str">
        <f t="array" ref="G20">IFERROR(INDEX(#REF!,SMALL(IF('ТРС общая'!$B20=#REF!,ROW(#REF!)-18,""),ROW()-(ROW()-G$2))),"")</f>
        <v/>
      </c>
      <c r="H20" s="152" t="str">
        <f t="array" ref="H20">IFERROR(INDEX(#REF!,SMALL(IF('ТРС общая'!$B20=#REF!,ROW(#REF!)-18,""),ROW()-(ROW()-H$2))),"")</f>
        <v/>
      </c>
      <c r="I20" s="152" t="str">
        <f t="array" ref="I20">IFERROR(INDEX(#REF!,SMALL(IF('ТРС общая'!$B20=#REF!,ROW(#REF!)-18,""),ROW()-(ROW()-I$2))),"")</f>
        <v/>
      </c>
      <c r="J20" s="152" t="str">
        <f t="array" ref="J20">IFERROR(INDEX(#REF!,SMALL(IF('ТРС общая'!$B20=#REF!,ROW(#REF!)-18,""),ROW()-(ROW()-J$2))),"")</f>
        <v/>
      </c>
      <c r="K20" s="152" t="str">
        <f t="array" ref="K20">IFERROR(INDEX(#REF!,SMALL(IF('ТРС общая'!$B20=#REF!,ROW(#REF!)-18,""),ROW()-(ROW()-K$2))),"")</f>
        <v/>
      </c>
      <c r="L20" s="152" t="str">
        <f t="array" ref="L20">IFERROR(INDEX(#REF!,SMALL(IF('ТРС общая'!$B20=#REF!,ROW(#REF!)-18,""),ROW()-(ROW()-L$2))),"")</f>
        <v/>
      </c>
      <c r="M20" s="152" t="str">
        <f t="array" ref="M20">IFERROR(INDEX(#REF!,SMALL(IF('ТРС общая'!$B20=#REF!,ROW(#REF!)-18,""),ROW()-(ROW()-M$2))),"")</f>
        <v/>
      </c>
      <c r="N20" s="152" t="str">
        <f t="array" ref="N20">IFERROR(INDEX(#REF!,SMALL(IF('ТРС общая'!$B20=#REF!,ROW(#REF!)-18,""),ROW()-(ROW()-N$2))),"")</f>
        <v/>
      </c>
      <c r="O20" s="152" t="str">
        <f t="array" ref="O20">IFERROR(INDEX(#REF!,SMALL(IF('ТРС общая'!$B20=#REF!,ROW(#REF!)-18,""),ROW()-(ROW()-O$2))),"")</f>
        <v/>
      </c>
      <c r="P20" s="152" t="str">
        <f t="array" ref="P20">IFERROR(INDEX(#REF!,SMALL(IF('ТРС общая'!$B20=#REF!,ROW(#REF!)-18,""),ROW()-(ROW()-P$2))),"")</f>
        <v/>
      </c>
      <c r="Q20" s="152" t="str">
        <f t="array" ref="Q20">IFERROR(INDEX(#REF!,SMALL(IF('ТРС общая'!$B20=#REF!,ROW(#REF!)-18,""),ROW()-(ROW()-Q$2))),"")</f>
        <v/>
      </c>
      <c r="R20" s="152" t="str">
        <f t="array" ref="R20">IFERROR(INDEX(#REF!,SMALL(IF('ТРС общая'!$B20=#REF!,ROW(#REF!)-18,""),ROW()-(ROW()-R$2))),"")</f>
        <v/>
      </c>
      <c r="S20" s="152" t="str">
        <f t="array" ref="S20">IFERROR(INDEX(#REF!,SMALL(IF('ТРС общая'!$B20=#REF!,ROW(#REF!)-18,""),ROW()-(ROW()-S$2))),"")</f>
        <v/>
      </c>
      <c r="T20" s="152" t="str">
        <f t="array" ref="T20">IFERROR(INDEX(#REF!,SMALL(IF('ТРС общая'!$B20=#REF!,ROW(#REF!)-18,""),ROW()-(ROW()-T$2))),"")</f>
        <v/>
      </c>
      <c r="U20" s="152" t="str">
        <f t="array" ref="U20">IFERROR(INDEX(#REF!,SMALL(IF('ТРС общая'!$B20=#REF!,ROW(#REF!)-18,""),ROW()-(ROW()-U$2))),"")</f>
        <v/>
      </c>
      <c r="V20" s="152" t="str">
        <f t="array" ref="V20">IFERROR(INDEX(#REF!,SMALL(IF('ТРС общая'!$B20=#REF!,ROW(#REF!)-18,""),ROW()-(ROW()-V$2))),"")</f>
        <v/>
      </c>
      <c r="W20" s="152" t="str">
        <f t="array" ref="W20">IFERROR(INDEX(#REF!,SMALL(IF('ТРС общая'!$B20=#REF!,ROW(#REF!)-18,""),ROW()-(ROW()-W$2))),"")</f>
        <v/>
      </c>
      <c r="X20" s="152" t="str">
        <f t="array" ref="X20">IFERROR(INDEX(#REF!,SMALL(IF('ТРС общая'!$B20=#REF!,ROW(#REF!)-18,""),ROW()-(ROW()-X$2))),"")</f>
        <v/>
      </c>
      <c r="Y20" s="152" t="str">
        <f t="array" ref="Y20">IFERROR(INDEX(#REF!,SMALL(IF('ТРС общая'!$B20=#REF!,ROW(#REF!)-18,""),ROW()-(ROW()-Y$2))),"")</f>
        <v/>
      </c>
      <c r="Z20" s="152" t="str">
        <f t="array" ref="Z20">IFERROR(INDEX(#REF!,SMALL(IF('ТРС общая'!$B20=#REF!,ROW(#REF!)-18,""),ROW()-(ROW()-Z$2))),"")</f>
        <v/>
      </c>
      <c r="AA20" s="152" t="str">
        <f t="array" ref="AA20">IFERROR(INDEX(#REF!,SMALL(IF('ТРС общая'!$B20=#REF!,ROW(#REF!)-18,""),ROW()-(ROW()-AA$2))),"")</f>
        <v/>
      </c>
      <c r="AB20" s="152" t="str">
        <f t="array" ref="AB20">IFERROR(INDEX(#REF!,SMALL(IF('ТРС общая'!$B20=#REF!,ROW(#REF!)-18,""),ROW()-(ROW()-AB$2))),"")</f>
        <v/>
      </c>
      <c r="AC20" s="152" t="str">
        <f t="array" ref="AC20">IFERROR(INDEX(#REF!,SMALL(IF('ТРС общая'!$B20=#REF!,ROW(#REF!)-18,""),ROW()-(ROW()-AC$2))),"")</f>
        <v/>
      </c>
      <c r="AD20" s="152" t="str">
        <f t="array" ref="AD20">IFERROR(INDEX(#REF!,SMALL(IF('ТРС общая'!$B20=#REF!,ROW(#REF!)-18,""),ROW()-(ROW()-AD$2))),"")</f>
        <v/>
      </c>
      <c r="AE20" s="152" t="str">
        <f t="array" ref="AE20">IFERROR(INDEX(#REF!,SMALL(IF('ТРС общая'!$B20=#REF!,ROW(#REF!)-18,""),ROW()-(ROW()-AE$2))),"")</f>
        <v/>
      </c>
      <c r="AF20" s="152" t="str">
        <f t="array" ref="AF20">IFERROR(INDEX(#REF!,SMALL(IF('ТРС общая'!$B20=#REF!,ROW(#REF!)-18,""),ROW()-(ROW()-AF$2))),"")</f>
        <v/>
      </c>
      <c r="AG20" s="152" t="str">
        <f t="array" ref="AG20">IFERROR(INDEX(#REF!,SMALL(IF('ТРС общая'!$B20=#REF!,ROW(#REF!)-18,""),ROW()-(ROW()-AG$2))),"")</f>
        <v/>
      </c>
      <c r="AH20" s="152" t="str">
        <f t="array" ref="AH20">IFERROR(INDEX(#REF!,SMALL(IF('ТРС общая'!$B20=#REF!,ROW(#REF!)-18,""),ROW()-(ROW()-AH$2))),"")</f>
        <v/>
      </c>
      <c r="AI20" s="152" t="str">
        <f t="array" ref="AI20">IFERROR(INDEX(#REF!,SMALL(IF('ТРС общая'!$B20=#REF!,ROW(#REF!)-18,""),ROW()-(ROW()-AI$2))),"")</f>
        <v/>
      </c>
      <c r="AJ20" s="152" t="str">
        <f t="array" ref="AJ20">IFERROR(INDEX(#REF!,SMALL(IF('ТРС общая'!$B20=#REF!,ROW(#REF!)-18,""),ROW()-(ROW()-AJ$2))),"")</f>
        <v/>
      </c>
      <c r="AK20" s="152" t="str">
        <f t="array" ref="AK20">IFERROR(INDEX(#REF!,SMALL(IF('ТРС общая'!$B20=#REF!,ROW(#REF!)-18,""),ROW()-(ROW()-AK$2))),"")</f>
        <v/>
      </c>
      <c r="AL20" s="152" t="str">
        <f t="array" ref="AL20">IFERROR(INDEX(#REF!,SMALL(IF('ТРС общая'!$B20=#REF!,ROW(#REF!)-18,""),ROW()-(ROW()-AL$2))),"")</f>
        <v/>
      </c>
      <c r="AM20" s="152" t="str">
        <f t="array" ref="AM20">IFERROR(INDEX(#REF!,SMALL(IF('ТРС общая'!$B20=#REF!,ROW(#REF!)-18,""),ROW()-(ROW()-AM$2))),"")</f>
        <v/>
      </c>
    </row>
    <row r="21" spans="2:39" s="124" customFormat="1" ht="101.5" customHeight="1" x14ac:dyDescent="0.55000000000000004">
      <c r="B21" s="155">
        <v>7</v>
      </c>
      <c r="C21" s="156">
        <f>COUNTIF('Расчет грейда'!$W:$W,'ТРС общая'!$B21)</f>
        <v>0</v>
      </c>
      <c r="D21" s="152" t="str">
        <f t="array" ref="D21">IFERROR(INDEX(#REF!,SMALL(IF('ТРС общая'!$B21=#REF!,ROW(#REF!)-18,""),ROW()-(ROW()-D$2))),"")</f>
        <v/>
      </c>
      <c r="E21" s="152" t="str">
        <f t="array" ref="E21">IFERROR(INDEX(#REF!,SMALL(IF('ТРС общая'!$B21=#REF!,ROW(#REF!)-18,""),ROW()-(ROW()-E$2))),"")</f>
        <v/>
      </c>
      <c r="F21" s="152" t="str">
        <f t="array" ref="F21">IFERROR(INDEX(#REF!,SMALL(IF('ТРС общая'!$B21=#REF!,ROW(#REF!)-18,""),ROW()-(ROW()-F$2))),"")</f>
        <v/>
      </c>
      <c r="G21" s="152" t="str">
        <f t="array" ref="G21">IFERROR(INDEX(#REF!,SMALL(IF('ТРС общая'!$B21=#REF!,ROW(#REF!)-18,""),ROW()-(ROW()-G$2))),"")</f>
        <v/>
      </c>
      <c r="H21" s="152" t="str">
        <f t="array" ref="H21">IFERROR(INDEX(#REF!,SMALL(IF('ТРС общая'!$B21=#REF!,ROW(#REF!)-18,""),ROW()-(ROW()-H$2))),"")</f>
        <v/>
      </c>
      <c r="I21" s="152" t="str">
        <f t="array" ref="I21">IFERROR(INDEX(#REF!,SMALL(IF('ТРС общая'!$B21=#REF!,ROW(#REF!)-18,""),ROW()-(ROW()-I$2))),"")</f>
        <v/>
      </c>
      <c r="J21" s="152" t="str">
        <f t="array" ref="J21">IFERROR(INDEX(#REF!,SMALL(IF('ТРС общая'!$B21=#REF!,ROW(#REF!)-18,""),ROW()-(ROW()-J$2))),"")</f>
        <v/>
      </c>
      <c r="K21" s="152" t="str">
        <f t="array" ref="K21">IFERROR(INDEX(#REF!,SMALL(IF('ТРС общая'!$B21=#REF!,ROW(#REF!)-18,""),ROW()-(ROW()-K$2))),"")</f>
        <v/>
      </c>
      <c r="L21" s="152" t="str">
        <f t="array" ref="L21">IFERROR(INDEX(#REF!,SMALL(IF('ТРС общая'!$B21=#REF!,ROW(#REF!)-18,""),ROW()-(ROW()-L$2))),"")</f>
        <v/>
      </c>
      <c r="M21" s="152" t="str">
        <f t="array" ref="M21">IFERROR(INDEX(#REF!,SMALL(IF('ТРС общая'!$B21=#REF!,ROW(#REF!)-18,""),ROW()-(ROW()-M$2))),"")</f>
        <v/>
      </c>
      <c r="N21" s="152" t="str">
        <f t="array" ref="N21">IFERROR(INDEX(#REF!,SMALL(IF('ТРС общая'!$B21=#REF!,ROW(#REF!)-18,""),ROW()-(ROW()-N$2))),"")</f>
        <v/>
      </c>
      <c r="O21" s="152" t="str">
        <f t="array" ref="O21">IFERROR(INDEX(#REF!,SMALL(IF('ТРС общая'!$B21=#REF!,ROW(#REF!)-18,""),ROW()-(ROW()-O$2))),"")</f>
        <v/>
      </c>
      <c r="P21" s="152" t="str">
        <f t="array" ref="P21">IFERROR(INDEX(#REF!,SMALL(IF('ТРС общая'!$B21=#REF!,ROW(#REF!)-18,""),ROW()-(ROW()-P$2))),"")</f>
        <v/>
      </c>
      <c r="Q21" s="152" t="str">
        <f t="array" ref="Q21">IFERROR(INDEX(#REF!,SMALL(IF('ТРС общая'!$B21=#REF!,ROW(#REF!)-18,""),ROW()-(ROW()-Q$2))),"")</f>
        <v/>
      </c>
      <c r="R21" s="152" t="str">
        <f t="array" ref="R21">IFERROR(INDEX(#REF!,SMALL(IF('ТРС общая'!$B21=#REF!,ROW(#REF!)-18,""),ROW()-(ROW()-R$2))),"")</f>
        <v/>
      </c>
      <c r="S21" s="152" t="str">
        <f t="array" ref="S21">IFERROR(INDEX(#REF!,SMALL(IF('ТРС общая'!$B21=#REF!,ROW(#REF!)-18,""),ROW()-(ROW()-S$2))),"")</f>
        <v/>
      </c>
      <c r="T21" s="152" t="str">
        <f t="array" ref="T21">IFERROR(INDEX(#REF!,SMALL(IF('ТРС общая'!$B21=#REF!,ROW(#REF!)-18,""),ROW()-(ROW()-T$2))),"")</f>
        <v/>
      </c>
      <c r="U21" s="152" t="str">
        <f t="array" ref="U21">IFERROR(INDEX(#REF!,SMALL(IF('ТРС общая'!$B21=#REF!,ROW(#REF!)-18,""),ROW()-(ROW()-U$2))),"")</f>
        <v/>
      </c>
      <c r="V21" s="152" t="str">
        <f t="array" ref="V21">IFERROR(INDEX(#REF!,SMALL(IF('ТРС общая'!$B21=#REF!,ROW(#REF!)-18,""),ROW()-(ROW()-V$2))),"")</f>
        <v/>
      </c>
      <c r="W21" s="152" t="str">
        <f t="array" ref="W21">IFERROR(INDEX(#REF!,SMALL(IF('ТРС общая'!$B21=#REF!,ROW(#REF!)-18,""),ROW()-(ROW()-W$2))),"")</f>
        <v/>
      </c>
      <c r="X21" s="152" t="str">
        <f t="array" ref="X21">IFERROR(INDEX(#REF!,SMALL(IF('ТРС общая'!$B21=#REF!,ROW(#REF!)-18,""),ROW()-(ROW()-X$2))),"")</f>
        <v/>
      </c>
      <c r="Y21" s="152" t="str">
        <f t="array" ref="Y21">IFERROR(INDEX(#REF!,SMALL(IF('ТРС общая'!$B21=#REF!,ROW(#REF!)-18,""),ROW()-(ROW()-Y$2))),"")</f>
        <v/>
      </c>
      <c r="Z21" s="152" t="str">
        <f t="array" ref="Z21">IFERROR(INDEX(#REF!,SMALL(IF('ТРС общая'!$B21=#REF!,ROW(#REF!)-18,""),ROW()-(ROW()-Z$2))),"")</f>
        <v/>
      </c>
      <c r="AA21" s="152" t="str">
        <f t="array" ref="AA21">IFERROR(INDEX(#REF!,SMALL(IF('ТРС общая'!$B21=#REF!,ROW(#REF!)-18,""),ROW()-(ROW()-AA$2))),"")</f>
        <v/>
      </c>
      <c r="AB21" s="152" t="str">
        <f t="array" ref="AB21">IFERROR(INDEX(#REF!,SMALL(IF('ТРС общая'!$B21=#REF!,ROW(#REF!)-18,""),ROW()-(ROW()-AB$2))),"")</f>
        <v/>
      </c>
      <c r="AC21" s="152" t="str">
        <f t="array" ref="AC21">IFERROR(INDEX(#REF!,SMALL(IF('ТРС общая'!$B21=#REF!,ROW(#REF!)-18,""),ROW()-(ROW()-AC$2))),"")</f>
        <v/>
      </c>
      <c r="AD21" s="152" t="str">
        <f t="array" ref="AD21">IFERROR(INDEX(#REF!,SMALL(IF('ТРС общая'!$B21=#REF!,ROW(#REF!)-18,""),ROW()-(ROW()-AD$2))),"")</f>
        <v/>
      </c>
      <c r="AE21" s="152" t="str">
        <f t="array" ref="AE21">IFERROR(INDEX(#REF!,SMALL(IF('ТРС общая'!$B21=#REF!,ROW(#REF!)-18,""),ROW()-(ROW()-AE$2))),"")</f>
        <v/>
      </c>
      <c r="AF21" s="152" t="str">
        <f t="array" ref="AF21">IFERROR(INDEX(#REF!,SMALL(IF('ТРС общая'!$B21=#REF!,ROW(#REF!)-18,""),ROW()-(ROW()-AF$2))),"")</f>
        <v/>
      </c>
      <c r="AG21" s="152" t="str">
        <f t="array" ref="AG21">IFERROR(INDEX(#REF!,SMALL(IF('ТРС общая'!$B21=#REF!,ROW(#REF!)-18,""),ROW()-(ROW()-AG$2))),"")</f>
        <v/>
      </c>
      <c r="AH21" s="152" t="str">
        <f t="array" ref="AH21">IFERROR(INDEX(#REF!,SMALL(IF('ТРС общая'!$B21=#REF!,ROW(#REF!)-18,""),ROW()-(ROW()-AH$2))),"")</f>
        <v/>
      </c>
      <c r="AI21" s="152" t="str">
        <f t="array" ref="AI21">IFERROR(INDEX(#REF!,SMALL(IF('ТРС общая'!$B21=#REF!,ROW(#REF!)-18,""),ROW()-(ROW()-AI$2))),"")</f>
        <v/>
      </c>
      <c r="AJ21" s="152" t="str">
        <f t="array" ref="AJ21">IFERROR(INDEX(#REF!,SMALL(IF('ТРС общая'!$B21=#REF!,ROW(#REF!)-18,""),ROW()-(ROW()-AJ$2))),"")</f>
        <v/>
      </c>
      <c r="AK21" s="152" t="str">
        <f t="array" ref="AK21">IFERROR(INDEX(#REF!,SMALL(IF('ТРС общая'!$B21=#REF!,ROW(#REF!)-18,""),ROW()-(ROW()-AK$2))),"")</f>
        <v/>
      </c>
      <c r="AL21" s="152" t="str">
        <f t="array" ref="AL21">IFERROR(INDEX(#REF!,SMALL(IF('ТРС общая'!$B21=#REF!,ROW(#REF!)-18,""),ROW()-(ROW()-AL$2))),"")</f>
        <v/>
      </c>
      <c r="AM21" s="152" t="str">
        <f t="array" ref="AM21">IFERROR(INDEX(#REF!,SMALL(IF('ТРС общая'!$B21=#REF!,ROW(#REF!)-18,""),ROW()-(ROW()-AM$2))),"")</f>
        <v/>
      </c>
    </row>
    <row r="22" spans="2:39" s="124" customFormat="1" ht="101.5" customHeight="1" x14ac:dyDescent="0.55000000000000004">
      <c r="B22" s="155">
        <v>6</v>
      </c>
      <c r="C22" s="156">
        <f>COUNTIF('Расчет грейда'!$W:$W,'ТРС общая'!$B22)</f>
        <v>0</v>
      </c>
      <c r="D22" s="152" t="str">
        <f t="array" ref="D22">IFERROR(INDEX(#REF!,SMALL(IF('ТРС общая'!$B22=#REF!,ROW(#REF!)-18,""),ROW()-(ROW()-D$2))),"")</f>
        <v/>
      </c>
      <c r="E22" s="152" t="str">
        <f t="array" ref="E22">IFERROR(INDEX(#REF!,SMALL(IF('ТРС общая'!$B22=#REF!,ROW(#REF!)-18,""),ROW()-(ROW()-E$2))),"")</f>
        <v/>
      </c>
      <c r="F22" s="152" t="str">
        <f t="array" ref="F22">IFERROR(INDEX(#REF!,SMALL(IF('ТРС общая'!$B22=#REF!,ROW(#REF!)-18,""),ROW()-(ROW()-F$2))),"")</f>
        <v/>
      </c>
      <c r="G22" s="152" t="str">
        <f t="array" ref="G22">IFERROR(INDEX(#REF!,SMALL(IF('ТРС общая'!$B22=#REF!,ROW(#REF!)-18,""),ROW()-(ROW()-G$2))),"")</f>
        <v/>
      </c>
      <c r="H22" s="152" t="str">
        <f t="array" ref="H22">IFERROR(INDEX(#REF!,SMALL(IF('ТРС общая'!$B22=#REF!,ROW(#REF!)-18,""),ROW()-(ROW()-H$2))),"")</f>
        <v/>
      </c>
      <c r="I22" s="152" t="str">
        <f t="array" ref="I22">IFERROR(INDEX(#REF!,SMALL(IF('ТРС общая'!$B22=#REF!,ROW(#REF!)-18,""),ROW()-(ROW()-I$2))),"")</f>
        <v/>
      </c>
      <c r="J22" s="152" t="str">
        <f t="array" ref="J22">IFERROR(INDEX(#REF!,SMALL(IF('ТРС общая'!$B22=#REF!,ROW(#REF!)-18,""),ROW()-(ROW()-J$2))),"")</f>
        <v/>
      </c>
      <c r="K22" s="152" t="str">
        <f t="array" ref="K22">IFERROR(INDEX(#REF!,SMALL(IF('ТРС общая'!$B22=#REF!,ROW(#REF!)-18,""),ROW()-(ROW()-K$2))),"")</f>
        <v/>
      </c>
      <c r="L22" s="152" t="str">
        <f t="array" ref="L22">IFERROR(INDEX(#REF!,SMALL(IF('ТРС общая'!$B22=#REF!,ROW(#REF!)-18,""),ROW()-(ROW()-L$2))),"")</f>
        <v/>
      </c>
      <c r="M22" s="152" t="str">
        <f t="array" ref="M22">IFERROR(INDEX(#REF!,SMALL(IF('ТРС общая'!$B22=#REF!,ROW(#REF!)-18,""),ROW()-(ROW()-M$2))),"")</f>
        <v/>
      </c>
      <c r="N22" s="152" t="str">
        <f t="array" ref="N22">IFERROR(INDEX(#REF!,SMALL(IF('ТРС общая'!$B22=#REF!,ROW(#REF!)-18,""),ROW()-(ROW()-N$2))),"")</f>
        <v/>
      </c>
      <c r="O22" s="152" t="str">
        <f t="array" ref="O22">IFERROR(INDEX(#REF!,SMALL(IF('ТРС общая'!$B22=#REF!,ROW(#REF!)-18,""),ROW()-(ROW()-O$2))),"")</f>
        <v/>
      </c>
      <c r="P22" s="152" t="str">
        <f t="array" ref="P22">IFERROR(INDEX(#REF!,SMALL(IF('ТРС общая'!$B22=#REF!,ROW(#REF!)-18,""),ROW()-(ROW()-P$2))),"")</f>
        <v/>
      </c>
      <c r="Q22" s="152" t="str">
        <f t="array" ref="Q22">IFERROR(INDEX(#REF!,SMALL(IF('ТРС общая'!$B22=#REF!,ROW(#REF!)-18,""),ROW()-(ROW()-Q$2))),"")</f>
        <v/>
      </c>
      <c r="R22" s="152" t="str">
        <f t="array" ref="R22">IFERROR(INDEX(#REF!,SMALL(IF('ТРС общая'!$B22=#REF!,ROW(#REF!)-18,""),ROW()-(ROW()-R$2))),"")</f>
        <v/>
      </c>
      <c r="S22" s="152" t="str">
        <f t="array" ref="S22">IFERROR(INDEX(#REF!,SMALL(IF('ТРС общая'!$B22=#REF!,ROW(#REF!)-18,""),ROW()-(ROW()-S$2))),"")</f>
        <v/>
      </c>
      <c r="T22" s="152" t="str">
        <f t="array" ref="T22">IFERROR(INDEX(#REF!,SMALL(IF('ТРС общая'!$B22=#REF!,ROW(#REF!)-18,""),ROW()-(ROW()-T$2))),"")</f>
        <v/>
      </c>
      <c r="U22" s="152" t="str">
        <f t="array" ref="U22">IFERROR(INDEX(#REF!,SMALL(IF('ТРС общая'!$B22=#REF!,ROW(#REF!)-18,""),ROW()-(ROW()-U$2))),"")</f>
        <v/>
      </c>
      <c r="V22" s="152" t="str">
        <f t="array" ref="V22">IFERROR(INDEX(#REF!,SMALL(IF('ТРС общая'!$B22=#REF!,ROW(#REF!)-18,""),ROW()-(ROW()-V$2))),"")</f>
        <v/>
      </c>
      <c r="W22" s="152" t="str">
        <f t="array" ref="W22">IFERROR(INDEX(#REF!,SMALL(IF('ТРС общая'!$B22=#REF!,ROW(#REF!)-18,""),ROW()-(ROW()-W$2))),"")</f>
        <v/>
      </c>
      <c r="X22" s="152" t="str">
        <f t="array" ref="X22">IFERROR(INDEX(#REF!,SMALL(IF('ТРС общая'!$B22=#REF!,ROW(#REF!)-18,""),ROW()-(ROW()-X$2))),"")</f>
        <v/>
      </c>
      <c r="Y22" s="152" t="str">
        <f t="array" ref="Y22">IFERROR(INDEX(#REF!,SMALL(IF('ТРС общая'!$B22=#REF!,ROW(#REF!)-18,""),ROW()-(ROW()-Y$2))),"")</f>
        <v/>
      </c>
      <c r="Z22" s="152" t="str">
        <f t="array" ref="Z22">IFERROR(INDEX(#REF!,SMALL(IF('ТРС общая'!$B22=#REF!,ROW(#REF!)-18,""),ROW()-(ROW()-Z$2))),"")</f>
        <v/>
      </c>
      <c r="AA22" s="152" t="str">
        <f t="array" ref="AA22">IFERROR(INDEX(#REF!,SMALL(IF('ТРС общая'!$B22=#REF!,ROW(#REF!)-18,""),ROW()-(ROW()-AA$2))),"")</f>
        <v/>
      </c>
      <c r="AB22" s="152" t="str">
        <f t="array" ref="AB22">IFERROR(INDEX(#REF!,SMALL(IF('ТРС общая'!$B22=#REF!,ROW(#REF!)-18,""),ROW()-(ROW()-AB$2))),"")</f>
        <v/>
      </c>
      <c r="AC22" s="152" t="str">
        <f t="array" ref="AC22">IFERROR(INDEX(#REF!,SMALL(IF('ТРС общая'!$B22=#REF!,ROW(#REF!)-18,""),ROW()-(ROW()-AC$2))),"")</f>
        <v/>
      </c>
      <c r="AD22" s="152" t="str">
        <f t="array" ref="AD22">IFERROR(INDEX(#REF!,SMALL(IF('ТРС общая'!$B22=#REF!,ROW(#REF!)-18,""),ROW()-(ROW()-AD$2))),"")</f>
        <v/>
      </c>
      <c r="AE22" s="152" t="str">
        <f t="array" ref="AE22">IFERROR(INDEX(#REF!,SMALL(IF('ТРС общая'!$B22=#REF!,ROW(#REF!)-18,""),ROW()-(ROW()-AE$2))),"")</f>
        <v/>
      </c>
      <c r="AF22" s="152" t="str">
        <f t="array" ref="AF22">IFERROR(INDEX(#REF!,SMALL(IF('ТРС общая'!$B22=#REF!,ROW(#REF!)-18,""),ROW()-(ROW()-AF$2))),"")</f>
        <v/>
      </c>
      <c r="AG22" s="152" t="str">
        <f t="array" ref="AG22">IFERROR(INDEX(#REF!,SMALL(IF('ТРС общая'!$B22=#REF!,ROW(#REF!)-18,""),ROW()-(ROW()-AG$2))),"")</f>
        <v/>
      </c>
      <c r="AH22" s="152" t="str">
        <f t="array" ref="AH22">IFERROR(INDEX(#REF!,SMALL(IF('ТРС общая'!$B22=#REF!,ROW(#REF!)-18,""),ROW()-(ROW()-AH$2))),"")</f>
        <v/>
      </c>
      <c r="AI22" s="152" t="str">
        <f t="array" ref="AI22">IFERROR(INDEX(#REF!,SMALL(IF('ТРС общая'!$B22=#REF!,ROW(#REF!)-18,""),ROW()-(ROW()-AI$2))),"")</f>
        <v/>
      </c>
      <c r="AJ22" s="152" t="str">
        <f t="array" ref="AJ22">IFERROR(INDEX(#REF!,SMALL(IF('ТРС общая'!$B22=#REF!,ROW(#REF!)-18,""),ROW()-(ROW()-AJ$2))),"")</f>
        <v/>
      </c>
      <c r="AK22" s="152" t="str">
        <f t="array" ref="AK22">IFERROR(INDEX(#REF!,SMALL(IF('ТРС общая'!$B22=#REF!,ROW(#REF!)-18,""),ROW()-(ROW()-AK$2))),"")</f>
        <v/>
      </c>
      <c r="AL22" s="152" t="str">
        <f t="array" ref="AL22">IFERROR(INDEX(#REF!,SMALL(IF('ТРС общая'!$B22=#REF!,ROW(#REF!)-18,""),ROW()-(ROW()-AL$2))),"")</f>
        <v/>
      </c>
      <c r="AM22" s="152" t="str">
        <f t="array" ref="AM22">IFERROR(INDEX(#REF!,SMALL(IF('ТРС общая'!$B22=#REF!,ROW(#REF!)-18,""),ROW()-(ROW()-AM$2))),"")</f>
        <v/>
      </c>
    </row>
    <row r="23" spans="2:39" s="124" customFormat="1" ht="101.5" customHeight="1" x14ac:dyDescent="0.55000000000000004">
      <c r="B23" s="155">
        <v>5</v>
      </c>
      <c r="C23" s="156">
        <f>COUNTIF('Расчет грейда'!$W:$W,'ТРС общая'!$B23)</f>
        <v>0</v>
      </c>
      <c r="D23" s="152" t="str">
        <f t="array" ref="D23">IFERROR(INDEX(#REF!,SMALL(IF('ТРС общая'!$B23=#REF!,ROW(#REF!)-18,""),ROW()-(ROW()-D$2))),"")</f>
        <v/>
      </c>
      <c r="E23" s="152" t="str">
        <f t="array" ref="E23">IFERROR(INDEX(#REF!,SMALL(IF('ТРС общая'!$B23=#REF!,ROW(#REF!)-18,""),ROW()-(ROW()-E$2))),"")</f>
        <v/>
      </c>
      <c r="F23" s="152" t="str">
        <f t="array" ref="F23">IFERROR(INDEX(#REF!,SMALL(IF('ТРС общая'!$B23=#REF!,ROW(#REF!)-18,""),ROW()-(ROW()-F$2))),"")</f>
        <v/>
      </c>
      <c r="G23" s="152" t="str">
        <f t="array" ref="G23">IFERROR(INDEX(#REF!,SMALL(IF('ТРС общая'!$B23=#REF!,ROW(#REF!)-18,""),ROW()-(ROW()-G$2))),"")</f>
        <v/>
      </c>
      <c r="H23" s="152" t="str">
        <f t="array" ref="H23">IFERROR(INDEX(#REF!,SMALL(IF('ТРС общая'!$B23=#REF!,ROW(#REF!)-18,""),ROW()-(ROW()-H$2))),"")</f>
        <v/>
      </c>
      <c r="I23" s="152" t="str">
        <f t="array" ref="I23">IFERROR(INDEX(#REF!,SMALL(IF('ТРС общая'!$B23=#REF!,ROW(#REF!)-18,""),ROW()-(ROW()-I$2))),"")</f>
        <v/>
      </c>
      <c r="J23" s="152" t="str">
        <f t="array" ref="J23">IFERROR(INDEX(#REF!,SMALL(IF('ТРС общая'!$B23=#REF!,ROW(#REF!)-18,""),ROW()-(ROW()-J$2))),"")</f>
        <v/>
      </c>
      <c r="K23" s="152" t="str">
        <f t="array" ref="K23">IFERROR(INDEX(#REF!,SMALL(IF('ТРС общая'!$B23=#REF!,ROW(#REF!)-18,""),ROW()-(ROW()-K$2))),"")</f>
        <v/>
      </c>
      <c r="L23" s="152" t="str">
        <f t="array" ref="L23">IFERROR(INDEX(#REF!,SMALL(IF('ТРС общая'!$B23=#REF!,ROW(#REF!)-18,""),ROW()-(ROW()-L$2))),"")</f>
        <v/>
      </c>
      <c r="M23" s="152" t="str">
        <f t="array" ref="M23">IFERROR(INDEX(#REF!,SMALL(IF('ТРС общая'!$B23=#REF!,ROW(#REF!)-18,""),ROW()-(ROW()-M$2))),"")</f>
        <v/>
      </c>
      <c r="N23" s="152" t="str">
        <f t="array" ref="N23">IFERROR(INDEX(#REF!,SMALL(IF('ТРС общая'!$B23=#REF!,ROW(#REF!)-18,""),ROW()-(ROW()-N$2))),"")</f>
        <v/>
      </c>
      <c r="O23" s="152" t="str">
        <f t="array" ref="O23">IFERROR(INDEX(#REF!,SMALL(IF('ТРС общая'!$B23=#REF!,ROW(#REF!)-18,""),ROW()-(ROW()-O$2))),"")</f>
        <v/>
      </c>
      <c r="P23" s="152" t="str">
        <f t="array" ref="P23">IFERROR(INDEX(#REF!,SMALL(IF('ТРС общая'!$B23=#REF!,ROW(#REF!)-18,""),ROW()-(ROW()-P$2))),"")</f>
        <v/>
      </c>
      <c r="Q23" s="152" t="str">
        <f t="array" ref="Q23">IFERROR(INDEX(#REF!,SMALL(IF('ТРС общая'!$B23=#REF!,ROW(#REF!)-18,""),ROW()-(ROW()-Q$2))),"")</f>
        <v/>
      </c>
      <c r="R23" s="152" t="str">
        <f t="array" ref="R23">IFERROR(INDEX(#REF!,SMALL(IF('ТРС общая'!$B23=#REF!,ROW(#REF!)-18,""),ROW()-(ROW()-R$2))),"")</f>
        <v/>
      </c>
      <c r="S23" s="152" t="str">
        <f t="array" ref="S23">IFERROR(INDEX(#REF!,SMALL(IF('ТРС общая'!$B23=#REF!,ROW(#REF!)-18,""),ROW()-(ROW()-S$2))),"")</f>
        <v/>
      </c>
      <c r="T23" s="152" t="str">
        <f t="array" ref="T23">IFERROR(INDEX(#REF!,SMALL(IF('ТРС общая'!$B23=#REF!,ROW(#REF!)-18,""),ROW()-(ROW()-T$2))),"")</f>
        <v/>
      </c>
      <c r="U23" s="152" t="str">
        <f t="array" ref="U23">IFERROR(INDEX(#REF!,SMALL(IF('ТРС общая'!$B23=#REF!,ROW(#REF!)-18,""),ROW()-(ROW()-U$2))),"")</f>
        <v/>
      </c>
      <c r="V23" s="152" t="str">
        <f t="array" ref="V23">IFERROR(INDEX(#REF!,SMALL(IF('ТРС общая'!$B23=#REF!,ROW(#REF!)-18,""),ROW()-(ROW()-V$2))),"")</f>
        <v/>
      </c>
      <c r="W23" s="152" t="str">
        <f t="array" ref="W23">IFERROR(INDEX(#REF!,SMALL(IF('ТРС общая'!$B23=#REF!,ROW(#REF!)-18,""),ROW()-(ROW()-W$2))),"")</f>
        <v/>
      </c>
      <c r="X23" s="152" t="str">
        <f t="array" ref="X23">IFERROR(INDEX(#REF!,SMALL(IF('ТРС общая'!$B23=#REF!,ROW(#REF!)-18,""),ROW()-(ROW()-X$2))),"")</f>
        <v/>
      </c>
      <c r="Y23" s="152" t="str">
        <f t="array" ref="Y23">IFERROR(INDEX(#REF!,SMALL(IF('ТРС общая'!$B23=#REF!,ROW(#REF!)-18,""),ROW()-(ROW()-Y$2))),"")</f>
        <v/>
      </c>
      <c r="Z23" s="152" t="str">
        <f t="array" ref="Z23">IFERROR(INDEX(#REF!,SMALL(IF('ТРС общая'!$B23=#REF!,ROW(#REF!)-18,""),ROW()-(ROW()-Z$2))),"")</f>
        <v/>
      </c>
      <c r="AA23" s="152" t="str">
        <f t="array" ref="AA23">IFERROR(INDEX(#REF!,SMALL(IF('ТРС общая'!$B23=#REF!,ROW(#REF!)-18,""),ROW()-(ROW()-AA$2))),"")</f>
        <v/>
      </c>
      <c r="AB23" s="152" t="str">
        <f t="array" ref="AB23">IFERROR(INDEX(#REF!,SMALL(IF('ТРС общая'!$B23=#REF!,ROW(#REF!)-18,""),ROW()-(ROW()-AB$2))),"")</f>
        <v/>
      </c>
      <c r="AC23" s="152" t="str">
        <f t="array" ref="AC23">IFERROR(INDEX(#REF!,SMALL(IF('ТРС общая'!$B23=#REF!,ROW(#REF!)-18,""),ROW()-(ROW()-AC$2))),"")</f>
        <v/>
      </c>
      <c r="AD23" s="152" t="str">
        <f t="array" ref="AD23">IFERROR(INDEX(#REF!,SMALL(IF('ТРС общая'!$B23=#REF!,ROW(#REF!)-18,""),ROW()-(ROW()-AD$2))),"")</f>
        <v/>
      </c>
      <c r="AE23" s="152" t="str">
        <f t="array" ref="AE23">IFERROR(INDEX(#REF!,SMALL(IF('ТРС общая'!$B23=#REF!,ROW(#REF!)-18,""),ROW()-(ROW()-AE$2))),"")</f>
        <v/>
      </c>
      <c r="AF23" s="152" t="str">
        <f t="array" ref="AF23">IFERROR(INDEX(#REF!,SMALL(IF('ТРС общая'!$B23=#REF!,ROW(#REF!)-18,""),ROW()-(ROW()-AF$2))),"")</f>
        <v/>
      </c>
      <c r="AG23" s="152" t="str">
        <f t="array" ref="AG23">IFERROR(INDEX(#REF!,SMALL(IF('ТРС общая'!$B23=#REF!,ROW(#REF!)-18,""),ROW()-(ROW()-AG$2))),"")</f>
        <v/>
      </c>
      <c r="AH23" s="152" t="str">
        <f t="array" ref="AH23">IFERROR(INDEX(#REF!,SMALL(IF('ТРС общая'!$B23=#REF!,ROW(#REF!)-18,""),ROW()-(ROW()-AH$2))),"")</f>
        <v/>
      </c>
      <c r="AI23" s="152" t="str">
        <f t="array" ref="AI23">IFERROR(INDEX(#REF!,SMALL(IF('ТРС общая'!$B23=#REF!,ROW(#REF!)-18,""),ROW()-(ROW()-AI$2))),"")</f>
        <v/>
      </c>
      <c r="AJ23" s="152" t="str">
        <f t="array" ref="AJ23">IFERROR(INDEX(#REF!,SMALL(IF('ТРС общая'!$B23=#REF!,ROW(#REF!)-18,""),ROW()-(ROW()-AJ$2))),"")</f>
        <v/>
      </c>
      <c r="AK23" s="152" t="str">
        <f t="array" ref="AK23">IFERROR(INDEX(#REF!,SMALL(IF('ТРС общая'!$B23=#REF!,ROW(#REF!)-18,""),ROW()-(ROW()-AK$2))),"")</f>
        <v/>
      </c>
      <c r="AL23" s="152" t="str">
        <f t="array" ref="AL23">IFERROR(INDEX(#REF!,SMALL(IF('ТРС общая'!$B23=#REF!,ROW(#REF!)-18,""),ROW()-(ROW()-AL$2))),"")</f>
        <v/>
      </c>
      <c r="AM23" s="152" t="str">
        <f t="array" ref="AM23">IFERROR(INDEX(#REF!,SMALL(IF('ТРС общая'!$B23=#REF!,ROW(#REF!)-18,""),ROW()-(ROW()-AM$2))),"")</f>
        <v/>
      </c>
    </row>
    <row r="24" spans="2:39" s="124" customFormat="1" ht="101.5" customHeight="1" x14ac:dyDescent="0.55000000000000004">
      <c r="B24" s="155">
        <v>4</v>
      </c>
      <c r="C24" s="156">
        <f>COUNTIF('Расчет грейда'!$W:$W,'ТРС общая'!$B24)</f>
        <v>0</v>
      </c>
      <c r="D24" s="152" t="str">
        <f t="array" ref="D24">IFERROR(INDEX(#REF!,SMALL(IF('ТРС общая'!$B24=#REF!,ROW(#REF!)-18,""),ROW()-(ROW()-D$2))),"")</f>
        <v/>
      </c>
      <c r="E24" s="152" t="str">
        <f t="array" ref="E24">IFERROR(INDEX(#REF!,SMALL(IF('ТРС общая'!$B24=#REF!,ROW(#REF!)-18,""),ROW()-(ROW()-E$2))),"")</f>
        <v/>
      </c>
      <c r="F24" s="152" t="str">
        <f t="array" ref="F24">IFERROR(INDEX(#REF!,SMALL(IF('ТРС общая'!$B24=#REF!,ROW(#REF!)-18,""),ROW()-(ROW()-F$2))),"")</f>
        <v/>
      </c>
      <c r="G24" s="152" t="str">
        <f t="array" ref="G24">IFERROR(INDEX(#REF!,SMALL(IF('ТРС общая'!$B24=#REF!,ROW(#REF!)-18,""),ROW()-(ROW()-G$2))),"")</f>
        <v/>
      </c>
      <c r="H24" s="152" t="str">
        <f t="array" ref="H24">IFERROR(INDEX(#REF!,SMALL(IF('ТРС общая'!$B24=#REF!,ROW(#REF!)-18,""),ROW()-(ROW()-H$2))),"")</f>
        <v/>
      </c>
      <c r="I24" s="152" t="str">
        <f t="array" ref="I24">IFERROR(INDEX(#REF!,SMALL(IF('ТРС общая'!$B24=#REF!,ROW(#REF!)-18,""),ROW()-(ROW()-I$2))),"")</f>
        <v/>
      </c>
      <c r="J24" s="152" t="str">
        <f t="array" ref="J24">IFERROR(INDEX(#REF!,SMALL(IF('ТРС общая'!$B24=#REF!,ROW(#REF!)-18,""),ROW()-(ROW()-J$2))),"")</f>
        <v/>
      </c>
      <c r="K24" s="152" t="str">
        <f t="array" ref="K24">IFERROR(INDEX(#REF!,SMALL(IF('ТРС общая'!$B24=#REF!,ROW(#REF!)-18,""),ROW()-(ROW()-K$2))),"")</f>
        <v/>
      </c>
      <c r="L24" s="152" t="str">
        <f t="array" ref="L24">IFERROR(INDEX(#REF!,SMALL(IF('ТРС общая'!$B24=#REF!,ROW(#REF!)-18,""),ROW()-(ROW()-L$2))),"")</f>
        <v/>
      </c>
      <c r="M24" s="152" t="str">
        <f t="array" ref="M24">IFERROR(INDEX(#REF!,SMALL(IF('ТРС общая'!$B24=#REF!,ROW(#REF!)-18,""),ROW()-(ROW()-M$2))),"")</f>
        <v/>
      </c>
      <c r="N24" s="152" t="str">
        <f t="array" ref="N24">IFERROR(INDEX(#REF!,SMALL(IF('ТРС общая'!$B24=#REF!,ROW(#REF!)-18,""),ROW()-(ROW()-N$2))),"")</f>
        <v/>
      </c>
      <c r="O24" s="152" t="str">
        <f t="array" ref="O24">IFERROR(INDEX(#REF!,SMALL(IF('ТРС общая'!$B24=#REF!,ROW(#REF!)-18,""),ROW()-(ROW()-O$2))),"")</f>
        <v/>
      </c>
      <c r="P24" s="152" t="str">
        <f t="array" ref="P24">IFERROR(INDEX(#REF!,SMALL(IF('ТРС общая'!$B24=#REF!,ROW(#REF!)-18,""),ROW()-(ROW()-P$2))),"")</f>
        <v/>
      </c>
      <c r="Q24" s="152" t="str">
        <f t="array" ref="Q24">IFERROR(INDEX(#REF!,SMALL(IF('ТРС общая'!$B24=#REF!,ROW(#REF!)-18,""),ROW()-(ROW()-Q$2))),"")</f>
        <v/>
      </c>
      <c r="R24" s="152" t="str">
        <f t="array" ref="R24">IFERROR(INDEX(#REF!,SMALL(IF('ТРС общая'!$B24=#REF!,ROW(#REF!)-18,""),ROW()-(ROW()-R$2))),"")</f>
        <v/>
      </c>
      <c r="S24" s="152" t="str">
        <f t="array" ref="S24">IFERROR(INDEX(#REF!,SMALL(IF('ТРС общая'!$B24=#REF!,ROW(#REF!)-18,""),ROW()-(ROW()-S$2))),"")</f>
        <v/>
      </c>
      <c r="T24" s="152" t="str">
        <f t="array" ref="T24">IFERROR(INDEX(#REF!,SMALL(IF('ТРС общая'!$B24=#REF!,ROW(#REF!)-18,""),ROW()-(ROW()-T$2))),"")</f>
        <v/>
      </c>
      <c r="U24" s="152" t="str">
        <f t="array" ref="U24">IFERROR(INDEX(#REF!,SMALL(IF('ТРС общая'!$B24=#REF!,ROW(#REF!)-18,""),ROW()-(ROW()-U$2))),"")</f>
        <v/>
      </c>
      <c r="V24" s="152" t="str">
        <f t="array" ref="V24">IFERROR(INDEX(#REF!,SMALL(IF('ТРС общая'!$B24=#REF!,ROW(#REF!)-18,""),ROW()-(ROW()-V$2))),"")</f>
        <v/>
      </c>
      <c r="W24" s="152" t="str">
        <f t="array" ref="W24">IFERROR(INDEX(#REF!,SMALL(IF('ТРС общая'!$B24=#REF!,ROW(#REF!)-18,""),ROW()-(ROW()-W$2))),"")</f>
        <v/>
      </c>
      <c r="X24" s="152" t="str">
        <f t="array" ref="X24">IFERROR(INDEX(#REF!,SMALL(IF('ТРС общая'!$B24=#REF!,ROW(#REF!)-18,""),ROW()-(ROW()-X$2))),"")</f>
        <v/>
      </c>
      <c r="Y24" s="152" t="str">
        <f t="array" ref="Y24">IFERROR(INDEX(#REF!,SMALL(IF('ТРС общая'!$B24=#REF!,ROW(#REF!)-18,""),ROW()-(ROW()-Y$2))),"")</f>
        <v/>
      </c>
      <c r="Z24" s="152" t="str">
        <f t="array" ref="Z24">IFERROR(INDEX(#REF!,SMALL(IF('ТРС общая'!$B24=#REF!,ROW(#REF!)-18,""),ROW()-(ROW()-Z$2))),"")</f>
        <v/>
      </c>
      <c r="AA24" s="152" t="str">
        <f t="array" ref="AA24">IFERROR(INDEX(#REF!,SMALL(IF('ТРС общая'!$B24=#REF!,ROW(#REF!)-18,""),ROW()-(ROW()-AA$2))),"")</f>
        <v/>
      </c>
      <c r="AB24" s="152" t="str">
        <f t="array" ref="AB24">IFERROR(INDEX(#REF!,SMALL(IF('ТРС общая'!$B24=#REF!,ROW(#REF!)-18,""),ROW()-(ROW()-AB$2))),"")</f>
        <v/>
      </c>
      <c r="AC24" s="152" t="str">
        <f t="array" ref="AC24">IFERROR(INDEX(#REF!,SMALL(IF('ТРС общая'!$B24=#REF!,ROW(#REF!)-18,""),ROW()-(ROW()-AC$2))),"")</f>
        <v/>
      </c>
      <c r="AD24" s="152" t="str">
        <f t="array" ref="AD24">IFERROR(INDEX(#REF!,SMALL(IF('ТРС общая'!$B24=#REF!,ROW(#REF!)-18,""),ROW()-(ROW()-AD$2))),"")</f>
        <v/>
      </c>
      <c r="AE24" s="152" t="str">
        <f t="array" ref="AE24">IFERROR(INDEX(#REF!,SMALL(IF('ТРС общая'!$B24=#REF!,ROW(#REF!)-18,""),ROW()-(ROW()-AE$2))),"")</f>
        <v/>
      </c>
      <c r="AF24" s="152" t="str">
        <f t="array" ref="AF24">IFERROR(INDEX(#REF!,SMALL(IF('ТРС общая'!$B24=#REF!,ROW(#REF!)-18,""),ROW()-(ROW()-AF$2))),"")</f>
        <v/>
      </c>
      <c r="AG24" s="152" t="str">
        <f t="array" ref="AG24">IFERROR(INDEX(#REF!,SMALL(IF('ТРС общая'!$B24=#REF!,ROW(#REF!)-18,""),ROW()-(ROW()-AG$2))),"")</f>
        <v/>
      </c>
      <c r="AH24" s="152" t="str">
        <f t="array" ref="AH24">IFERROR(INDEX(#REF!,SMALL(IF('ТРС общая'!$B24=#REF!,ROW(#REF!)-18,""),ROW()-(ROW()-AH$2))),"")</f>
        <v/>
      </c>
      <c r="AI24" s="152" t="str">
        <f t="array" ref="AI24">IFERROR(INDEX(#REF!,SMALL(IF('ТРС общая'!$B24=#REF!,ROW(#REF!)-18,""),ROW()-(ROW()-AI$2))),"")</f>
        <v/>
      </c>
      <c r="AJ24" s="152" t="str">
        <f t="array" ref="AJ24">IFERROR(INDEX(#REF!,SMALL(IF('ТРС общая'!$B24=#REF!,ROW(#REF!)-18,""),ROW()-(ROW()-AJ$2))),"")</f>
        <v/>
      </c>
      <c r="AK24" s="152" t="str">
        <f t="array" ref="AK24">IFERROR(INDEX(#REF!,SMALL(IF('ТРС общая'!$B24=#REF!,ROW(#REF!)-18,""),ROW()-(ROW()-AK$2))),"")</f>
        <v/>
      </c>
      <c r="AL24" s="152" t="str">
        <f t="array" ref="AL24">IFERROR(INDEX(#REF!,SMALL(IF('ТРС общая'!$B24=#REF!,ROW(#REF!)-18,""),ROW()-(ROW()-AL$2))),"")</f>
        <v/>
      </c>
      <c r="AM24" s="152" t="str">
        <f t="array" ref="AM24">IFERROR(INDEX(#REF!,SMALL(IF('ТРС общая'!$B24=#REF!,ROW(#REF!)-18,""),ROW()-(ROW()-AM$2))),"")</f>
        <v/>
      </c>
    </row>
    <row r="25" spans="2:39" s="124" customFormat="1" ht="101.5" customHeight="1" x14ac:dyDescent="0.55000000000000004">
      <c r="B25" s="155">
        <v>3</v>
      </c>
      <c r="C25" s="156">
        <f>COUNTIF('Расчет грейда'!$W:$W,'ТРС общая'!$B25)</f>
        <v>0</v>
      </c>
      <c r="D25" s="152" t="str">
        <f t="array" ref="D25">IFERROR(INDEX(#REF!,SMALL(IF('ТРС общая'!$B25=#REF!,ROW(#REF!)-18,""),ROW()-(ROW()-D$2))),"")</f>
        <v/>
      </c>
      <c r="E25" s="152" t="str">
        <f t="array" ref="E25">IFERROR(INDEX(#REF!,SMALL(IF('ТРС общая'!$B25=#REF!,ROW(#REF!)-18,""),ROW()-(ROW()-E$2))),"")</f>
        <v/>
      </c>
      <c r="F25" s="152" t="str">
        <f t="array" ref="F25">IFERROR(INDEX(#REF!,SMALL(IF('ТРС общая'!$B25=#REF!,ROW(#REF!)-18,""),ROW()-(ROW()-F$2))),"")</f>
        <v/>
      </c>
      <c r="G25" s="152" t="str">
        <f t="array" ref="G25">IFERROR(INDEX(#REF!,SMALL(IF('ТРС общая'!$B25=#REF!,ROW(#REF!)-18,""),ROW()-(ROW()-G$2))),"")</f>
        <v/>
      </c>
      <c r="H25" s="152" t="str">
        <f t="array" ref="H25">IFERROR(INDEX(#REF!,SMALL(IF('ТРС общая'!$B25=#REF!,ROW(#REF!)-18,""),ROW()-(ROW()-H$2))),"")</f>
        <v/>
      </c>
      <c r="I25" s="152" t="str">
        <f t="array" ref="I25">IFERROR(INDEX(#REF!,SMALL(IF('ТРС общая'!$B25=#REF!,ROW(#REF!)-18,""),ROW()-(ROW()-I$2))),"")</f>
        <v/>
      </c>
      <c r="J25" s="152" t="str">
        <f t="array" ref="J25">IFERROR(INDEX(#REF!,SMALL(IF('ТРС общая'!$B25=#REF!,ROW(#REF!)-18,""),ROW()-(ROW()-J$2))),"")</f>
        <v/>
      </c>
      <c r="K25" s="152" t="str">
        <f t="array" ref="K25">IFERROR(INDEX(#REF!,SMALL(IF('ТРС общая'!$B25=#REF!,ROW(#REF!)-18,""),ROW()-(ROW()-K$2))),"")</f>
        <v/>
      </c>
      <c r="L25" s="152" t="str">
        <f t="array" ref="L25">IFERROR(INDEX(#REF!,SMALL(IF('ТРС общая'!$B25=#REF!,ROW(#REF!)-18,""),ROW()-(ROW()-L$2))),"")</f>
        <v/>
      </c>
      <c r="M25" s="152" t="str">
        <f t="array" ref="M25">IFERROR(INDEX(#REF!,SMALL(IF('ТРС общая'!$B25=#REF!,ROW(#REF!)-18,""),ROW()-(ROW()-M$2))),"")</f>
        <v/>
      </c>
      <c r="N25" s="152" t="str">
        <f t="array" ref="N25">IFERROR(INDEX(#REF!,SMALL(IF('ТРС общая'!$B25=#REF!,ROW(#REF!)-18,""),ROW()-(ROW()-N$2))),"")</f>
        <v/>
      </c>
      <c r="O25" s="152" t="str">
        <f t="array" ref="O25">IFERROR(INDEX(#REF!,SMALL(IF('ТРС общая'!$B25=#REF!,ROW(#REF!)-18,""),ROW()-(ROW()-O$2))),"")</f>
        <v/>
      </c>
      <c r="P25" s="152" t="str">
        <f t="array" ref="P25">IFERROR(INDEX(#REF!,SMALL(IF('ТРС общая'!$B25=#REF!,ROW(#REF!)-18,""),ROW()-(ROW()-P$2))),"")</f>
        <v/>
      </c>
      <c r="Q25" s="152" t="str">
        <f t="array" ref="Q25">IFERROR(INDEX(#REF!,SMALL(IF('ТРС общая'!$B25=#REF!,ROW(#REF!)-18,""),ROW()-(ROW()-Q$2))),"")</f>
        <v/>
      </c>
      <c r="R25" s="152" t="str">
        <f t="array" ref="R25">IFERROR(INDEX(#REF!,SMALL(IF('ТРС общая'!$B25=#REF!,ROW(#REF!)-18,""),ROW()-(ROW()-R$2))),"")</f>
        <v/>
      </c>
      <c r="S25" s="152" t="str">
        <f t="array" ref="S25">IFERROR(INDEX(#REF!,SMALL(IF('ТРС общая'!$B25=#REF!,ROW(#REF!)-18,""),ROW()-(ROW()-S$2))),"")</f>
        <v/>
      </c>
      <c r="T25" s="152" t="str">
        <f t="array" ref="T25">IFERROR(INDEX(#REF!,SMALL(IF('ТРС общая'!$B25=#REF!,ROW(#REF!)-18,""),ROW()-(ROW()-T$2))),"")</f>
        <v/>
      </c>
      <c r="U25" s="152" t="str">
        <f t="array" ref="U25">IFERROR(INDEX(#REF!,SMALL(IF('ТРС общая'!$B25=#REF!,ROW(#REF!)-18,""),ROW()-(ROW()-U$2))),"")</f>
        <v/>
      </c>
      <c r="V25" s="152" t="str">
        <f t="array" ref="V25">IFERROR(INDEX(#REF!,SMALL(IF('ТРС общая'!$B25=#REF!,ROW(#REF!)-18,""),ROW()-(ROW()-V$2))),"")</f>
        <v/>
      </c>
      <c r="W25" s="152" t="str">
        <f t="array" ref="W25">IFERROR(INDEX(#REF!,SMALL(IF('ТРС общая'!$B25=#REF!,ROW(#REF!)-18,""),ROW()-(ROW()-W$2))),"")</f>
        <v/>
      </c>
      <c r="X25" s="152" t="str">
        <f t="array" ref="X25">IFERROR(INDEX(#REF!,SMALL(IF('ТРС общая'!$B25=#REF!,ROW(#REF!)-18,""),ROW()-(ROW()-X$2))),"")</f>
        <v/>
      </c>
      <c r="Y25" s="152" t="str">
        <f t="array" ref="Y25">IFERROR(INDEX(#REF!,SMALL(IF('ТРС общая'!$B25=#REF!,ROW(#REF!)-18,""),ROW()-(ROW()-Y$2))),"")</f>
        <v/>
      </c>
      <c r="Z25" s="152" t="str">
        <f t="array" ref="Z25">IFERROR(INDEX(#REF!,SMALL(IF('ТРС общая'!$B25=#REF!,ROW(#REF!)-18,""),ROW()-(ROW()-Z$2))),"")</f>
        <v/>
      </c>
      <c r="AA25" s="152" t="str">
        <f t="array" ref="AA25">IFERROR(INDEX(#REF!,SMALL(IF('ТРС общая'!$B25=#REF!,ROW(#REF!)-18,""),ROW()-(ROW()-AA$2))),"")</f>
        <v/>
      </c>
      <c r="AB25" s="152" t="str">
        <f t="array" ref="AB25">IFERROR(INDEX(#REF!,SMALL(IF('ТРС общая'!$B25=#REF!,ROW(#REF!)-18,""),ROW()-(ROW()-AB$2))),"")</f>
        <v/>
      </c>
      <c r="AC25" s="152" t="str">
        <f t="array" ref="AC25">IFERROR(INDEX(#REF!,SMALL(IF('ТРС общая'!$B25=#REF!,ROW(#REF!)-18,""),ROW()-(ROW()-AC$2))),"")</f>
        <v/>
      </c>
      <c r="AD25" s="152" t="str">
        <f t="array" ref="AD25">IFERROR(INDEX(#REF!,SMALL(IF('ТРС общая'!$B25=#REF!,ROW(#REF!)-18,""),ROW()-(ROW()-AD$2))),"")</f>
        <v/>
      </c>
      <c r="AE25" s="152" t="str">
        <f t="array" ref="AE25">IFERROR(INDEX(#REF!,SMALL(IF('ТРС общая'!$B25=#REF!,ROW(#REF!)-18,""),ROW()-(ROW()-AE$2))),"")</f>
        <v/>
      </c>
      <c r="AF25" s="152" t="str">
        <f t="array" ref="AF25">IFERROR(INDEX(#REF!,SMALL(IF('ТРС общая'!$B25=#REF!,ROW(#REF!)-18,""),ROW()-(ROW()-AF$2))),"")</f>
        <v/>
      </c>
      <c r="AG25" s="152" t="str">
        <f t="array" ref="AG25">IFERROR(INDEX(#REF!,SMALL(IF('ТРС общая'!$B25=#REF!,ROW(#REF!)-18,""),ROW()-(ROW()-AG$2))),"")</f>
        <v/>
      </c>
      <c r="AH25" s="152" t="str">
        <f t="array" ref="AH25">IFERROR(INDEX(#REF!,SMALL(IF('ТРС общая'!$B25=#REF!,ROW(#REF!)-18,""),ROW()-(ROW()-AH$2))),"")</f>
        <v/>
      </c>
      <c r="AI25" s="152" t="str">
        <f t="array" ref="AI25">IFERROR(INDEX(#REF!,SMALL(IF('ТРС общая'!$B25=#REF!,ROW(#REF!)-18,""),ROW()-(ROW()-AI$2))),"")</f>
        <v/>
      </c>
      <c r="AJ25" s="152" t="str">
        <f t="array" ref="AJ25">IFERROR(INDEX(#REF!,SMALL(IF('ТРС общая'!$B25=#REF!,ROW(#REF!)-18,""),ROW()-(ROW()-AJ$2))),"")</f>
        <v/>
      </c>
      <c r="AK25" s="152" t="str">
        <f t="array" ref="AK25">IFERROR(INDEX(#REF!,SMALL(IF('ТРС общая'!$B25=#REF!,ROW(#REF!)-18,""),ROW()-(ROW()-AK$2))),"")</f>
        <v/>
      </c>
      <c r="AL25" s="152" t="str">
        <f t="array" ref="AL25">IFERROR(INDEX(#REF!,SMALL(IF('ТРС общая'!$B25=#REF!,ROW(#REF!)-18,""),ROW()-(ROW()-AL$2))),"")</f>
        <v/>
      </c>
      <c r="AM25" s="152" t="str">
        <f t="array" ref="AM25">IFERROR(INDEX(#REF!,SMALL(IF('ТРС общая'!$B25=#REF!,ROW(#REF!)-18,""),ROW()-(ROW()-AM$2))),"")</f>
        <v/>
      </c>
    </row>
    <row r="26" spans="2:39" s="124" customFormat="1" ht="101.5" customHeight="1" x14ac:dyDescent="0.55000000000000004">
      <c r="B26" s="155">
        <v>2</v>
      </c>
      <c r="C26" s="156">
        <f>COUNTIF('Расчет грейда'!$W:$W,'ТРС общая'!$B26)</f>
        <v>0</v>
      </c>
      <c r="D26" s="152" t="str">
        <f t="array" ref="D26">IFERROR(INDEX(#REF!,SMALL(IF('ТРС общая'!$B26=#REF!,ROW(#REF!)-18,""),ROW()-(ROW()-D$2))),"")</f>
        <v/>
      </c>
      <c r="E26" s="152" t="str">
        <f t="array" ref="E26">IFERROR(INDEX(#REF!,SMALL(IF('ТРС общая'!$B26=#REF!,ROW(#REF!)-18,""),ROW()-(ROW()-E$2))),"")</f>
        <v/>
      </c>
      <c r="F26" s="152" t="str">
        <f t="array" ref="F26">IFERROR(INDEX(#REF!,SMALL(IF('ТРС общая'!$B26=#REF!,ROW(#REF!)-18,""),ROW()-(ROW()-F$2))),"")</f>
        <v/>
      </c>
      <c r="G26" s="152" t="str">
        <f t="array" ref="G26">IFERROR(INDEX(#REF!,SMALL(IF('ТРС общая'!$B26=#REF!,ROW(#REF!)-18,""),ROW()-(ROW()-G$2))),"")</f>
        <v/>
      </c>
      <c r="H26" s="152" t="str">
        <f t="array" ref="H26">IFERROR(INDEX(#REF!,SMALL(IF('ТРС общая'!$B26=#REF!,ROW(#REF!)-18,""),ROW()-(ROW()-H$2))),"")</f>
        <v/>
      </c>
      <c r="I26" s="152" t="str">
        <f t="array" ref="I26">IFERROR(INDEX(#REF!,SMALL(IF('ТРС общая'!$B26=#REF!,ROW(#REF!)-18,""),ROW()-(ROW()-I$2))),"")</f>
        <v/>
      </c>
      <c r="J26" s="152" t="str">
        <f t="array" ref="J26">IFERROR(INDEX(#REF!,SMALL(IF('ТРС общая'!$B26=#REF!,ROW(#REF!)-18,""),ROW()-(ROW()-J$2))),"")</f>
        <v/>
      </c>
      <c r="K26" s="152" t="str">
        <f t="array" ref="K26">IFERROR(INDEX(#REF!,SMALL(IF('ТРС общая'!$B26=#REF!,ROW(#REF!)-18,""),ROW()-(ROW()-K$2))),"")</f>
        <v/>
      </c>
      <c r="L26" s="152" t="str">
        <f t="array" ref="L26">IFERROR(INDEX(#REF!,SMALL(IF('ТРС общая'!$B26=#REF!,ROW(#REF!)-18,""),ROW()-(ROW()-L$2))),"")</f>
        <v/>
      </c>
      <c r="M26" s="152" t="str">
        <f t="array" ref="M26">IFERROR(INDEX(#REF!,SMALL(IF('ТРС общая'!$B26=#REF!,ROW(#REF!)-18,""),ROW()-(ROW()-M$2))),"")</f>
        <v/>
      </c>
      <c r="N26" s="152" t="str">
        <f t="array" ref="N26">IFERROR(INDEX(#REF!,SMALL(IF('ТРС общая'!$B26=#REF!,ROW(#REF!)-18,""),ROW()-(ROW()-N$2))),"")</f>
        <v/>
      </c>
      <c r="O26" s="152" t="str">
        <f t="array" ref="O26">IFERROR(INDEX(#REF!,SMALL(IF('ТРС общая'!$B26=#REF!,ROW(#REF!)-18,""),ROW()-(ROW()-O$2))),"")</f>
        <v/>
      </c>
      <c r="P26" s="152" t="str">
        <f t="array" ref="P26">IFERROR(INDEX(#REF!,SMALL(IF('ТРС общая'!$B26=#REF!,ROW(#REF!)-18,""),ROW()-(ROW()-P$2))),"")</f>
        <v/>
      </c>
      <c r="Q26" s="152" t="str">
        <f t="array" ref="Q26">IFERROR(INDEX(#REF!,SMALL(IF('ТРС общая'!$B26=#REF!,ROW(#REF!)-18,""),ROW()-(ROW()-Q$2))),"")</f>
        <v/>
      </c>
      <c r="R26" s="152" t="str">
        <f t="array" ref="R26">IFERROR(INDEX(#REF!,SMALL(IF('ТРС общая'!$B26=#REF!,ROW(#REF!)-18,""),ROW()-(ROW()-R$2))),"")</f>
        <v/>
      </c>
      <c r="S26" s="152" t="str">
        <f t="array" ref="S26">IFERROR(INDEX(#REF!,SMALL(IF('ТРС общая'!$B26=#REF!,ROW(#REF!)-18,""),ROW()-(ROW()-S$2))),"")</f>
        <v/>
      </c>
      <c r="T26" s="152" t="str">
        <f t="array" ref="T26">IFERROR(INDEX(#REF!,SMALL(IF('ТРС общая'!$B26=#REF!,ROW(#REF!)-18,""),ROW()-(ROW()-T$2))),"")</f>
        <v/>
      </c>
      <c r="U26" s="152" t="str">
        <f t="array" ref="U26">IFERROR(INDEX(#REF!,SMALL(IF('ТРС общая'!$B26=#REF!,ROW(#REF!)-18,""),ROW()-(ROW()-U$2))),"")</f>
        <v/>
      </c>
      <c r="V26" s="152" t="str">
        <f t="array" ref="V26">IFERROR(INDEX(#REF!,SMALL(IF('ТРС общая'!$B26=#REF!,ROW(#REF!)-18,""),ROW()-(ROW()-V$2))),"")</f>
        <v/>
      </c>
      <c r="W26" s="152" t="str">
        <f t="array" ref="W26">IFERROR(INDEX(#REF!,SMALL(IF('ТРС общая'!$B26=#REF!,ROW(#REF!)-18,""),ROW()-(ROW()-W$2))),"")</f>
        <v/>
      </c>
      <c r="X26" s="152" t="str">
        <f t="array" ref="X26">IFERROR(INDEX(#REF!,SMALL(IF('ТРС общая'!$B26=#REF!,ROW(#REF!)-18,""),ROW()-(ROW()-X$2))),"")</f>
        <v/>
      </c>
      <c r="Y26" s="152" t="str">
        <f t="array" ref="Y26">IFERROR(INDEX(#REF!,SMALL(IF('ТРС общая'!$B26=#REF!,ROW(#REF!)-18,""),ROW()-(ROW()-Y$2))),"")</f>
        <v/>
      </c>
      <c r="Z26" s="152" t="str">
        <f t="array" ref="Z26">IFERROR(INDEX(#REF!,SMALL(IF('ТРС общая'!$B26=#REF!,ROW(#REF!)-18,""),ROW()-(ROW()-Z$2))),"")</f>
        <v/>
      </c>
      <c r="AA26" s="152" t="str">
        <f t="array" ref="AA26">IFERROR(INDEX(#REF!,SMALL(IF('ТРС общая'!$B26=#REF!,ROW(#REF!)-18,""),ROW()-(ROW()-AA$2))),"")</f>
        <v/>
      </c>
      <c r="AB26" s="152" t="str">
        <f t="array" ref="AB26">IFERROR(INDEX(#REF!,SMALL(IF('ТРС общая'!$B26=#REF!,ROW(#REF!)-18,""),ROW()-(ROW()-AB$2))),"")</f>
        <v/>
      </c>
      <c r="AC26" s="152" t="str">
        <f t="array" ref="AC26">IFERROR(INDEX(#REF!,SMALL(IF('ТРС общая'!$B26=#REF!,ROW(#REF!)-18,""),ROW()-(ROW()-AC$2))),"")</f>
        <v/>
      </c>
      <c r="AD26" s="152" t="str">
        <f t="array" ref="AD26">IFERROR(INDEX(#REF!,SMALL(IF('ТРС общая'!$B26=#REF!,ROW(#REF!)-18,""),ROW()-(ROW()-AD$2))),"")</f>
        <v/>
      </c>
      <c r="AE26" s="152" t="str">
        <f t="array" ref="AE26">IFERROR(INDEX(#REF!,SMALL(IF('ТРС общая'!$B26=#REF!,ROW(#REF!)-18,""),ROW()-(ROW()-AE$2))),"")</f>
        <v/>
      </c>
      <c r="AF26" s="152" t="str">
        <f t="array" ref="AF26">IFERROR(INDEX(#REF!,SMALL(IF('ТРС общая'!$B26=#REF!,ROW(#REF!)-18,""),ROW()-(ROW()-AF$2))),"")</f>
        <v/>
      </c>
      <c r="AG26" s="152" t="str">
        <f t="array" ref="AG26">IFERROR(INDEX(#REF!,SMALL(IF('ТРС общая'!$B26=#REF!,ROW(#REF!)-18,""),ROW()-(ROW()-AG$2))),"")</f>
        <v/>
      </c>
      <c r="AH26" s="152" t="str">
        <f t="array" ref="AH26">IFERROR(INDEX(#REF!,SMALL(IF('ТРС общая'!$B26=#REF!,ROW(#REF!)-18,""),ROW()-(ROW()-AH$2))),"")</f>
        <v/>
      </c>
      <c r="AI26" s="152" t="str">
        <f t="array" ref="AI26">IFERROR(INDEX(#REF!,SMALL(IF('ТРС общая'!$B26=#REF!,ROW(#REF!)-18,""),ROW()-(ROW()-AI$2))),"")</f>
        <v/>
      </c>
      <c r="AJ26" s="152" t="str">
        <f t="array" ref="AJ26">IFERROR(INDEX(#REF!,SMALL(IF('ТРС общая'!$B26=#REF!,ROW(#REF!)-18,""),ROW()-(ROW()-AJ$2))),"")</f>
        <v/>
      </c>
      <c r="AK26" s="152" t="str">
        <f t="array" ref="AK26">IFERROR(INDEX(#REF!,SMALL(IF('ТРС общая'!$B26=#REF!,ROW(#REF!)-18,""),ROW()-(ROW()-AK$2))),"")</f>
        <v/>
      </c>
      <c r="AL26" s="152" t="str">
        <f t="array" ref="AL26">IFERROR(INDEX(#REF!,SMALL(IF('ТРС общая'!$B26=#REF!,ROW(#REF!)-18,""),ROW()-(ROW()-AL$2))),"")</f>
        <v/>
      </c>
      <c r="AM26" s="152" t="str">
        <f t="array" ref="AM26">IFERROR(INDEX(#REF!,SMALL(IF('ТРС общая'!$B26=#REF!,ROW(#REF!)-18,""),ROW()-(ROW()-AM$2))),"")</f>
        <v/>
      </c>
    </row>
    <row r="27" spans="2:39" s="124" customFormat="1" ht="101.5" customHeight="1" x14ac:dyDescent="0.55000000000000004">
      <c r="B27" s="155">
        <v>1</v>
      </c>
      <c r="C27" s="156">
        <f>COUNTIF('Расчет грейда'!$W:$W,'ТРС общая'!$B27)</f>
        <v>0</v>
      </c>
      <c r="D27" s="152" t="str">
        <f t="array" ref="D27">IFERROR(INDEX(#REF!,SMALL(IF('ТРС общая'!$B27=#REF!,ROW(#REF!)-18,""),ROW()-(ROW()-D$2))),"")</f>
        <v/>
      </c>
      <c r="E27" s="152" t="str">
        <f t="array" ref="E27">IFERROR(INDEX(#REF!,SMALL(IF('ТРС общая'!$B27=#REF!,ROW(#REF!)-18,""),ROW()-(ROW()-E$2))),"")</f>
        <v/>
      </c>
      <c r="F27" s="152" t="str">
        <f t="array" ref="F27">IFERROR(INDEX(#REF!,SMALL(IF('ТРС общая'!$B27=#REF!,ROW(#REF!)-18,""),ROW()-(ROW()-F$2))),"")</f>
        <v/>
      </c>
      <c r="G27" s="152" t="str">
        <f t="array" ref="G27">IFERROR(INDEX(#REF!,SMALL(IF('ТРС общая'!$B27=#REF!,ROW(#REF!)-18,""),ROW()-(ROW()-G$2))),"")</f>
        <v/>
      </c>
      <c r="H27" s="152" t="str">
        <f t="array" ref="H27">IFERROR(INDEX(#REF!,SMALL(IF('ТРС общая'!$B27=#REF!,ROW(#REF!)-18,""),ROW()-(ROW()-H$2))),"")</f>
        <v/>
      </c>
      <c r="I27" s="152" t="str">
        <f t="array" ref="I27">IFERROR(INDEX(#REF!,SMALL(IF('ТРС общая'!$B27=#REF!,ROW(#REF!)-18,""),ROW()-(ROW()-I$2))),"")</f>
        <v/>
      </c>
      <c r="J27" s="152" t="str">
        <f t="array" ref="J27">IFERROR(INDEX(#REF!,SMALL(IF('ТРС общая'!$B27=#REF!,ROW(#REF!)-18,""),ROW()-(ROW()-J$2))),"")</f>
        <v/>
      </c>
      <c r="K27" s="152" t="str">
        <f t="array" ref="K27">IFERROR(INDEX(#REF!,SMALL(IF('ТРС общая'!$B27=#REF!,ROW(#REF!)-18,""),ROW()-(ROW()-K$2))),"")</f>
        <v/>
      </c>
      <c r="L27" s="152" t="str">
        <f t="array" ref="L27">IFERROR(INDEX(#REF!,SMALL(IF('ТРС общая'!$B27=#REF!,ROW(#REF!)-18,""),ROW()-(ROW()-L$2))),"")</f>
        <v/>
      </c>
      <c r="M27" s="152" t="str">
        <f t="array" ref="M27">IFERROR(INDEX(#REF!,SMALL(IF('ТРС общая'!$B27=#REF!,ROW(#REF!)-18,""),ROW()-(ROW()-M$2))),"")</f>
        <v/>
      </c>
      <c r="N27" s="152" t="str">
        <f t="array" ref="N27">IFERROR(INDEX(#REF!,SMALL(IF('ТРС общая'!$B27=#REF!,ROW(#REF!)-18,""),ROW()-(ROW()-N$2))),"")</f>
        <v/>
      </c>
      <c r="O27" s="152" t="str">
        <f t="array" ref="O27">IFERROR(INDEX(#REF!,SMALL(IF('ТРС общая'!$B27=#REF!,ROW(#REF!)-18,""),ROW()-(ROW()-O$2))),"")</f>
        <v/>
      </c>
      <c r="P27" s="152" t="str">
        <f t="array" ref="P27">IFERROR(INDEX(#REF!,SMALL(IF('ТРС общая'!$B27=#REF!,ROW(#REF!)-18,""),ROW()-(ROW()-P$2))),"")</f>
        <v/>
      </c>
      <c r="Q27" s="152" t="str">
        <f t="array" ref="Q27">IFERROR(INDEX(#REF!,SMALL(IF('ТРС общая'!$B27=#REF!,ROW(#REF!)-18,""),ROW()-(ROW()-Q$2))),"")</f>
        <v/>
      </c>
      <c r="R27" s="152" t="str">
        <f t="array" ref="R27">IFERROR(INDEX(#REF!,SMALL(IF('ТРС общая'!$B27=#REF!,ROW(#REF!)-18,""),ROW()-(ROW()-R$2))),"")</f>
        <v/>
      </c>
      <c r="S27" s="152" t="str">
        <f t="array" ref="S27">IFERROR(INDEX(#REF!,SMALL(IF('ТРС общая'!$B27=#REF!,ROW(#REF!)-18,""),ROW()-(ROW()-S$2))),"")</f>
        <v/>
      </c>
      <c r="T27" s="152" t="str">
        <f t="array" ref="T27">IFERROR(INDEX(#REF!,SMALL(IF('ТРС общая'!$B27=#REF!,ROW(#REF!)-18,""),ROW()-(ROW()-T$2))),"")</f>
        <v/>
      </c>
      <c r="U27" s="152" t="str">
        <f t="array" ref="U27">IFERROR(INDEX(#REF!,SMALL(IF('ТРС общая'!$B27=#REF!,ROW(#REF!)-18,""),ROW()-(ROW()-U$2))),"")</f>
        <v/>
      </c>
      <c r="V27" s="152" t="str">
        <f t="array" ref="V27">IFERROR(INDEX(#REF!,SMALL(IF('ТРС общая'!$B27=#REF!,ROW(#REF!)-18,""),ROW()-(ROW()-V$2))),"")</f>
        <v/>
      </c>
      <c r="W27" s="152" t="str">
        <f t="array" ref="W27">IFERROR(INDEX(#REF!,SMALL(IF('ТРС общая'!$B27=#REF!,ROW(#REF!)-18,""),ROW()-(ROW()-W$2))),"")</f>
        <v/>
      </c>
      <c r="X27" s="152" t="str">
        <f t="array" ref="X27">IFERROR(INDEX(#REF!,SMALL(IF('ТРС общая'!$B27=#REF!,ROW(#REF!)-18,""),ROW()-(ROW()-X$2))),"")</f>
        <v/>
      </c>
      <c r="Y27" s="152" t="str">
        <f t="array" ref="Y27">IFERROR(INDEX(#REF!,SMALL(IF('ТРС общая'!$B27=#REF!,ROW(#REF!)-18,""),ROW()-(ROW()-Y$2))),"")</f>
        <v/>
      </c>
      <c r="Z27" s="152" t="str">
        <f t="array" ref="Z27">IFERROR(INDEX(#REF!,SMALL(IF('ТРС общая'!$B27=#REF!,ROW(#REF!)-18,""),ROW()-(ROW()-Z$2))),"")</f>
        <v/>
      </c>
      <c r="AA27" s="152" t="str">
        <f t="array" ref="AA27">IFERROR(INDEX(#REF!,SMALL(IF('ТРС общая'!$B27=#REF!,ROW(#REF!)-18,""),ROW()-(ROW()-AA$2))),"")</f>
        <v/>
      </c>
      <c r="AB27" s="152" t="str">
        <f t="array" ref="AB27">IFERROR(INDEX(#REF!,SMALL(IF('ТРС общая'!$B27=#REF!,ROW(#REF!)-18,""),ROW()-(ROW()-AB$2))),"")</f>
        <v/>
      </c>
      <c r="AC27" s="152" t="str">
        <f t="array" ref="AC27">IFERROR(INDEX(#REF!,SMALL(IF('ТРС общая'!$B27=#REF!,ROW(#REF!)-18,""),ROW()-(ROW()-AC$2))),"")</f>
        <v/>
      </c>
      <c r="AD27" s="152" t="str">
        <f t="array" ref="AD27">IFERROR(INDEX(#REF!,SMALL(IF('ТРС общая'!$B27=#REF!,ROW(#REF!)-18,""),ROW()-(ROW()-AD$2))),"")</f>
        <v/>
      </c>
      <c r="AE27" s="152" t="str">
        <f t="array" ref="AE27">IFERROR(INDEX(#REF!,SMALL(IF('ТРС общая'!$B27=#REF!,ROW(#REF!)-18,""),ROW()-(ROW()-AE$2))),"")</f>
        <v/>
      </c>
      <c r="AF27" s="152" t="str">
        <f t="array" ref="AF27">IFERROR(INDEX(#REF!,SMALL(IF('ТРС общая'!$B27=#REF!,ROW(#REF!)-18,""),ROW()-(ROW()-AF$2))),"")</f>
        <v/>
      </c>
      <c r="AG27" s="152" t="str">
        <f t="array" ref="AG27">IFERROR(INDEX(#REF!,SMALL(IF('ТРС общая'!$B27=#REF!,ROW(#REF!)-18,""),ROW()-(ROW()-AG$2))),"")</f>
        <v/>
      </c>
      <c r="AH27" s="152" t="str">
        <f t="array" ref="AH27">IFERROR(INDEX(#REF!,SMALL(IF('ТРС общая'!$B27=#REF!,ROW(#REF!)-18,""),ROW()-(ROW()-AH$2))),"")</f>
        <v/>
      </c>
      <c r="AI27" s="152" t="str">
        <f t="array" ref="AI27">IFERROR(INDEX(#REF!,SMALL(IF('ТРС общая'!$B27=#REF!,ROW(#REF!)-18,""),ROW()-(ROW()-AI$2))),"")</f>
        <v/>
      </c>
      <c r="AJ27" s="152" t="str">
        <f t="array" ref="AJ27">IFERROR(INDEX(#REF!,SMALL(IF('ТРС общая'!$B27=#REF!,ROW(#REF!)-18,""),ROW()-(ROW()-AJ$2))),"")</f>
        <v/>
      </c>
      <c r="AK27" s="152" t="str">
        <f t="array" ref="AK27">IFERROR(INDEX(#REF!,SMALL(IF('ТРС общая'!$B27=#REF!,ROW(#REF!)-18,""),ROW()-(ROW()-AK$2))),"")</f>
        <v/>
      </c>
      <c r="AL27" s="152" t="str">
        <f t="array" ref="AL27">IFERROR(INDEX(#REF!,SMALL(IF('ТРС общая'!$B27=#REF!,ROW(#REF!)-18,""),ROW()-(ROW()-AL$2))),"")</f>
        <v/>
      </c>
      <c r="AM27" s="152" t="str">
        <f t="array" ref="AM27">IFERROR(INDEX(#REF!,SMALL(IF('ТРС общая'!$B27=#REF!,ROW(#REF!)-18,""),ROW()-(ROW()-AM$2))),"")</f>
        <v/>
      </c>
    </row>
    <row r="28" spans="2:39" s="124" customFormat="1" ht="101.5" customHeight="1" x14ac:dyDescent="0.55000000000000004">
      <c r="B28" s="155">
        <v>0</v>
      </c>
      <c r="C28" s="156">
        <f>COUNTIF('Расчет грейда'!$W:$W,'ТРС общая'!$B28)</f>
        <v>0</v>
      </c>
      <c r="D28" s="152" t="str">
        <f t="array" ref="D28">IFERROR(INDEX(#REF!,SMALL(IF('ТРС общая'!$B28=#REF!,ROW(#REF!)-18,""),ROW()-(ROW()-D$2))),"")</f>
        <v/>
      </c>
      <c r="E28" s="152" t="str">
        <f t="array" ref="E28">IFERROR(INDEX(#REF!,SMALL(IF('ТРС общая'!$B28=#REF!,ROW(#REF!)-18,""),ROW()-(ROW()-E$2))),"")</f>
        <v/>
      </c>
      <c r="F28" s="152" t="str">
        <f t="array" ref="F28">IFERROR(INDEX(#REF!,SMALL(IF('ТРС общая'!$B28=#REF!,ROW(#REF!)-18,""),ROW()-(ROW()-F$2))),"")</f>
        <v/>
      </c>
      <c r="G28" s="152" t="str">
        <f t="array" ref="G28">IFERROR(INDEX(#REF!,SMALL(IF('ТРС общая'!$B28=#REF!,ROW(#REF!)-18,""),ROW()-(ROW()-G$2))),"")</f>
        <v/>
      </c>
      <c r="H28" s="152" t="str">
        <f t="array" ref="H28">IFERROR(INDEX(#REF!,SMALL(IF('ТРС общая'!$B28=#REF!,ROW(#REF!)-18,""),ROW()-(ROW()-H$2))),"")</f>
        <v/>
      </c>
      <c r="I28" s="152" t="str">
        <f t="array" ref="I28">IFERROR(INDEX(#REF!,SMALL(IF('ТРС общая'!$B28=#REF!,ROW(#REF!)-18,""),ROW()-(ROW()-I$2))),"")</f>
        <v/>
      </c>
      <c r="J28" s="152" t="str">
        <f t="array" ref="J28">IFERROR(INDEX(#REF!,SMALL(IF('ТРС общая'!$B28=#REF!,ROW(#REF!)-18,""),ROW()-(ROW()-J$2))),"")</f>
        <v/>
      </c>
      <c r="K28" s="152" t="str">
        <f t="array" ref="K28">IFERROR(INDEX(#REF!,SMALL(IF('ТРС общая'!$B28=#REF!,ROW(#REF!)-18,""),ROW()-(ROW()-K$2))),"")</f>
        <v/>
      </c>
      <c r="L28" s="152" t="str">
        <f t="array" ref="L28">IFERROR(INDEX(#REF!,SMALL(IF('ТРС общая'!$B28=#REF!,ROW(#REF!)-18,""),ROW()-(ROW()-L$2))),"")</f>
        <v/>
      </c>
      <c r="M28" s="152" t="str">
        <f t="array" ref="M28">IFERROR(INDEX(#REF!,SMALL(IF('ТРС общая'!$B28=#REF!,ROW(#REF!)-18,""),ROW()-(ROW()-M$2))),"")</f>
        <v/>
      </c>
      <c r="N28" s="152" t="str">
        <f t="array" ref="N28">IFERROR(INDEX(#REF!,SMALL(IF('ТРС общая'!$B28=#REF!,ROW(#REF!)-18,""),ROW()-(ROW()-N$2))),"")</f>
        <v/>
      </c>
      <c r="O28" s="152" t="str">
        <f t="array" ref="O28">IFERROR(INDEX(#REF!,SMALL(IF('ТРС общая'!$B28=#REF!,ROW(#REF!)-18,""),ROW()-(ROW()-O$2))),"")</f>
        <v/>
      </c>
      <c r="P28" s="152" t="str">
        <f t="array" ref="P28">IFERROR(INDEX(#REF!,SMALL(IF('ТРС общая'!$B28=#REF!,ROW(#REF!)-18,""),ROW()-(ROW()-P$2))),"")</f>
        <v/>
      </c>
      <c r="Q28" s="152" t="str">
        <f t="array" ref="Q28">IFERROR(INDEX(#REF!,SMALL(IF('ТРС общая'!$B28=#REF!,ROW(#REF!)-18,""),ROW()-(ROW()-Q$2))),"")</f>
        <v/>
      </c>
      <c r="R28" s="152" t="str">
        <f t="array" ref="R28">IFERROR(INDEX(#REF!,SMALL(IF('ТРС общая'!$B28=#REF!,ROW(#REF!)-18,""),ROW()-(ROW()-R$2))),"")</f>
        <v/>
      </c>
      <c r="S28" s="152" t="str">
        <f t="array" ref="S28">IFERROR(INDEX(#REF!,SMALL(IF('ТРС общая'!$B28=#REF!,ROW(#REF!)-18,""),ROW()-(ROW()-S$2))),"")</f>
        <v/>
      </c>
      <c r="T28" s="152" t="str">
        <f t="array" ref="T28">IFERROR(INDEX(#REF!,SMALL(IF('ТРС общая'!$B28=#REF!,ROW(#REF!)-18,""),ROW()-(ROW()-T$2))),"")</f>
        <v/>
      </c>
      <c r="U28" s="152" t="str">
        <f t="array" ref="U28">IFERROR(INDEX(#REF!,SMALL(IF('ТРС общая'!$B28=#REF!,ROW(#REF!)-18,""),ROW()-(ROW()-U$2))),"")</f>
        <v/>
      </c>
      <c r="V28" s="152" t="str">
        <f t="array" ref="V28">IFERROR(INDEX(#REF!,SMALL(IF('ТРС общая'!$B28=#REF!,ROW(#REF!)-18,""),ROW()-(ROW()-V$2))),"")</f>
        <v/>
      </c>
      <c r="W28" s="152" t="str">
        <f t="array" ref="W28">IFERROR(INDEX(#REF!,SMALL(IF('ТРС общая'!$B28=#REF!,ROW(#REF!)-18,""),ROW()-(ROW()-W$2))),"")</f>
        <v/>
      </c>
      <c r="X28" s="152" t="str">
        <f t="array" ref="X28">IFERROR(INDEX(#REF!,SMALL(IF('ТРС общая'!$B28=#REF!,ROW(#REF!)-18,""),ROW()-(ROW()-X$2))),"")</f>
        <v/>
      </c>
      <c r="Y28" s="152" t="str">
        <f t="array" ref="Y28">IFERROR(INDEX(#REF!,SMALL(IF('ТРС общая'!$B28=#REF!,ROW(#REF!)-18,""),ROW()-(ROW()-Y$2))),"")</f>
        <v/>
      </c>
      <c r="Z28" s="152" t="str">
        <f t="array" ref="Z28">IFERROR(INDEX(#REF!,SMALL(IF('ТРС общая'!$B28=#REF!,ROW(#REF!)-18,""),ROW()-(ROW()-Z$2))),"")</f>
        <v/>
      </c>
      <c r="AA28" s="152" t="str">
        <f t="array" ref="AA28">IFERROR(INDEX(#REF!,SMALL(IF('ТРС общая'!$B28=#REF!,ROW(#REF!)-18,""),ROW()-(ROW()-AA$2))),"")</f>
        <v/>
      </c>
      <c r="AB28" s="152" t="str">
        <f t="array" ref="AB28">IFERROR(INDEX(#REF!,SMALL(IF('ТРС общая'!$B28=#REF!,ROW(#REF!)-18,""),ROW()-(ROW()-AB$2))),"")</f>
        <v/>
      </c>
      <c r="AC28" s="152" t="str">
        <f t="array" ref="AC28">IFERROR(INDEX(#REF!,SMALL(IF('ТРС общая'!$B28=#REF!,ROW(#REF!)-18,""),ROW()-(ROW()-AC$2))),"")</f>
        <v/>
      </c>
      <c r="AD28" s="152" t="str">
        <f t="array" ref="AD28">IFERROR(INDEX(#REF!,SMALL(IF('ТРС общая'!$B28=#REF!,ROW(#REF!)-18,""),ROW()-(ROW()-AD$2))),"")</f>
        <v/>
      </c>
      <c r="AE28" s="152" t="str">
        <f t="array" ref="AE28">IFERROR(INDEX(#REF!,SMALL(IF('ТРС общая'!$B28=#REF!,ROW(#REF!)-18,""),ROW()-(ROW()-AE$2))),"")</f>
        <v/>
      </c>
      <c r="AF28" s="152" t="str">
        <f t="array" ref="AF28">IFERROR(INDEX(#REF!,SMALL(IF('ТРС общая'!$B28=#REF!,ROW(#REF!)-18,""),ROW()-(ROW()-AF$2))),"")</f>
        <v/>
      </c>
      <c r="AG28" s="152" t="str">
        <f t="array" ref="AG28">IFERROR(INDEX(#REF!,SMALL(IF('ТРС общая'!$B28=#REF!,ROW(#REF!)-18,""),ROW()-(ROW()-AG$2))),"")</f>
        <v/>
      </c>
      <c r="AH28" s="152" t="str">
        <f t="array" ref="AH28">IFERROR(INDEX(#REF!,SMALL(IF('ТРС общая'!$B28=#REF!,ROW(#REF!)-18,""),ROW()-(ROW()-AH$2))),"")</f>
        <v/>
      </c>
      <c r="AI28" s="152" t="str">
        <f t="array" ref="AI28">IFERROR(INDEX(#REF!,SMALL(IF('ТРС общая'!$B28=#REF!,ROW(#REF!)-18,""),ROW()-(ROW()-AI$2))),"")</f>
        <v/>
      </c>
      <c r="AJ28" s="152" t="str">
        <f t="array" ref="AJ28">IFERROR(INDEX(#REF!,SMALL(IF('ТРС общая'!$B28=#REF!,ROW(#REF!)-18,""),ROW()-(ROW()-AJ$2))),"")</f>
        <v/>
      </c>
      <c r="AK28" s="152" t="str">
        <f t="array" ref="AK28">IFERROR(INDEX(#REF!,SMALL(IF('ТРС общая'!$B28=#REF!,ROW(#REF!)-18,""),ROW()-(ROW()-AK$2))),"")</f>
        <v/>
      </c>
      <c r="AL28" s="152" t="str">
        <f t="array" ref="AL28">IFERROR(INDEX(#REF!,SMALL(IF('ТРС общая'!$B28=#REF!,ROW(#REF!)-18,""),ROW()-(ROW()-AL$2))),"")</f>
        <v/>
      </c>
      <c r="AM28" s="152" t="str">
        <f t="array" ref="AM28">IFERROR(INDEX(#REF!,SMALL(IF('ТРС общая'!$B28=#REF!,ROW(#REF!)-18,""),ROW()-(ROW()-AM$2))),"")</f>
        <v/>
      </c>
    </row>
    <row r="29" spans="2:39" x14ac:dyDescent="0.7"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</row>
    <row r="30" spans="2:39" x14ac:dyDescent="0.7"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</row>
    <row r="31" spans="2:39" x14ac:dyDescent="0.7"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</row>
    <row r="32" spans="2:39" x14ac:dyDescent="0.7"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</row>
    <row r="33" spans="2:41" x14ac:dyDescent="0.7"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</row>
    <row r="39" spans="2:41" ht="61" x14ac:dyDescent="1.25">
      <c r="B39" s="147" t="s">
        <v>300</v>
      </c>
      <c r="C39" s="14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</row>
    <row r="40" spans="2:41" ht="35.5" customHeight="1" x14ac:dyDescent="0.35">
      <c r="B40" s="157" t="s">
        <v>296</v>
      </c>
      <c r="C40" s="157" t="s">
        <v>298</v>
      </c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</row>
    <row r="41" spans="2:41" ht="101.5" customHeight="1" x14ac:dyDescent="0.35">
      <c r="B41" s="158">
        <v>20</v>
      </c>
      <c r="C41" s="159">
        <f>COUNTIF('Расчет грейда'!$W:$W,'ТРС общая'!$B41)</f>
        <v>0</v>
      </c>
      <c r="D41" s="152" t="str">
        <f t="array" ref="D41">IFERROR(INDEX('Расчет грейда'!$I$19:$I$200,SMALL(IF('ТРС общая'!$B41='Расчет грейда'!$W$19:$W$200,ROW('Расчет грейда'!$I$19:$I$200)-18,""),ROW()-(ROW()-D$2))),"")</f>
        <v/>
      </c>
      <c r="E41" s="152" t="str">
        <f t="array" ref="E41">IFERROR(INDEX('Расчет грейда'!$I$19:$I$200,SMALL(IF('ТРС общая'!$B41='Расчет грейда'!$W$19:$W$200,ROW('Расчет грейда'!$I$19:$I$200)-18,""),ROW()-(ROW()-E$2))),"")</f>
        <v/>
      </c>
      <c r="F41" s="152" t="str">
        <f t="array" ref="F41">IFERROR(INDEX('Расчет грейда'!$I$19:$I$200,SMALL(IF('ТРС общая'!$B41='Расчет грейда'!$W$19:$W$200,ROW('Расчет грейда'!$I$19:$I$200)-18,""),ROW()-(ROW()-F$2))),"")</f>
        <v/>
      </c>
      <c r="G41" s="152" t="str">
        <f t="array" ref="G41">IFERROR(INDEX('Расчет грейда'!$I$19:$I$200,SMALL(IF('ТРС общая'!$B41='Расчет грейда'!$W$19:$W$200,ROW('Расчет грейда'!$I$19:$I$200)-18,""),ROW()-(ROW()-G$2))),"")</f>
        <v/>
      </c>
      <c r="H41" s="152" t="str">
        <f t="array" ref="H41">IFERROR(INDEX('Расчет грейда'!$I$19:$I$200,SMALL(IF('ТРС общая'!$B41='Расчет грейда'!$W$19:$W$200,ROW('Расчет грейда'!$I$19:$I$200)-18,""),ROW()-(ROW()-H$2))),"")</f>
        <v/>
      </c>
      <c r="I41" s="152" t="str">
        <f t="array" ref="I41">IFERROR(INDEX('Расчет грейда'!$I$19:$I$200,SMALL(IF('ТРС общая'!$B41='Расчет грейда'!$W$19:$W$200,ROW('Расчет грейда'!$I$19:$I$200)-18,""),ROW()-(ROW()-I$2))),"")</f>
        <v/>
      </c>
      <c r="J41" s="152" t="str">
        <f t="array" ref="J41">IFERROR(INDEX('Расчет грейда'!$I$19:$I$200,SMALL(IF('ТРС общая'!$B41='Расчет грейда'!$W$19:$W$200,ROW('Расчет грейда'!$I$19:$I$200)-18,""),ROW()-(ROW()-J$2))),"")</f>
        <v/>
      </c>
      <c r="K41" s="152" t="str">
        <f t="array" ref="K41">IFERROR(INDEX('Расчет грейда'!$I$19:$I$200,SMALL(IF('ТРС общая'!$B41='Расчет грейда'!$W$19:$W$200,ROW('Расчет грейда'!$I$19:$I$200)-18,""),ROW()-(ROW()-K$2))),"")</f>
        <v/>
      </c>
      <c r="L41" s="152" t="str">
        <f t="array" ref="L41">IFERROR(INDEX('Расчет грейда'!$I$19:$I$200,SMALL(IF('ТРС общая'!$B41='Расчет грейда'!$W$19:$W$200,ROW('Расчет грейда'!$I$19:$I$200)-18,""),ROW()-(ROW()-L$2))),"")</f>
        <v/>
      </c>
      <c r="M41" s="152" t="str">
        <f t="array" ref="M41">IFERROR(INDEX('Расчет грейда'!$I$19:$I$200,SMALL(IF('ТРС общая'!$B41='Расчет грейда'!$W$19:$W$200,ROW('Расчет грейда'!$I$19:$I$200)-18,""),ROW()-(ROW()-M$2))),"")</f>
        <v/>
      </c>
      <c r="N41" s="152" t="str">
        <f t="array" ref="N41">IFERROR(INDEX('Расчет грейда'!$I$19:$I$200,SMALL(IF('ТРС общая'!$B41='Расчет грейда'!$W$19:$W$200,ROW('Расчет грейда'!$I$19:$I$200)-18,""),ROW()-(ROW()-N$2))),"")</f>
        <v/>
      </c>
      <c r="O41" s="152" t="str">
        <f t="array" ref="O41">IFERROR(INDEX('Расчет грейда'!$I$19:$I$200,SMALL(IF('ТРС общая'!$B41='Расчет грейда'!$W$19:$W$200,ROW('Расчет грейда'!$I$19:$I$200)-18,""),ROW()-(ROW()-O$2))),"")</f>
        <v/>
      </c>
      <c r="P41" s="152" t="str">
        <f t="array" ref="P41">IFERROR(INDEX('Расчет грейда'!$I$19:$I$200,SMALL(IF('ТРС общая'!$B41='Расчет грейда'!$W$19:$W$200,ROW('Расчет грейда'!$I$19:$I$200)-18,""),ROW()-(ROW()-P$2))),"")</f>
        <v/>
      </c>
      <c r="Q41" s="152" t="str">
        <f t="array" ref="Q41">IFERROR(INDEX('Расчет грейда'!$I$19:$I$200,SMALL(IF('ТРС общая'!$B41='Расчет грейда'!$W$19:$W$200,ROW('Расчет грейда'!$I$19:$I$200)-18,""),ROW()-(ROW()-Q$2))),"")</f>
        <v/>
      </c>
      <c r="R41" s="152" t="str">
        <f t="array" ref="R41">IFERROR(INDEX('Расчет грейда'!$I$19:$I$200,SMALL(IF('ТРС общая'!$B41='Расчет грейда'!$W$19:$W$200,ROW('Расчет грейда'!$I$19:$I$200)-18,""),ROW()-(ROW()-R$2))),"")</f>
        <v/>
      </c>
      <c r="S41" s="152" t="str">
        <f t="array" ref="S41">IFERROR(INDEX('Расчет грейда'!$I$19:$I$200,SMALL(IF('ТРС общая'!$B41='Расчет грейда'!$W$19:$W$200,ROW('Расчет грейда'!$I$19:$I$200)-18,""),ROW()-(ROW()-S$2))),"")</f>
        <v/>
      </c>
      <c r="T41" s="152" t="str">
        <f t="array" ref="T41">IFERROR(INDEX('Расчет грейда'!$I$19:$I$200,SMALL(IF('ТРС общая'!$B41='Расчет грейда'!$W$19:$W$200,ROW('Расчет грейда'!$I$19:$I$200)-18,""),ROW()-(ROW()-T$2))),"")</f>
        <v/>
      </c>
      <c r="U41" s="152" t="str">
        <f t="array" ref="U41">IFERROR(INDEX('Расчет грейда'!$I$19:$I$200,SMALL(IF('ТРС общая'!$B41='Расчет грейда'!$W$19:$W$200,ROW('Расчет грейда'!$I$19:$I$200)-18,""),ROW()-(ROW()-U$2))),"")</f>
        <v/>
      </c>
      <c r="V41" s="152" t="str">
        <f t="array" ref="V41">IFERROR(INDEX('Расчет грейда'!$I$19:$I$200,SMALL(IF('ТРС общая'!$B41='Расчет грейда'!$W$19:$W$200,ROW('Расчет грейда'!$I$19:$I$200)-18,""),ROW()-(ROW()-V$2))),"")</f>
        <v/>
      </c>
      <c r="W41" s="152" t="str">
        <f t="array" ref="W41">IFERROR(INDEX('Расчет грейда'!$I$19:$I$200,SMALL(IF('ТРС общая'!$B41='Расчет грейда'!$W$19:$W$200,ROW('Расчет грейда'!$I$19:$I$200)-18,""),ROW()-(ROW()-W$2))),"")</f>
        <v/>
      </c>
      <c r="X41" s="152" t="str">
        <f t="array" ref="X41">IFERROR(INDEX('Расчет грейда'!$I$19:$I$200,SMALL(IF('ТРС общая'!$B41='Расчет грейда'!$W$19:$W$200,ROW('Расчет грейда'!$I$19:$I$200)-18,""),ROW()-(ROW()-X$2))),"")</f>
        <v/>
      </c>
      <c r="Y41" s="152" t="str">
        <f t="array" ref="Y41">IFERROR(INDEX('Расчет грейда'!$I$19:$I$200,SMALL(IF('ТРС общая'!$B41='Расчет грейда'!$W$19:$W$200,ROW('Расчет грейда'!$I$19:$I$200)-18,""),ROW()-(ROW()-Y$2))),"")</f>
        <v/>
      </c>
      <c r="Z41" s="152" t="str">
        <f t="array" ref="Z41">IFERROR(INDEX('Расчет грейда'!$I$19:$I$200,SMALL(IF('ТРС общая'!$B41='Расчет грейда'!$W$19:$W$200,ROW('Расчет грейда'!$I$19:$I$200)-18,""),ROW()-(ROW()-Z$2))),"")</f>
        <v/>
      </c>
      <c r="AA41" s="152" t="str">
        <f t="array" ref="AA41">IFERROR(INDEX('Расчет грейда'!$I$19:$I$200,SMALL(IF('ТРС общая'!$B41='Расчет грейда'!$W$19:$W$200,ROW('Расчет грейда'!$I$19:$I$200)-18,""),ROW()-(ROW()-AA$2))),"")</f>
        <v/>
      </c>
      <c r="AB41" s="152" t="str">
        <f t="array" ref="AB41">IFERROR(INDEX('Расчет грейда'!$I$19:$I$200,SMALL(IF('ТРС общая'!$B41='Расчет грейда'!$W$19:$W$200,ROW('Расчет грейда'!$I$19:$I$200)-18,""),ROW()-(ROW()-AB$2))),"")</f>
        <v/>
      </c>
      <c r="AC41" s="152" t="str">
        <f t="array" ref="AC41">IFERROR(INDEX('Расчет грейда'!$I$19:$I$200,SMALL(IF('ТРС общая'!$B41='Расчет грейда'!$W$19:$W$200,ROW('Расчет грейда'!$I$19:$I$200)-18,""),ROW()-(ROW()-AC$2))),"")</f>
        <v/>
      </c>
      <c r="AD41" s="152" t="str">
        <f t="array" ref="AD41">IFERROR(INDEX('Расчет грейда'!$I$19:$I$200,SMALL(IF('ТРС общая'!$B41='Расчет грейда'!$W$19:$W$200,ROW('Расчет грейда'!$I$19:$I$200)-18,""),ROW()-(ROW()-AD$2))),"")</f>
        <v/>
      </c>
      <c r="AE41" s="152" t="str">
        <f t="array" ref="AE41">IFERROR(INDEX('Расчет грейда'!$I$19:$I$200,SMALL(IF('ТРС общая'!$B41='Расчет грейда'!$W$19:$W$200,ROW('Расчет грейда'!$I$19:$I$200)-18,""),ROW()-(ROW()-AE$2))),"")</f>
        <v/>
      </c>
      <c r="AF41" s="152" t="str">
        <f t="array" ref="AF41">IFERROR(INDEX('Расчет грейда'!$I$19:$I$200,SMALL(IF('ТРС общая'!$B41='Расчет грейда'!$W$19:$W$200,ROW('Расчет грейда'!$I$19:$I$200)-18,""),ROW()-(ROW()-AF$2))),"")</f>
        <v/>
      </c>
      <c r="AG41" s="152" t="str">
        <f t="array" ref="AG41">IFERROR(INDEX('Расчет грейда'!$I$19:$I$200,SMALL(IF('ТРС общая'!$B41='Расчет грейда'!$W$19:$W$200,ROW('Расчет грейда'!$I$19:$I$200)-18,""),ROW()-(ROW()-AG$2))),"")</f>
        <v/>
      </c>
      <c r="AH41" s="152" t="str">
        <f t="array" ref="AH41">IFERROR(INDEX('Расчет грейда'!$I$19:$I$200,SMALL(IF('ТРС общая'!$B41='Расчет грейда'!$W$19:$W$200,ROW('Расчет грейда'!$I$19:$I$200)-18,""),ROW()-(ROW()-AH$2))),"")</f>
        <v/>
      </c>
      <c r="AI41" s="152" t="str">
        <f t="array" ref="AI41">IFERROR(INDEX('Расчет грейда'!$I$19:$I$200,SMALL(IF('ТРС общая'!$B41='Расчет грейда'!$W$19:$W$200,ROW('Расчет грейда'!$I$19:$I$200)-18,""),ROW()-(ROW()-AI$2))),"")</f>
        <v/>
      </c>
      <c r="AJ41" s="152" t="str">
        <f t="array" ref="AJ41">IFERROR(INDEX('Расчет грейда'!$I$19:$I$200,SMALL(IF('ТРС общая'!$B41='Расчет грейда'!$W$19:$W$200,ROW('Расчет грейда'!$I$19:$I$200)-18,""),ROW()-(ROW()-AJ$2))),"")</f>
        <v/>
      </c>
      <c r="AK41" s="152" t="str">
        <f t="array" ref="AK41">IFERROR(INDEX('Расчет грейда'!$I$19:$I$200,SMALL(IF('ТРС общая'!$B41='Расчет грейда'!$W$19:$W$200,ROW('Расчет грейда'!$I$19:$I$200)-18,""),ROW()-(ROW()-AK$2))),"")</f>
        <v/>
      </c>
      <c r="AL41" s="152" t="str">
        <f t="array" ref="AL41">IFERROR(INDEX('Расчет грейда'!$I$19:$I$200,SMALL(IF('ТРС общая'!$B41='Расчет грейда'!$W$19:$W$200,ROW('Расчет грейда'!$I$19:$I$200)-18,""),ROW()-(ROW()-AL$2))),"")</f>
        <v/>
      </c>
      <c r="AM41" s="152" t="str">
        <f t="array" ref="AM41">IFERROR(INDEX('Расчет грейда'!$I$19:$I$200,SMALL(IF('ТРС общая'!$B41='Расчет грейда'!$W$19:$W$200,ROW('Расчет грейда'!$I$19:$I$200)-18,""),ROW()-(ROW()-AM$2))),"")</f>
        <v/>
      </c>
      <c r="AN41" s="152" t="str">
        <f t="array" ref="AN41">IFERROR(INDEX('Расчет грейда'!$I$19:$I$200,SMALL(IF('ТРС общая'!$B41='Расчет грейда'!$W$19:$W$200,ROW('Расчет грейда'!$I$19:$I$200)-18,""),ROW()-(ROW()-AN$2))),"")</f>
        <v/>
      </c>
      <c r="AO41" s="152" t="str">
        <f t="array" ref="AO41">IFERROR(INDEX('Расчет грейда'!$I$19:$I$200,SMALL(IF('ТРС общая'!$B41='Расчет грейда'!$W$19:$W$200,ROW('Расчет грейда'!$I$19:$I$200)-18,""),ROW()-(ROW()-AO$2))),"")</f>
        <v/>
      </c>
    </row>
    <row r="42" spans="2:41" ht="101.5" customHeight="1" x14ac:dyDescent="0.35">
      <c r="B42" s="158">
        <v>19</v>
      </c>
      <c r="C42" s="159">
        <f>COUNTIF('Расчет грейда'!$W:$W,'ТРС общая'!$B42)</f>
        <v>0</v>
      </c>
      <c r="D42" s="152" t="str">
        <f t="array" ref="D42">IFERROR(INDEX('Расчет грейда'!$I$19:$I$200,SMALL(IF('ТРС общая'!$B42='Расчет грейда'!$W$19:$W$200,ROW('Расчет грейда'!$I$19:$I$200)-18,""),ROW()-(ROW()-D$2))),"")</f>
        <v/>
      </c>
      <c r="E42" s="152" t="str">
        <f t="array" ref="E42">IFERROR(INDEX('Расчет грейда'!$I$19:$I$200,SMALL(IF('ТРС общая'!$B42='Расчет грейда'!$W$19:$W$200,ROW('Расчет грейда'!$I$19:$I$200)-18,""),ROW()-(ROW()-E$2))),"")</f>
        <v/>
      </c>
      <c r="F42" s="152" t="str">
        <f t="array" ref="F42">IFERROR(INDEX('Расчет грейда'!$I$19:$I$200,SMALL(IF('ТРС общая'!$B42='Расчет грейда'!$W$19:$W$200,ROW('Расчет грейда'!$I$19:$I$200)-18,""),ROW()-(ROW()-F$2))),"")</f>
        <v/>
      </c>
      <c r="G42" s="152" t="str">
        <f t="array" ref="G42">IFERROR(INDEX('Расчет грейда'!$I$19:$I$200,SMALL(IF('ТРС общая'!$B42='Расчет грейда'!$W$19:$W$200,ROW('Расчет грейда'!$I$19:$I$200)-18,""),ROW()-(ROW()-G$2))),"")</f>
        <v/>
      </c>
      <c r="H42" s="152" t="str">
        <f t="array" ref="H42">IFERROR(INDEX('Расчет грейда'!$I$19:$I$200,SMALL(IF('ТРС общая'!$B42='Расчет грейда'!$W$19:$W$200,ROW('Расчет грейда'!$I$19:$I$200)-18,""),ROW()-(ROW()-H$2))),"")</f>
        <v/>
      </c>
      <c r="I42" s="152" t="str">
        <f t="array" ref="I42">IFERROR(INDEX('Расчет грейда'!$I$19:$I$200,SMALL(IF('ТРС общая'!$B42='Расчет грейда'!$W$19:$W$200,ROW('Расчет грейда'!$I$19:$I$200)-18,""),ROW()-(ROW()-I$2))),"")</f>
        <v/>
      </c>
      <c r="J42" s="152" t="str">
        <f t="array" ref="J42">IFERROR(INDEX('Расчет грейда'!$I$19:$I$200,SMALL(IF('ТРС общая'!$B42='Расчет грейда'!$W$19:$W$200,ROW('Расчет грейда'!$I$19:$I$200)-18,""),ROW()-(ROW()-J$2))),"")</f>
        <v/>
      </c>
      <c r="K42" s="152" t="str">
        <f t="array" ref="K42">IFERROR(INDEX('Расчет грейда'!$I$19:$I$200,SMALL(IF('ТРС общая'!$B42='Расчет грейда'!$W$19:$W$200,ROW('Расчет грейда'!$I$19:$I$200)-18,""),ROW()-(ROW()-K$2))),"")</f>
        <v/>
      </c>
      <c r="L42" s="152" t="str">
        <f t="array" ref="L42">IFERROR(INDEX('Расчет грейда'!$I$19:$I$200,SMALL(IF('ТРС общая'!$B42='Расчет грейда'!$W$19:$W$200,ROW('Расчет грейда'!$I$19:$I$200)-18,""),ROW()-(ROW()-L$2))),"")</f>
        <v/>
      </c>
      <c r="M42" s="152" t="str">
        <f t="array" ref="M42">IFERROR(INDEX('Расчет грейда'!$I$19:$I$200,SMALL(IF('ТРС общая'!$B42='Расчет грейда'!$W$19:$W$200,ROW('Расчет грейда'!$I$19:$I$200)-18,""),ROW()-(ROW()-M$2))),"")</f>
        <v/>
      </c>
      <c r="N42" s="152" t="str">
        <f t="array" ref="N42">IFERROR(INDEX('Расчет грейда'!$I$19:$I$200,SMALL(IF('ТРС общая'!$B42='Расчет грейда'!$W$19:$W$200,ROW('Расчет грейда'!$I$19:$I$200)-18,""),ROW()-(ROW()-N$2))),"")</f>
        <v/>
      </c>
      <c r="O42" s="152" t="str">
        <f t="array" ref="O42">IFERROR(INDEX('Расчет грейда'!$I$19:$I$200,SMALL(IF('ТРС общая'!$B42='Расчет грейда'!$W$19:$W$200,ROW('Расчет грейда'!$I$19:$I$200)-18,""),ROW()-(ROW()-O$2))),"")</f>
        <v/>
      </c>
      <c r="P42" s="152" t="str">
        <f t="array" ref="P42">IFERROR(INDEX('Расчет грейда'!$I$19:$I$200,SMALL(IF('ТРС общая'!$B42='Расчет грейда'!$W$19:$W$200,ROW('Расчет грейда'!$I$19:$I$200)-18,""),ROW()-(ROW()-P$2))),"")</f>
        <v/>
      </c>
      <c r="Q42" s="152" t="str">
        <f t="array" ref="Q42">IFERROR(INDEX('Расчет грейда'!$I$19:$I$200,SMALL(IF('ТРС общая'!$B42='Расчет грейда'!$W$19:$W$200,ROW('Расчет грейда'!$I$19:$I$200)-18,""),ROW()-(ROW()-Q$2))),"")</f>
        <v/>
      </c>
      <c r="R42" s="152" t="str">
        <f t="array" ref="R42">IFERROR(INDEX('Расчет грейда'!$I$19:$I$200,SMALL(IF('ТРС общая'!$B42='Расчет грейда'!$W$19:$W$200,ROW('Расчет грейда'!$I$19:$I$200)-18,""),ROW()-(ROW()-R$2))),"")</f>
        <v/>
      </c>
      <c r="S42" s="152" t="str">
        <f t="array" ref="S42">IFERROR(INDEX('Расчет грейда'!$I$19:$I$200,SMALL(IF('ТРС общая'!$B42='Расчет грейда'!$W$19:$W$200,ROW('Расчет грейда'!$I$19:$I$200)-18,""),ROW()-(ROW()-S$2))),"")</f>
        <v/>
      </c>
      <c r="T42" s="152" t="str">
        <f t="array" ref="T42">IFERROR(INDEX('Расчет грейда'!$I$19:$I$200,SMALL(IF('ТРС общая'!$B42='Расчет грейда'!$W$19:$W$200,ROW('Расчет грейда'!$I$19:$I$200)-18,""),ROW()-(ROW()-T$2))),"")</f>
        <v/>
      </c>
      <c r="U42" s="152" t="str">
        <f t="array" ref="U42">IFERROR(INDEX('Расчет грейда'!$I$19:$I$200,SMALL(IF('ТРС общая'!$B42='Расчет грейда'!$W$19:$W$200,ROW('Расчет грейда'!$I$19:$I$200)-18,""),ROW()-(ROW()-U$2))),"")</f>
        <v/>
      </c>
      <c r="V42" s="152" t="str">
        <f t="array" ref="V42">IFERROR(INDEX('Расчет грейда'!$I$19:$I$200,SMALL(IF('ТРС общая'!$B42='Расчет грейда'!$W$19:$W$200,ROW('Расчет грейда'!$I$19:$I$200)-18,""),ROW()-(ROW()-V$2))),"")</f>
        <v/>
      </c>
      <c r="W42" s="152" t="str">
        <f t="array" ref="W42">IFERROR(INDEX('Расчет грейда'!$I$19:$I$200,SMALL(IF('ТРС общая'!$B42='Расчет грейда'!$W$19:$W$200,ROW('Расчет грейда'!$I$19:$I$200)-18,""),ROW()-(ROW()-W$2))),"")</f>
        <v/>
      </c>
      <c r="X42" s="152" t="str">
        <f t="array" ref="X42">IFERROR(INDEX('Расчет грейда'!$I$19:$I$200,SMALL(IF('ТРС общая'!$B42='Расчет грейда'!$W$19:$W$200,ROW('Расчет грейда'!$I$19:$I$200)-18,""),ROW()-(ROW()-X$2))),"")</f>
        <v/>
      </c>
      <c r="Y42" s="152" t="str">
        <f t="array" ref="Y42">IFERROR(INDEX('Расчет грейда'!$I$19:$I$200,SMALL(IF('ТРС общая'!$B42='Расчет грейда'!$W$19:$W$200,ROW('Расчет грейда'!$I$19:$I$200)-18,""),ROW()-(ROW()-Y$2))),"")</f>
        <v/>
      </c>
      <c r="Z42" s="152" t="str">
        <f t="array" ref="Z42">IFERROR(INDEX('Расчет грейда'!$I$19:$I$200,SMALL(IF('ТРС общая'!$B42='Расчет грейда'!$W$19:$W$200,ROW('Расчет грейда'!$I$19:$I$200)-18,""),ROW()-(ROW()-Z$2))),"")</f>
        <v/>
      </c>
      <c r="AA42" s="152" t="str">
        <f t="array" ref="AA42">IFERROR(INDEX('Расчет грейда'!$I$19:$I$200,SMALL(IF('ТРС общая'!$B42='Расчет грейда'!$W$19:$W$200,ROW('Расчет грейда'!$I$19:$I$200)-18,""),ROW()-(ROW()-AA$2))),"")</f>
        <v/>
      </c>
      <c r="AB42" s="152" t="str">
        <f t="array" ref="AB42">IFERROR(INDEX('Расчет грейда'!$I$19:$I$200,SMALL(IF('ТРС общая'!$B42='Расчет грейда'!$W$19:$W$200,ROW('Расчет грейда'!$I$19:$I$200)-18,""),ROW()-(ROW()-AB$2))),"")</f>
        <v/>
      </c>
      <c r="AC42" s="152" t="str">
        <f t="array" ref="AC42">IFERROR(INDEX('Расчет грейда'!$I$19:$I$200,SMALL(IF('ТРС общая'!$B42='Расчет грейда'!$W$19:$W$200,ROW('Расчет грейда'!$I$19:$I$200)-18,""),ROW()-(ROW()-AC$2))),"")</f>
        <v/>
      </c>
      <c r="AD42" s="152" t="str">
        <f t="array" ref="AD42">IFERROR(INDEX('Расчет грейда'!$I$19:$I$200,SMALL(IF('ТРС общая'!$B42='Расчет грейда'!$W$19:$W$200,ROW('Расчет грейда'!$I$19:$I$200)-18,""),ROW()-(ROW()-AD$2))),"")</f>
        <v/>
      </c>
      <c r="AE42" s="152" t="str">
        <f t="array" ref="AE42">IFERROR(INDEX('Расчет грейда'!$I$19:$I$200,SMALL(IF('ТРС общая'!$B42='Расчет грейда'!$W$19:$W$200,ROW('Расчет грейда'!$I$19:$I$200)-18,""),ROW()-(ROW()-AE$2))),"")</f>
        <v/>
      </c>
      <c r="AF42" s="152" t="str">
        <f t="array" ref="AF42">IFERROR(INDEX('Расчет грейда'!$I$19:$I$200,SMALL(IF('ТРС общая'!$B42='Расчет грейда'!$W$19:$W$200,ROW('Расчет грейда'!$I$19:$I$200)-18,""),ROW()-(ROW()-AF$2))),"")</f>
        <v/>
      </c>
      <c r="AG42" s="152" t="str">
        <f t="array" ref="AG42">IFERROR(INDEX('Расчет грейда'!$I$19:$I$200,SMALL(IF('ТРС общая'!$B42='Расчет грейда'!$W$19:$W$200,ROW('Расчет грейда'!$I$19:$I$200)-18,""),ROW()-(ROW()-AG$2))),"")</f>
        <v/>
      </c>
      <c r="AH42" s="152" t="str">
        <f t="array" ref="AH42">IFERROR(INDEX('Расчет грейда'!$I$19:$I$200,SMALL(IF('ТРС общая'!$B42='Расчет грейда'!$W$19:$W$200,ROW('Расчет грейда'!$I$19:$I$200)-18,""),ROW()-(ROW()-AH$2))),"")</f>
        <v/>
      </c>
      <c r="AI42" s="152" t="str">
        <f t="array" ref="AI42">IFERROR(INDEX('Расчет грейда'!$I$19:$I$200,SMALL(IF('ТРС общая'!$B42='Расчет грейда'!$W$19:$W$200,ROW('Расчет грейда'!$I$19:$I$200)-18,""),ROW()-(ROW()-AI$2))),"")</f>
        <v/>
      </c>
      <c r="AJ42" s="152" t="str">
        <f t="array" ref="AJ42">IFERROR(INDEX('Расчет грейда'!$I$19:$I$200,SMALL(IF('ТРС общая'!$B42='Расчет грейда'!$W$19:$W$200,ROW('Расчет грейда'!$I$19:$I$200)-18,""),ROW()-(ROW()-AJ$2))),"")</f>
        <v/>
      </c>
      <c r="AK42" s="152" t="str">
        <f t="array" ref="AK42">IFERROR(INDEX('Расчет грейда'!$I$19:$I$200,SMALL(IF('ТРС общая'!$B42='Расчет грейда'!$W$19:$W$200,ROW('Расчет грейда'!$I$19:$I$200)-18,""),ROW()-(ROW()-AK$2))),"")</f>
        <v/>
      </c>
      <c r="AL42" s="152" t="str">
        <f t="array" ref="AL42">IFERROR(INDEX('Расчет грейда'!$I$19:$I$200,SMALL(IF('ТРС общая'!$B42='Расчет грейда'!$W$19:$W$200,ROW('Расчет грейда'!$I$19:$I$200)-18,""),ROW()-(ROW()-AL$2))),"")</f>
        <v/>
      </c>
      <c r="AM42" s="152" t="str">
        <f t="array" ref="AM42">IFERROR(INDEX('Расчет грейда'!$I$19:$I$200,SMALL(IF('ТРС общая'!$B42='Расчет грейда'!$W$19:$W$200,ROW('Расчет грейда'!$I$19:$I$200)-18,""),ROW()-(ROW()-AM$2))),"")</f>
        <v/>
      </c>
      <c r="AN42" s="152" t="str">
        <f t="array" ref="AN42">IFERROR(INDEX('Расчет грейда'!$I$19:$I$200,SMALL(IF('ТРС общая'!$B42='Расчет грейда'!$W$19:$W$200,ROW('Расчет грейда'!$I$19:$I$200)-18,""),ROW()-(ROW()-AN$2))),"")</f>
        <v/>
      </c>
      <c r="AO42" s="152" t="str">
        <f t="array" ref="AO42">IFERROR(INDEX('Расчет грейда'!$I$19:$I$200,SMALL(IF('ТРС общая'!$B42='Расчет грейда'!$W$19:$W$200,ROW('Расчет грейда'!$I$19:$I$200)-18,""),ROW()-(ROW()-AO$2))),"")</f>
        <v/>
      </c>
    </row>
    <row r="43" spans="2:41" ht="101.5" customHeight="1" x14ac:dyDescent="0.35">
      <c r="B43" s="158">
        <v>18</v>
      </c>
      <c r="C43" s="159">
        <f>COUNTIF('Расчет грейда'!$W:$W,'ТРС общая'!$B43)</f>
        <v>0</v>
      </c>
      <c r="D43" s="152" t="str">
        <f t="array" ref="D43">IFERROR(INDEX('Расчет грейда'!$I$19:$I$200,SMALL(IF('ТРС общая'!$B43='Расчет грейда'!$W$19:$W$200,ROW('Расчет грейда'!$I$19:$I$200)-18,""),ROW()-(ROW()-D$2))),"")</f>
        <v/>
      </c>
      <c r="E43" s="152" t="str">
        <f t="array" ref="E43">IFERROR(INDEX('Расчет грейда'!$I$19:$I$200,SMALL(IF('ТРС общая'!$B43='Расчет грейда'!$W$19:$W$200,ROW('Расчет грейда'!$I$19:$I$200)-18,""),ROW()-(ROW()-E$2))),"")</f>
        <v/>
      </c>
      <c r="F43" s="152" t="str">
        <f t="array" ref="F43">IFERROR(INDEX('Расчет грейда'!$I$19:$I$200,SMALL(IF('ТРС общая'!$B43='Расчет грейда'!$W$19:$W$200,ROW('Расчет грейда'!$I$19:$I$200)-18,""),ROW()-(ROW()-F$2))),"")</f>
        <v/>
      </c>
      <c r="G43" s="152" t="str">
        <f t="array" ref="G43">IFERROR(INDEX('Расчет грейда'!$I$19:$I$200,SMALL(IF('ТРС общая'!$B43='Расчет грейда'!$W$19:$W$200,ROW('Расчет грейда'!$I$19:$I$200)-18,""),ROW()-(ROW()-G$2))),"")</f>
        <v/>
      </c>
      <c r="H43" s="152" t="str">
        <f t="array" ref="H43">IFERROR(INDEX('Расчет грейда'!$I$19:$I$200,SMALL(IF('ТРС общая'!$B43='Расчет грейда'!$W$19:$W$200,ROW('Расчет грейда'!$I$19:$I$200)-18,""),ROW()-(ROW()-H$2))),"")</f>
        <v/>
      </c>
      <c r="I43" s="152" t="str">
        <f t="array" ref="I43">IFERROR(INDEX('Расчет грейда'!$I$19:$I$200,SMALL(IF('ТРС общая'!$B43='Расчет грейда'!$W$19:$W$200,ROW('Расчет грейда'!$I$19:$I$200)-18,""),ROW()-(ROW()-I$2))),"")</f>
        <v/>
      </c>
      <c r="J43" s="152" t="str">
        <f t="array" ref="J43">IFERROR(INDEX('Расчет грейда'!$I$19:$I$200,SMALL(IF('ТРС общая'!$B43='Расчет грейда'!$W$19:$W$200,ROW('Расчет грейда'!$I$19:$I$200)-18,""),ROW()-(ROW()-J$2))),"")</f>
        <v/>
      </c>
      <c r="K43" s="152" t="str">
        <f t="array" ref="K43">IFERROR(INDEX('Расчет грейда'!$I$19:$I$200,SMALL(IF('ТРС общая'!$B43='Расчет грейда'!$W$19:$W$200,ROW('Расчет грейда'!$I$19:$I$200)-18,""),ROW()-(ROW()-K$2))),"")</f>
        <v/>
      </c>
      <c r="L43" s="152" t="str">
        <f t="array" ref="L43">IFERROR(INDEX('Расчет грейда'!$I$19:$I$200,SMALL(IF('ТРС общая'!$B43='Расчет грейда'!$W$19:$W$200,ROW('Расчет грейда'!$I$19:$I$200)-18,""),ROW()-(ROW()-L$2))),"")</f>
        <v/>
      </c>
      <c r="M43" s="152" t="str">
        <f t="array" ref="M43">IFERROR(INDEX('Расчет грейда'!$I$19:$I$200,SMALL(IF('ТРС общая'!$B43='Расчет грейда'!$W$19:$W$200,ROW('Расчет грейда'!$I$19:$I$200)-18,""),ROW()-(ROW()-M$2))),"")</f>
        <v/>
      </c>
      <c r="N43" s="152" t="str">
        <f t="array" ref="N43">IFERROR(INDEX('Расчет грейда'!$I$19:$I$200,SMALL(IF('ТРС общая'!$B43='Расчет грейда'!$W$19:$W$200,ROW('Расчет грейда'!$I$19:$I$200)-18,""),ROW()-(ROW()-N$2))),"")</f>
        <v/>
      </c>
      <c r="O43" s="152" t="str">
        <f t="array" ref="O43">IFERROR(INDEX('Расчет грейда'!$I$19:$I$200,SMALL(IF('ТРС общая'!$B43='Расчет грейда'!$W$19:$W$200,ROW('Расчет грейда'!$I$19:$I$200)-18,""),ROW()-(ROW()-O$2))),"")</f>
        <v/>
      </c>
      <c r="P43" s="152" t="str">
        <f t="array" ref="P43">IFERROR(INDEX('Расчет грейда'!$I$19:$I$200,SMALL(IF('ТРС общая'!$B43='Расчет грейда'!$W$19:$W$200,ROW('Расчет грейда'!$I$19:$I$200)-18,""),ROW()-(ROW()-P$2))),"")</f>
        <v/>
      </c>
      <c r="Q43" s="152" t="str">
        <f t="array" ref="Q43">IFERROR(INDEX('Расчет грейда'!$I$19:$I$200,SMALL(IF('ТРС общая'!$B43='Расчет грейда'!$W$19:$W$200,ROW('Расчет грейда'!$I$19:$I$200)-18,""),ROW()-(ROW()-Q$2))),"")</f>
        <v/>
      </c>
      <c r="R43" s="152" t="str">
        <f t="array" ref="R43">IFERROR(INDEX('Расчет грейда'!$I$19:$I$200,SMALL(IF('ТРС общая'!$B43='Расчет грейда'!$W$19:$W$200,ROW('Расчет грейда'!$I$19:$I$200)-18,""),ROW()-(ROW()-R$2))),"")</f>
        <v/>
      </c>
      <c r="S43" s="152" t="str">
        <f t="array" ref="S43">IFERROR(INDEX('Расчет грейда'!$I$19:$I$200,SMALL(IF('ТРС общая'!$B43='Расчет грейда'!$W$19:$W$200,ROW('Расчет грейда'!$I$19:$I$200)-18,""),ROW()-(ROW()-S$2))),"")</f>
        <v/>
      </c>
      <c r="T43" s="152" t="str">
        <f t="array" ref="T43">IFERROR(INDEX('Расчет грейда'!$I$19:$I$200,SMALL(IF('ТРС общая'!$B43='Расчет грейда'!$W$19:$W$200,ROW('Расчет грейда'!$I$19:$I$200)-18,""),ROW()-(ROW()-T$2))),"")</f>
        <v/>
      </c>
      <c r="U43" s="152" t="str">
        <f t="array" ref="U43">IFERROR(INDEX('Расчет грейда'!$I$19:$I$200,SMALL(IF('ТРС общая'!$B43='Расчет грейда'!$W$19:$W$200,ROW('Расчет грейда'!$I$19:$I$200)-18,""),ROW()-(ROW()-U$2))),"")</f>
        <v/>
      </c>
      <c r="V43" s="152" t="str">
        <f t="array" ref="V43">IFERROR(INDEX('Расчет грейда'!$I$19:$I$200,SMALL(IF('ТРС общая'!$B43='Расчет грейда'!$W$19:$W$200,ROW('Расчет грейда'!$I$19:$I$200)-18,""),ROW()-(ROW()-V$2))),"")</f>
        <v/>
      </c>
      <c r="W43" s="152" t="str">
        <f t="array" ref="W43">IFERROR(INDEX('Расчет грейда'!$I$19:$I$200,SMALL(IF('ТРС общая'!$B43='Расчет грейда'!$W$19:$W$200,ROW('Расчет грейда'!$I$19:$I$200)-18,""),ROW()-(ROW()-W$2))),"")</f>
        <v/>
      </c>
      <c r="X43" s="152" t="str">
        <f t="array" ref="X43">IFERROR(INDEX('Расчет грейда'!$I$19:$I$200,SMALL(IF('ТРС общая'!$B43='Расчет грейда'!$W$19:$W$200,ROW('Расчет грейда'!$I$19:$I$200)-18,""),ROW()-(ROW()-X$2))),"")</f>
        <v/>
      </c>
      <c r="Y43" s="152" t="str">
        <f t="array" ref="Y43">IFERROR(INDEX('Расчет грейда'!$I$19:$I$200,SMALL(IF('ТРС общая'!$B43='Расчет грейда'!$W$19:$W$200,ROW('Расчет грейда'!$I$19:$I$200)-18,""),ROW()-(ROW()-Y$2))),"")</f>
        <v/>
      </c>
      <c r="Z43" s="152" t="str">
        <f t="array" ref="Z43">IFERROR(INDEX('Расчет грейда'!$I$19:$I$200,SMALL(IF('ТРС общая'!$B43='Расчет грейда'!$W$19:$W$200,ROW('Расчет грейда'!$I$19:$I$200)-18,""),ROW()-(ROW()-Z$2))),"")</f>
        <v/>
      </c>
      <c r="AA43" s="152" t="str">
        <f t="array" ref="AA43">IFERROR(INDEX('Расчет грейда'!$I$19:$I$200,SMALL(IF('ТРС общая'!$B43='Расчет грейда'!$W$19:$W$200,ROW('Расчет грейда'!$I$19:$I$200)-18,""),ROW()-(ROW()-AA$2))),"")</f>
        <v/>
      </c>
      <c r="AB43" s="152" t="str">
        <f t="array" ref="AB43">IFERROR(INDEX('Расчет грейда'!$I$19:$I$200,SMALL(IF('ТРС общая'!$B43='Расчет грейда'!$W$19:$W$200,ROW('Расчет грейда'!$I$19:$I$200)-18,""),ROW()-(ROW()-AB$2))),"")</f>
        <v/>
      </c>
      <c r="AC43" s="152" t="str">
        <f t="array" ref="AC43">IFERROR(INDEX('Расчет грейда'!$I$19:$I$200,SMALL(IF('ТРС общая'!$B43='Расчет грейда'!$W$19:$W$200,ROW('Расчет грейда'!$I$19:$I$200)-18,""),ROW()-(ROW()-AC$2))),"")</f>
        <v/>
      </c>
      <c r="AD43" s="152" t="str">
        <f t="array" ref="AD43">IFERROR(INDEX('Расчет грейда'!$I$19:$I$200,SMALL(IF('ТРС общая'!$B43='Расчет грейда'!$W$19:$W$200,ROW('Расчет грейда'!$I$19:$I$200)-18,""),ROW()-(ROW()-AD$2))),"")</f>
        <v/>
      </c>
      <c r="AE43" s="152" t="str">
        <f t="array" ref="AE43">IFERROR(INDEX('Расчет грейда'!$I$19:$I$200,SMALL(IF('ТРС общая'!$B43='Расчет грейда'!$W$19:$W$200,ROW('Расчет грейда'!$I$19:$I$200)-18,""),ROW()-(ROW()-AE$2))),"")</f>
        <v/>
      </c>
      <c r="AF43" s="152" t="str">
        <f t="array" ref="AF43">IFERROR(INDEX('Расчет грейда'!$I$19:$I$200,SMALL(IF('ТРС общая'!$B43='Расчет грейда'!$W$19:$W$200,ROW('Расчет грейда'!$I$19:$I$200)-18,""),ROW()-(ROW()-AF$2))),"")</f>
        <v/>
      </c>
      <c r="AG43" s="152" t="str">
        <f t="array" ref="AG43">IFERROR(INDEX('Расчет грейда'!$I$19:$I$200,SMALL(IF('ТРС общая'!$B43='Расчет грейда'!$W$19:$W$200,ROW('Расчет грейда'!$I$19:$I$200)-18,""),ROW()-(ROW()-AG$2))),"")</f>
        <v/>
      </c>
      <c r="AH43" s="152" t="str">
        <f t="array" ref="AH43">IFERROR(INDEX('Расчет грейда'!$I$19:$I$200,SMALL(IF('ТРС общая'!$B43='Расчет грейда'!$W$19:$W$200,ROW('Расчет грейда'!$I$19:$I$200)-18,""),ROW()-(ROW()-AH$2))),"")</f>
        <v/>
      </c>
      <c r="AI43" s="152" t="str">
        <f t="array" ref="AI43">IFERROR(INDEX('Расчет грейда'!$I$19:$I$200,SMALL(IF('ТРС общая'!$B43='Расчет грейда'!$W$19:$W$200,ROW('Расчет грейда'!$I$19:$I$200)-18,""),ROW()-(ROW()-AI$2))),"")</f>
        <v/>
      </c>
      <c r="AJ43" s="152" t="str">
        <f t="array" ref="AJ43">IFERROR(INDEX('Расчет грейда'!$I$19:$I$200,SMALL(IF('ТРС общая'!$B43='Расчет грейда'!$W$19:$W$200,ROW('Расчет грейда'!$I$19:$I$200)-18,""),ROW()-(ROW()-AJ$2))),"")</f>
        <v/>
      </c>
      <c r="AK43" s="152" t="str">
        <f t="array" ref="AK43">IFERROR(INDEX('Расчет грейда'!$I$19:$I$200,SMALL(IF('ТРС общая'!$B43='Расчет грейда'!$W$19:$W$200,ROW('Расчет грейда'!$I$19:$I$200)-18,""),ROW()-(ROW()-AK$2))),"")</f>
        <v/>
      </c>
      <c r="AL43" s="152" t="str">
        <f t="array" ref="AL43">IFERROR(INDEX('Расчет грейда'!$I$19:$I$200,SMALL(IF('ТРС общая'!$B43='Расчет грейда'!$W$19:$W$200,ROW('Расчет грейда'!$I$19:$I$200)-18,""),ROW()-(ROW()-AL$2))),"")</f>
        <v/>
      </c>
      <c r="AM43" s="152" t="str">
        <f t="array" ref="AM43">IFERROR(INDEX('Расчет грейда'!$I$19:$I$200,SMALL(IF('ТРС общая'!$B43='Расчет грейда'!$W$19:$W$200,ROW('Расчет грейда'!$I$19:$I$200)-18,""),ROW()-(ROW()-AM$2))),"")</f>
        <v/>
      </c>
      <c r="AN43" s="152" t="str">
        <f t="array" ref="AN43">IFERROR(INDEX('Расчет грейда'!$I$19:$I$200,SMALL(IF('ТРС общая'!$B43='Расчет грейда'!$W$19:$W$200,ROW('Расчет грейда'!$I$19:$I$200)-18,""),ROW()-(ROW()-AN$2))),"")</f>
        <v/>
      </c>
      <c r="AO43" s="152" t="str">
        <f t="array" ref="AO43">IFERROR(INDEX('Расчет грейда'!$I$19:$I$200,SMALL(IF('ТРС общая'!$B43='Расчет грейда'!$W$19:$W$200,ROW('Расчет грейда'!$I$19:$I$200)-18,""),ROW()-(ROW()-AO$2))),"")</f>
        <v/>
      </c>
    </row>
    <row r="44" spans="2:41" ht="101.5" customHeight="1" x14ac:dyDescent="0.35">
      <c r="B44" s="158">
        <v>17</v>
      </c>
      <c r="C44" s="159">
        <f>COUNTIF('Расчет грейда'!$W:$W,'ТРС общая'!$B44)</f>
        <v>0</v>
      </c>
      <c r="D44" s="152" t="str">
        <f t="array" ref="D44">IFERROR(INDEX('Расчет грейда'!$I$19:$I$200,SMALL(IF('ТРС общая'!$B44='Расчет грейда'!$W$19:$W$200,ROW('Расчет грейда'!$I$19:$I$200)-18,""),ROW()-(ROW()-D$2))),"")</f>
        <v/>
      </c>
      <c r="E44" s="152" t="str">
        <f t="array" ref="E44">IFERROR(INDEX('Расчет грейда'!$I$19:$I$200,SMALL(IF('ТРС общая'!$B44='Расчет грейда'!$W$19:$W$200,ROW('Расчет грейда'!$I$19:$I$200)-18,""),ROW()-(ROW()-E$2))),"")</f>
        <v/>
      </c>
      <c r="F44" s="152" t="str">
        <f t="array" ref="F44">IFERROR(INDEX('Расчет грейда'!$I$19:$I$200,SMALL(IF('ТРС общая'!$B44='Расчет грейда'!$W$19:$W$200,ROW('Расчет грейда'!$I$19:$I$200)-18,""),ROW()-(ROW()-F$2))),"")</f>
        <v/>
      </c>
      <c r="G44" s="152" t="str">
        <f t="array" ref="G44">IFERROR(INDEX('Расчет грейда'!$I$19:$I$200,SMALL(IF('ТРС общая'!$B44='Расчет грейда'!$W$19:$W$200,ROW('Расчет грейда'!$I$19:$I$200)-18,""),ROW()-(ROW()-G$2))),"")</f>
        <v/>
      </c>
      <c r="H44" s="152" t="str">
        <f t="array" ref="H44">IFERROR(INDEX('Расчет грейда'!$I$19:$I$200,SMALL(IF('ТРС общая'!$B44='Расчет грейда'!$W$19:$W$200,ROW('Расчет грейда'!$I$19:$I$200)-18,""),ROW()-(ROW()-H$2))),"")</f>
        <v/>
      </c>
      <c r="I44" s="152" t="str">
        <f t="array" ref="I44">IFERROR(INDEX('Расчет грейда'!$I$19:$I$200,SMALL(IF('ТРС общая'!$B44='Расчет грейда'!$W$19:$W$200,ROW('Расчет грейда'!$I$19:$I$200)-18,""),ROW()-(ROW()-I$2))),"")</f>
        <v/>
      </c>
      <c r="J44" s="152" t="str">
        <f t="array" ref="J44">IFERROR(INDEX('Расчет грейда'!$I$19:$I$200,SMALL(IF('ТРС общая'!$B44='Расчет грейда'!$W$19:$W$200,ROW('Расчет грейда'!$I$19:$I$200)-18,""),ROW()-(ROW()-J$2))),"")</f>
        <v/>
      </c>
      <c r="K44" s="152" t="str">
        <f t="array" ref="K44">IFERROR(INDEX('Расчет грейда'!$I$19:$I$200,SMALL(IF('ТРС общая'!$B44='Расчет грейда'!$W$19:$W$200,ROW('Расчет грейда'!$I$19:$I$200)-18,""),ROW()-(ROW()-K$2))),"")</f>
        <v/>
      </c>
      <c r="L44" s="152" t="str">
        <f t="array" ref="L44">IFERROR(INDEX('Расчет грейда'!$I$19:$I$200,SMALL(IF('ТРС общая'!$B44='Расчет грейда'!$W$19:$W$200,ROW('Расчет грейда'!$I$19:$I$200)-18,""),ROW()-(ROW()-L$2))),"")</f>
        <v/>
      </c>
      <c r="M44" s="152" t="str">
        <f t="array" ref="M44">IFERROR(INDEX('Расчет грейда'!$I$19:$I$200,SMALL(IF('ТРС общая'!$B44='Расчет грейда'!$W$19:$W$200,ROW('Расчет грейда'!$I$19:$I$200)-18,""),ROW()-(ROW()-M$2))),"")</f>
        <v/>
      </c>
      <c r="N44" s="152" t="str">
        <f t="array" ref="N44">IFERROR(INDEX('Расчет грейда'!$I$19:$I$200,SMALL(IF('ТРС общая'!$B44='Расчет грейда'!$W$19:$W$200,ROW('Расчет грейда'!$I$19:$I$200)-18,""),ROW()-(ROW()-N$2))),"")</f>
        <v/>
      </c>
      <c r="O44" s="152" t="str">
        <f t="array" ref="O44">IFERROR(INDEX('Расчет грейда'!$I$19:$I$200,SMALL(IF('ТРС общая'!$B44='Расчет грейда'!$W$19:$W$200,ROW('Расчет грейда'!$I$19:$I$200)-18,""),ROW()-(ROW()-O$2))),"")</f>
        <v/>
      </c>
      <c r="P44" s="152" t="str">
        <f t="array" ref="P44">IFERROR(INDEX('Расчет грейда'!$I$19:$I$200,SMALL(IF('ТРС общая'!$B44='Расчет грейда'!$W$19:$W$200,ROW('Расчет грейда'!$I$19:$I$200)-18,""),ROW()-(ROW()-P$2))),"")</f>
        <v/>
      </c>
      <c r="Q44" s="152" t="str">
        <f t="array" ref="Q44">IFERROR(INDEX('Расчет грейда'!$I$19:$I$200,SMALL(IF('ТРС общая'!$B44='Расчет грейда'!$W$19:$W$200,ROW('Расчет грейда'!$I$19:$I$200)-18,""),ROW()-(ROW()-Q$2))),"")</f>
        <v/>
      </c>
      <c r="R44" s="152" t="str">
        <f t="array" ref="R44">IFERROR(INDEX('Расчет грейда'!$I$19:$I$200,SMALL(IF('ТРС общая'!$B44='Расчет грейда'!$W$19:$W$200,ROW('Расчет грейда'!$I$19:$I$200)-18,""),ROW()-(ROW()-R$2))),"")</f>
        <v/>
      </c>
      <c r="S44" s="152" t="str">
        <f t="array" ref="S44">IFERROR(INDEX('Расчет грейда'!$I$19:$I$200,SMALL(IF('ТРС общая'!$B44='Расчет грейда'!$W$19:$W$200,ROW('Расчет грейда'!$I$19:$I$200)-18,""),ROW()-(ROW()-S$2))),"")</f>
        <v/>
      </c>
      <c r="T44" s="152" t="str">
        <f t="array" ref="T44">IFERROR(INDEX('Расчет грейда'!$I$19:$I$200,SMALL(IF('ТРС общая'!$B44='Расчет грейда'!$W$19:$W$200,ROW('Расчет грейда'!$I$19:$I$200)-18,""),ROW()-(ROW()-T$2))),"")</f>
        <v/>
      </c>
      <c r="U44" s="152" t="str">
        <f t="array" ref="U44">IFERROR(INDEX('Расчет грейда'!$I$19:$I$200,SMALL(IF('ТРС общая'!$B44='Расчет грейда'!$W$19:$W$200,ROW('Расчет грейда'!$I$19:$I$200)-18,""),ROW()-(ROW()-U$2))),"")</f>
        <v/>
      </c>
      <c r="V44" s="152" t="str">
        <f t="array" ref="V44">IFERROR(INDEX('Расчет грейда'!$I$19:$I$200,SMALL(IF('ТРС общая'!$B44='Расчет грейда'!$W$19:$W$200,ROW('Расчет грейда'!$I$19:$I$200)-18,""),ROW()-(ROW()-V$2))),"")</f>
        <v/>
      </c>
      <c r="W44" s="152" t="str">
        <f t="array" ref="W44">IFERROR(INDEX('Расчет грейда'!$I$19:$I$200,SMALL(IF('ТРС общая'!$B44='Расчет грейда'!$W$19:$W$200,ROW('Расчет грейда'!$I$19:$I$200)-18,""),ROW()-(ROW()-W$2))),"")</f>
        <v/>
      </c>
      <c r="X44" s="152" t="str">
        <f t="array" ref="X44">IFERROR(INDEX('Расчет грейда'!$I$19:$I$200,SMALL(IF('ТРС общая'!$B44='Расчет грейда'!$W$19:$W$200,ROW('Расчет грейда'!$I$19:$I$200)-18,""),ROW()-(ROW()-X$2))),"")</f>
        <v/>
      </c>
      <c r="Y44" s="152" t="str">
        <f t="array" ref="Y44">IFERROR(INDEX('Расчет грейда'!$I$19:$I$200,SMALL(IF('ТРС общая'!$B44='Расчет грейда'!$W$19:$W$200,ROW('Расчет грейда'!$I$19:$I$200)-18,""),ROW()-(ROW()-Y$2))),"")</f>
        <v/>
      </c>
      <c r="Z44" s="152" t="str">
        <f t="array" ref="Z44">IFERROR(INDEX('Расчет грейда'!$I$19:$I$200,SMALL(IF('ТРС общая'!$B44='Расчет грейда'!$W$19:$W$200,ROW('Расчет грейда'!$I$19:$I$200)-18,""),ROW()-(ROW()-Z$2))),"")</f>
        <v/>
      </c>
      <c r="AA44" s="152" t="str">
        <f t="array" ref="AA44">IFERROR(INDEX('Расчет грейда'!$I$19:$I$200,SMALL(IF('ТРС общая'!$B44='Расчет грейда'!$W$19:$W$200,ROW('Расчет грейда'!$I$19:$I$200)-18,""),ROW()-(ROW()-AA$2))),"")</f>
        <v/>
      </c>
      <c r="AB44" s="152" t="str">
        <f t="array" ref="AB44">IFERROR(INDEX('Расчет грейда'!$I$19:$I$200,SMALL(IF('ТРС общая'!$B44='Расчет грейда'!$W$19:$W$200,ROW('Расчет грейда'!$I$19:$I$200)-18,""),ROW()-(ROW()-AB$2))),"")</f>
        <v/>
      </c>
      <c r="AC44" s="152" t="str">
        <f t="array" ref="AC44">IFERROR(INDEX('Расчет грейда'!$I$19:$I$200,SMALL(IF('ТРС общая'!$B44='Расчет грейда'!$W$19:$W$200,ROW('Расчет грейда'!$I$19:$I$200)-18,""),ROW()-(ROW()-AC$2))),"")</f>
        <v/>
      </c>
      <c r="AD44" s="152" t="str">
        <f t="array" ref="AD44">IFERROR(INDEX('Расчет грейда'!$I$19:$I$200,SMALL(IF('ТРС общая'!$B44='Расчет грейда'!$W$19:$W$200,ROW('Расчет грейда'!$I$19:$I$200)-18,""),ROW()-(ROW()-AD$2))),"")</f>
        <v/>
      </c>
      <c r="AE44" s="152" t="str">
        <f t="array" ref="AE44">IFERROR(INDEX('Расчет грейда'!$I$19:$I$200,SMALL(IF('ТРС общая'!$B44='Расчет грейда'!$W$19:$W$200,ROW('Расчет грейда'!$I$19:$I$200)-18,""),ROW()-(ROW()-AE$2))),"")</f>
        <v/>
      </c>
      <c r="AF44" s="152" t="str">
        <f t="array" ref="AF44">IFERROR(INDEX('Расчет грейда'!$I$19:$I$200,SMALL(IF('ТРС общая'!$B44='Расчет грейда'!$W$19:$W$200,ROW('Расчет грейда'!$I$19:$I$200)-18,""),ROW()-(ROW()-AF$2))),"")</f>
        <v/>
      </c>
      <c r="AG44" s="152" t="str">
        <f t="array" ref="AG44">IFERROR(INDEX('Расчет грейда'!$I$19:$I$200,SMALL(IF('ТРС общая'!$B44='Расчет грейда'!$W$19:$W$200,ROW('Расчет грейда'!$I$19:$I$200)-18,""),ROW()-(ROW()-AG$2))),"")</f>
        <v/>
      </c>
      <c r="AH44" s="152" t="str">
        <f t="array" ref="AH44">IFERROR(INDEX('Расчет грейда'!$I$19:$I$200,SMALL(IF('ТРС общая'!$B44='Расчет грейда'!$W$19:$W$200,ROW('Расчет грейда'!$I$19:$I$200)-18,""),ROW()-(ROW()-AH$2))),"")</f>
        <v/>
      </c>
      <c r="AI44" s="152" t="str">
        <f t="array" ref="AI44">IFERROR(INDEX('Расчет грейда'!$I$19:$I$200,SMALL(IF('ТРС общая'!$B44='Расчет грейда'!$W$19:$W$200,ROW('Расчет грейда'!$I$19:$I$200)-18,""),ROW()-(ROW()-AI$2))),"")</f>
        <v/>
      </c>
      <c r="AJ44" s="152" t="str">
        <f t="array" ref="AJ44">IFERROR(INDEX('Расчет грейда'!$I$19:$I$200,SMALL(IF('ТРС общая'!$B44='Расчет грейда'!$W$19:$W$200,ROW('Расчет грейда'!$I$19:$I$200)-18,""),ROW()-(ROW()-AJ$2))),"")</f>
        <v/>
      </c>
      <c r="AK44" s="152" t="str">
        <f t="array" ref="AK44">IFERROR(INDEX('Расчет грейда'!$I$19:$I$200,SMALL(IF('ТРС общая'!$B44='Расчет грейда'!$W$19:$W$200,ROW('Расчет грейда'!$I$19:$I$200)-18,""),ROW()-(ROW()-AK$2))),"")</f>
        <v/>
      </c>
      <c r="AL44" s="152" t="str">
        <f t="array" ref="AL44">IFERROR(INDEX('Расчет грейда'!$I$19:$I$200,SMALL(IF('ТРС общая'!$B44='Расчет грейда'!$W$19:$W$200,ROW('Расчет грейда'!$I$19:$I$200)-18,""),ROW()-(ROW()-AL$2))),"")</f>
        <v/>
      </c>
      <c r="AM44" s="152" t="str">
        <f t="array" ref="AM44">IFERROR(INDEX('Расчет грейда'!$I$19:$I$200,SMALL(IF('ТРС общая'!$B44='Расчет грейда'!$W$19:$W$200,ROW('Расчет грейда'!$I$19:$I$200)-18,""),ROW()-(ROW()-AM$2))),"")</f>
        <v/>
      </c>
      <c r="AN44" s="152" t="str">
        <f t="array" ref="AN44">IFERROR(INDEX('Расчет грейда'!$I$19:$I$200,SMALL(IF('ТРС общая'!$B44='Расчет грейда'!$W$19:$W$200,ROW('Расчет грейда'!$I$19:$I$200)-18,""),ROW()-(ROW()-AN$2))),"")</f>
        <v/>
      </c>
      <c r="AO44" s="152" t="str">
        <f t="array" ref="AO44">IFERROR(INDEX('Расчет грейда'!$I$19:$I$200,SMALL(IF('ТРС общая'!$B44='Расчет грейда'!$W$19:$W$200,ROW('Расчет грейда'!$I$19:$I$200)-18,""),ROW()-(ROW()-AO$2))),"")</f>
        <v/>
      </c>
    </row>
    <row r="45" spans="2:41" ht="101.5" customHeight="1" x14ac:dyDescent="0.35">
      <c r="B45" s="158">
        <v>16</v>
      </c>
      <c r="C45" s="159">
        <f>COUNTIF('Расчет грейда'!$W:$W,'ТРС общая'!$B45)</f>
        <v>0</v>
      </c>
      <c r="D45" s="152" t="str">
        <f t="array" ref="D45">IFERROR(INDEX('Расчет грейда'!$I$19:$I$200,SMALL(IF('ТРС общая'!$B45='Расчет грейда'!$W$19:$W$200,ROW('Расчет грейда'!$I$19:$I$200)-18,""),ROW()-(ROW()-D$2))),"")</f>
        <v/>
      </c>
      <c r="E45" s="152" t="str">
        <f t="array" ref="E45">IFERROR(INDEX('Расчет грейда'!$I$19:$I$200,SMALL(IF('ТРС общая'!$B45='Расчет грейда'!$W$19:$W$200,ROW('Расчет грейда'!$I$19:$I$200)-18,""),ROW()-(ROW()-E$2))),"")</f>
        <v/>
      </c>
      <c r="F45" s="152" t="str">
        <f t="array" ref="F45">IFERROR(INDEX('Расчет грейда'!$I$19:$I$200,SMALL(IF('ТРС общая'!$B45='Расчет грейда'!$W$19:$W$200,ROW('Расчет грейда'!$I$19:$I$200)-18,""),ROW()-(ROW()-F$2))),"")</f>
        <v/>
      </c>
      <c r="G45" s="152" t="str">
        <f t="array" ref="G45">IFERROR(INDEX('Расчет грейда'!$I$19:$I$200,SMALL(IF('ТРС общая'!$B45='Расчет грейда'!$W$19:$W$200,ROW('Расчет грейда'!$I$19:$I$200)-18,""),ROW()-(ROW()-G$2))),"")</f>
        <v/>
      </c>
      <c r="H45" s="152" t="str">
        <f t="array" ref="H45">IFERROR(INDEX('Расчет грейда'!$I$19:$I$200,SMALL(IF('ТРС общая'!$B45='Расчет грейда'!$W$19:$W$200,ROW('Расчет грейда'!$I$19:$I$200)-18,""),ROW()-(ROW()-H$2))),"")</f>
        <v/>
      </c>
      <c r="I45" s="152" t="str">
        <f t="array" ref="I45">IFERROR(INDEX('Расчет грейда'!$I$19:$I$200,SMALL(IF('ТРС общая'!$B45='Расчет грейда'!$W$19:$W$200,ROW('Расчет грейда'!$I$19:$I$200)-18,""),ROW()-(ROW()-I$2))),"")</f>
        <v/>
      </c>
      <c r="J45" s="152" t="str">
        <f t="array" ref="J45">IFERROR(INDEX('Расчет грейда'!$I$19:$I$200,SMALL(IF('ТРС общая'!$B45='Расчет грейда'!$W$19:$W$200,ROW('Расчет грейда'!$I$19:$I$200)-18,""),ROW()-(ROW()-J$2))),"")</f>
        <v/>
      </c>
      <c r="K45" s="152" t="str">
        <f t="array" ref="K45">IFERROR(INDEX('Расчет грейда'!$I$19:$I$200,SMALL(IF('ТРС общая'!$B45='Расчет грейда'!$W$19:$W$200,ROW('Расчет грейда'!$I$19:$I$200)-18,""),ROW()-(ROW()-K$2))),"")</f>
        <v/>
      </c>
      <c r="L45" s="152" t="str">
        <f t="array" ref="L45">IFERROR(INDEX('Расчет грейда'!$I$19:$I$200,SMALL(IF('ТРС общая'!$B45='Расчет грейда'!$W$19:$W$200,ROW('Расчет грейда'!$I$19:$I$200)-18,""),ROW()-(ROW()-L$2))),"")</f>
        <v/>
      </c>
      <c r="M45" s="152" t="str">
        <f t="array" ref="M45">IFERROR(INDEX('Расчет грейда'!$I$19:$I$200,SMALL(IF('ТРС общая'!$B45='Расчет грейда'!$W$19:$W$200,ROW('Расчет грейда'!$I$19:$I$200)-18,""),ROW()-(ROW()-M$2))),"")</f>
        <v/>
      </c>
      <c r="N45" s="152" t="str">
        <f t="array" ref="N45">IFERROR(INDEX('Расчет грейда'!$I$19:$I$200,SMALL(IF('ТРС общая'!$B45='Расчет грейда'!$W$19:$W$200,ROW('Расчет грейда'!$I$19:$I$200)-18,""),ROW()-(ROW()-N$2))),"")</f>
        <v/>
      </c>
      <c r="O45" s="152" t="str">
        <f t="array" ref="O45">IFERROR(INDEX('Расчет грейда'!$I$19:$I$200,SMALL(IF('ТРС общая'!$B45='Расчет грейда'!$W$19:$W$200,ROW('Расчет грейда'!$I$19:$I$200)-18,""),ROW()-(ROW()-O$2))),"")</f>
        <v/>
      </c>
      <c r="P45" s="152" t="str">
        <f t="array" ref="P45">IFERROR(INDEX('Расчет грейда'!$I$19:$I$200,SMALL(IF('ТРС общая'!$B45='Расчет грейда'!$W$19:$W$200,ROW('Расчет грейда'!$I$19:$I$200)-18,""),ROW()-(ROW()-P$2))),"")</f>
        <v/>
      </c>
      <c r="Q45" s="152" t="str">
        <f t="array" ref="Q45">IFERROR(INDEX('Расчет грейда'!$I$19:$I$200,SMALL(IF('ТРС общая'!$B45='Расчет грейда'!$W$19:$W$200,ROW('Расчет грейда'!$I$19:$I$200)-18,""),ROW()-(ROW()-Q$2))),"")</f>
        <v/>
      </c>
      <c r="R45" s="152" t="str">
        <f t="array" ref="R45">IFERROR(INDEX('Расчет грейда'!$I$19:$I$200,SMALL(IF('ТРС общая'!$B45='Расчет грейда'!$W$19:$W$200,ROW('Расчет грейда'!$I$19:$I$200)-18,""),ROW()-(ROW()-R$2))),"")</f>
        <v/>
      </c>
      <c r="S45" s="152" t="str">
        <f t="array" ref="S45">IFERROR(INDEX('Расчет грейда'!$I$19:$I$200,SMALL(IF('ТРС общая'!$B45='Расчет грейда'!$W$19:$W$200,ROW('Расчет грейда'!$I$19:$I$200)-18,""),ROW()-(ROW()-S$2))),"")</f>
        <v/>
      </c>
      <c r="T45" s="152" t="str">
        <f t="array" ref="T45">IFERROR(INDEX('Расчет грейда'!$I$19:$I$200,SMALL(IF('ТРС общая'!$B45='Расчет грейда'!$W$19:$W$200,ROW('Расчет грейда'!$I$19:$I$200)-18,""),ROW()-(ROW()-T$2))),"")</f>
        <v/>
      </c>
      <c r="U45" s="152" t="str">
        <f t="array" ref="U45">IFERROR(INDEX('Расчет грейда'!$I$19:$I$200,SMALL(IF('ТРС общая'!$B45='Расчет грейда'!$W$19:$W$200,ROW('Расчет грейда'!$I$19:$I$200)-18,""),ROW()-(ROW()-U$2))),"")</f>
        <v/>
      </c>
      <c r="V45" s="152" t="str">
        <f t="array" ref="V45">IFERROR(INDEX('Расчет грейда'!$I$19:$I$200,SMALL(IF('ТРС общая'!$B45='Расчет грейда'!$W$19:$W$200,ROW('Расчет грейда'!$I$19:$I$200)-18,""),ROW()-(ROW()-V$2))),"")</f>
        <v/>
      </c>
      <c r="W45" s="152" t="str">
        <f t="array" ref="W45">IFERROR(INDEX('Расчет грейда'!$I$19:$I$200,SMALL(IF('ТРС общая'!$B45='Расчет грейда'!$W$19:$W$200,ROW('Расчет грейда'!$I$19:$I$200)-18,""),ROW()-(ROW()-W$2))),"")</f>
        <v/>
      </c>
      <c r="X45" s="152" t="str">
        <f t="array" ref="X45">IFERROR(INDEX('Расчет грейда'!$I$19:$I$200,SMALL(IF('ТРС общая'!$B45='Расчет грейда'!$W$19:$W$200,ROW('Расчет грейда'!$I$19:$I$200)-18,""),ROW()-(ROW()-X$2))),"")</f>
        <v/>
      </c>
      <c r="Y45" s="152" t="str">
        <f t="array" ref="Y45">IFERROR(INDEX('Расчет грейда'!$I$19:$I$200,SMALL(IF('ТРС общая'!$B45='Расчет грейда'!$W$19:$W$200,ROW('Расчет грейда'!$I$19:$I$200)-18,""),ROW()-(ROW()-Y$2))),"")</f>
        <v/>
      </c>
      <c r="Z45" s="152" t="str">
        <f t="array" ref="Z45">IFERROR(INDEX('Расчет грейда'!$I$19:$I$200,SMALL(IF('ТРС общая'!$B45='Расчет грейда'!$W$19:$W$200,ROW('Расчет грейда'!$I$19:$I$200)-18,""),ROW()-(ROW()-Z$2))),"")</f>
        <v/>
      </c>
      <c r="AA45" s="152" t="str">
        <f t="array" ref="AA45">IFERROR(INDEX('Расчет грейда'!$I$19:$I$200,SMALL(IF('ТРС общая'!$B45='Расчет грейда'!$W$19:$W$200,ROW('Расчет грейда'!$I$19:$I$200)-18,""),ROW()-(ROW()-AA$2))),"")</f>
        <v/>
      </c>
      <c r="AB45" s="152" t="str">
        <f t="array" ref="AB45">IFERROR(INDEX('Расчет грейда'!$I$19:$I$200,SMALL(IF('ТРС общая'!$B45='Расчет грейда'!$W$19:$W$200,ROW('Расчет грейда'!$I$19:$I$200)-18,""),ROW()-(ROW()-AB$2))),"")</f>
        <v/>
      </c>
      <c r="AC45" s="152" t="str">
        <f t="array" ref="AC45">IFERROR(INDEX('Расчет грейда'!$I$19:$I$200,SMALL(IF('ТРС общая'!$B45='Расчет грейда'!$W$19:$W$200,ROW('Расчет грейда'!$I$19:$I$200)-18,""),ROW()-(ROW()-AC$2))),"")</f>
        <v/>
      </c>
      <c r="AD45" s="152" t="str">
        <f t="array" ref="AD45">IFERROR(INDEX('Расчет грейда'!$I$19:$I$200,SMALL(IF('ТРС общая'!$B45='Расчет грейда'!$W$19:$W$200,ROW('Расчет грейда'!$I$19:$I$200)-18,""),ROW()-(ROW()-AD$2))),"")</f>
        <v/>
      </c>
      <c r="AE45" s="152" t="str">
        <f t="array" ref="AE45">IFERROR(INDEX('Расчет грейда'!$I$19:$I$200,SMALL(IF('ТРС общая'!$B45='Расчет грейда'!$W$19:$W$200,ROW('Расчет грейда'!$I$19:$I$200)-18,""),ROW()-(ROW()-AE$2))),"")</f>
        <v/>
      </c>
      <c r="AF45" s="152" t="str">
        <f t="array" ref="AF45">IFERROR(INDEX('Расчет грейда'!$I$19:$I$200,SMALL(IF('ТРС общая'!$B45='Расчет грейда'!$W$19:$W$200,ROW('Расчет грейда'!$I$19:$I$200)-18,""),ROW()-(ROW()-AF$2))),"")</f>
        <v/>
      </c>
      <c r="AG45" s="152" t="str">
        <f t="array" ref="AG45">IFERROR(INDEX('Расчет грейда'!$I$19:$I$200,SMALL(IF('ТРС общая'!$B45='Расчет грейда'!$W$19:$W$200,ROW('Расчет грейда'!$I$19:$I$200)-18,""),ROW()-(ROW()-AG$2))),"")</f>
        <v/>
      </c>
      <c r="AH45" s="152" t="str">
        <f t="array" ref="AH45">IFERROR(INDEX('Расчет грейда'!$I$19:$I$200,SMALL(IF('ТРС общая'!$B45='Расчет грейда'!$W$19:$W$200,ROW('Расчет грейда'!$I$19:$I$200)-18,""),ROW()-(ROW()-AH$2))),"")</f>
        <v/>
      </c>
      <c r="AI45" s="152" t="str">
        <f t="array" ref="AI45">IFERROR(INDEX('Расчет грейда'!$I$19:$I$200,SMALL(IF('ТРС общая'!$B45='Расчет грейда'!$W$19:$W$200,ROW('Расчет грейда'!$I$19:$I$200)-18,""),ROW()-(ROW()-AI$2))),"")</f>
        <v/>
      </c>
      <c r="AJ45" s="152" t="str">
        <f t="array" ref="AJ45">IFERROR(INDEX('Расчет грейда'!$I$19:$I$200,SMALL(IF('ТРС общая'!$B45='Расчет грейда'!$W$19:$W$200,ROW('Расчет грейда'!$I$19:$I$200)-18,""),ROW()-(ROW()-AJ$2))),"")</f>
        <v/>
      </c>
      <c r="AK45" s="152" t="str">
        <f t="array" ref="AK45">IFERROR(INDEX('Расчет грейда'!$I$19:$I$200,SMALL(IF('ТРС общая'!$B45='Расчет грейда'!$W$19:$W$200,ROW('Расчет грейда'!$I$19:$I$200)-18,""),ROW()-(ROW()-AK$2))),"")</f>
        <v/>
      </c>
      <c r="AL45" s="152" t="str">
        <f t="array" ref="AL45">IFERROR(INDEX('Расчет грейда'!$I$19:$I$200,SMALL(IF('ТРС общая'!$B45='Расчет грейда'!$W$19:$W$200,ROW('Расчет грейда'!$I$19:$I$200)-18,""),ROW()-(ROW()-AL$2))),"")</f>
        <v/>
      </c>
      <c r="AM45" s="152" t="str">
        <f t="array" ref="AM45">IFERROR(INDEX('Расчет грейда'!$I$19:$I$200,SMALL(IF('ТРС общая'!$B45='Расчет грейда'!$W$19:$W$200,ROW('Расчет грейда'!$I$19:$I$200)-18,""),ROW()-(ROW()-AM$2))),"")</f>
        <v/>
      </c>
      <c r="AN45" s="152" t="str">
        <f t="array" ref="AN45">IFERROR(INDEX('Расчет грейда'!$I$19:$I$200,SMALL(IF('ТРС общая'!$B45='Расчет грейда'!$W$19:$W$200,ROW('Расчет грейда'!$I$19:$I$200)-18,""),ROW()-(ROW()-AN$2))),"")</f>
        <v/>
      </c>
      <c r="AO45" s="152" t="str">
        <f t="array" ref="AO45">IFERROR(INDEX('Расчет грейда'!$I$19:$I$200,SMALL(IF('ТРС общая'!$B45='Расчет грейда'!$W$19:$W$200,ROW('Расчет грейда'!$I$19:$I$200)-18,""),ROW()-(ROW()-AO$2))),"")</f>
        <v/>
      </c>
    </row>
    <row r="46" spans="2:41" s="124" customFormat="1" ht="101.5" customHeight="1" x14ac:dyDescent="0.55000000000000004">
      <c r="B46" s="158">
        <v>15</v>
      </c>
      <c r="C46" s="159">
        <f>COUNTIF('Расчет грейда'!$W:$W,'ТРС общая'!$B46)</f>
        <v>0</v>
      </c>
      <c r="D46" s="152" t="str">
        <f t="array" ref="D46">IFERROR(INDEX('Расчет грейда'!$I$19:$I$200,SMALL(IF('ТРС общая'!$B46='Расчет грейда'!$W$19:$W$200,ROW('Расчет грейда'!$I$19:$I$200)-18,""),ROW()-(ROW()-D$2))),"")</f>
        <v/>
      </c>
      <c r="E46" s="152" t="str">
        <f t="array" ref="E46">IFERROR(INDEX('Расчет грейда'!$I$19:$I$200,SMALL(IF('ТРС общая'!$B46='Расчет грейда'!$W$19:$W$200,ROW('Расчет грейда'!$I$19:$I$200)-18,""),ROW()-(ROW()-E$2))),"")</f>
        <v/>
      </c>
      <c r="F46" s="152" t="str">
        <f t="array" ref="F46">IFERROR(INDEX('Расчет грейда'!$I$19:$I$200,SMALL(IF('ТРС общая'!$B46='Расчет грейда'!$W$19:$W$200,ROW('Расчет грейда'!$I$19:$I$200)-18,""),ROW()-(ROW()-F$2))),"")</f>
        <v/>
      </c>
      <c r="G46" s="152" t="str">
        <f t="array" ref="G46">IFERROR(INDEX('Расчет грейда'!$I$19:$I$200,SMALL(IF('ТРС общая'!$B46='Расчет грейда'!$W$19:$W$200,ROW('Расчет грейда'!$I$19:$I$200)-18,""),ROW()-(ROW()-G$2))),"")</f>
        <v/>
      </c>
      <c r="H46" s="152" t="str">
        <f t="array" ref="H46">IFERROR(INDEX('Расчет грейда'!$I$19:$I$200,SMALL(IF('ТРС общая'!$B46='Расчет грейда'!$W$19:$W$200,ROW('Расчет грейда'!$I$19:$I$200)-18,""),ROW()-(ROW()-H$2))),"")</f>
        <v/>
      </c>
      <c r="I46" s="152" t="str">
        <f t="array" ref="I46">IFERROR(INDEX('Расчет грейда'!$I$19:$I$200,SMALL(IF('ТРС общая'!$B46='Расчет грейда'!$W$19:$W$200,ROW('Расчет грейда'!$I$19:$I$200)-18,""),ROW()-(ROW()-I$2))),"")</f>
        <v/>
      </c>
      <c r="J46" s="152" t="str">
        <f t="array" ref="J46">IFERROR(INDEX('Расчет грейда'!$I$19:$I$200,SMALL(IF('ТРС общая'!$B46='Расчет грейда'!$W$19:$W$200,ROW('Расчет грейда'!$I$19:$I$200)-18,""),ROW()-(ROW()-J$2))),"")</f>
        <v/>
      </c>
      <c r="K46" s="152" t="str">
        <f t="array" ref="K46">IFERROR(INDEX('Расчет грейда'!$I$19:$I$200,SMALL(IF('ТРС общая'!$B46='Расчет грейда'!$W$19:$W$200,ROW('Расчет грейда'!$I$19:$I$200)-18,""),ROW()-(ROW()-K$2))),"")</f>
        <v/>
      </c>
      <c r="L46" s="152" t="str">
        <f t="array" ref="L46">IFERROR(INDEX('Расчет грейда'!$I$19:$I$200,SMALL(IF('ТРС общая'!$B46='Расчет грейда'!$W$19:$W$200,ROW('Расчет грейда'!$I$19:$I$200)-18,""),ROW()-(ROW()-L$2))),"")</f>
        <v/>
      </c>
      <c r="M46" s="152" t="str">
        <f t="array" ref="M46">IFERROR(INDEX('Расчет грейда'!$I$19:$I$200,SMALL(IF('ТРС общая'!$B46='Расчет грейда'!$W$19:$W$200,ROW('Расчет грейда'!$I$19:$I$200)-18,""),ROW()-(ROW()-M$2))),"")</f>
        <v/>
      </c>
      <c r="N46" s="152" t="str">
        <f t="array" ref="N46">IFERROR(INDEX('Расчет грейда'!$I$19:$I$200,SMALL(IF('ТРС общая'!$B46='Расчет грейда'!$W$19:$W$200,ROW('Расчет грейда'!$I$19:$I$200)-18,""),ROW()-(ROW()-N$2))),"")</f>
        <v/>
      </c>
      <c r="O46" s="152" t="str">
        <f t="array" ref="O46">IFERROR(INDEX('Расчет грейда'!$I$19:$I$200,SMALL(IF('ТРС общая'!$B46='Расчет грейда'!$W$19:$W$200,ROW('Расчет грейда'!$I$19:$I$200)-18,""),ROW()-(ROW()-O$2))),"")</f>
        <v/>
      </c>
      <c r="P46" s="152" t="str">
        <f t="array" ref="P46">IFERROR(INDEX('Расчет грейда'!$I$19:$I$200,SMALL(IF('ТРС общая'!$B46='Расчет грейда'!$W$19:$W$200,ROW('Расчет грейда'!$I$19:$I$200)-18,""),ROW()-(ROW()-P$2))),"")</f>
        <v/>
      </c>
      <c r="Q46" s="152" t="str">
        <f t="array" ref="Q46">IFERROR(INDEX('Расчет грейда'!$I$19:$I$200,SMALL(IF('ТРС общая'!$B46='Расчет грейда'!$W$19:$W$200,ROW('Расчет грейда'!$I$19:$I$200)-18,""),ROW()-(ROW()-Q$2))),"")</f>
        <v/>
      </c>
      <c r="R46" s="152" t="str">
        <f t="array" ref="R46">IFERROR(INDEX('Расчет грейда'!$I$19:$I$200,SMALL(IF('ТРС общая'!$B46='Расчет грейда'!$W$19:$W$200,ROW('Расчет грейда'!$I$19:$I$200)-18,""),ROW()-(ROW()-R$2))),"")</f>
        <v/>
      </c>
      <c r="S46" s="152" t="str">
        <f t="array" ref="S46">IFERROR(INDEX('Расчет грейда'!$I$19:$I$200,SMALL(IF('ТРС общая'!$B46='Расчет грейда'!$W$19:$W$200,ROW('Расчет грейда'!$I$19:$I$200)-18,""),ROW()-(ROW()-S$2))),"")</f>
        <v/>
      </c>
      <c r="T46" s="152" t="str">
        <f t="array" ref="T46">IFERROR(INDEX('Расчет грейда'!$I$19:$I$200,SMALL(IF('ТРС общая'!$B46='Расчет грейда'!$W$19:$W$200,ROW('Расчет грейда'!$I$19:$I$200)-18,""),ROW()-(ROW()-T$2))),"")</f>
        <v/>
      </c>
      <c r="U46" s="152" t="str">
        <f t="array" ref="U46">IFERROR(INDEX('Расчет грейда'!$I$19:$I$200,SMALL(IF('ТРС общая'!$B46='Расчет грейда'!$W$19:$W$200,ROW('Расчет грейда'!$I$19:$I$200)-18,""),ROW()-(ROW()-U$2))),"")</f>
        <v/>
      </c>
      <c r="V46" s="152" t="str">
        <f t="array" ref="V46">IFERROR(INDEX('Расчет грейда'!$I$19:$I$200,SMALL(IF('ТРС общая'!$B46='Расчет грейда'!$W$19:$W$200,ROW('Расчет грейда'!$I$19:$I$200)-18,""),ROW()-(ROW()-V$2))),"")</f>
        <v/>
      </c>
      <c r="W46" s="152" t="str">
        <f t="array" ref="W46">IFERROR(INDEX('Расчет грейда'!$I$19:$I$200,SMALL(IF('ТРС общая'!$B46='Расчет грейда'!$W$19:$W$200,ROW('Расчет грейда'!$I$19:$I$200)-18,""),ROW()-(ROW()-W$2))),"")</f>
        <v/>
      </c>
      <c r="X46" s="152" t="str">
        <f t="array" ref="X46">IFERROR(INDEX('Расчет грейда'!$I$19:$I$200,SMALL(IF('ТРС общая'!$B46='Расчет грейда'!$W$19:$W$200,ROW('Расчет грейда'!$I$19:$I$200)-18,""),ROW()-(ROW()-X$2))),"")</f>
        <v/>
      </c>
      <c r="Y46" s="152" t="str">
        <f t="array" ref="Y46">IFERROR(INDEX('Расчет грейда'!$I$19:$I$200,SMALL(IF('ТРС общая'!$B46='Расчет грейда'!$W$19:$W$200,ROW('Расчет грейда'!$I$19:$I$200)-18,""),ROW()-(ROW()-Y$2))),"")</f>
        <v/>
      </c>
      <c r="Z46" s="152" t="str">
        <f t="array" ref="Z46">IFERROR(INDEX('Расчет грейда'!$I$19:$I$200,SMALL(IF('ТРС общая'!$B46='Расчет грейда'!$W$19:$W$200,ROW('Расчет грейда'!$I$19:$I$200)-18,""),ROW()-(ROW()-Z$2))),"")</f>
        <v/>
      </c>
      <c r="AA46" s="152" t="str">
        <f t="array" ref="AA46">IFERROR(INDEX('Расчет грейда'!$I$19:$I$200,SMALL(IF('ТРС общая'!$B46='Расчет грейда'!$W$19:$W$200,ROW('Расчет грейда'!$I$19:$I$200)-18,""),ROW()-(ROW()-AA$2))),"")</f>
        <v/>
      </c>
      <c r="AB46" s="152" t="str">
        <f t="array" ref="AB46">IFERROR(INDEX('Расчет грейда'!$I$19:$I$200,SMALL(IF('ТРС общая'!$B46='Расчет грейда'!$W$19:$W$200,ROW('Расчет грейда'!$I$19:$I$200)-18,""),ROW()-(ROW()-AB$2))),"")</f>
        <v/>
      </c>
      <c r="AC46" s="152" t="str">
        <f t="array" ref="AC46">IFERROR(INDEX('Расчет грейда'!$I$19:$I$200,SMALL(IF('ТРС общая'!$B46='Расчет грейда'!$W$19:$W$200,ROW('Расчет грейда'!$I$19:$I$200)-18,""),ROW()-(ROW()-AC$2))),"")</f>
        <v/>
      </c>
      <c r="AD46" s="152" t="str">
        <f t="array" ref="AD46">IFERROR(INDEX('Расчет грейда'!$I$19:$I$200,SMALL(IF('ТРС общая'!$B46='Расчет грейда'!$W$19:$W$200,ROW('Расчет грейда'!$I$19:$I$200)-18,""),ROW()-(ROW()-AD$2))),"")</f>
        <v/>
      </c>
      <c r="AE46" s="152" t="str">
        <f t="array" ref="AE46">IFERROR(INDEX('Расчет грейда'!$I$19:$I$200,SMALL(IF('ТРС общая'!$B46='Расчет грейда'!$W$19:$W$200,ROW('Расчет грейда'!$I$19:$I$200)-18,""),ROW()-(ROW()-AE$2))),"")</f>
        <v/>
      </c>
      <c r="AF46" s="152" t="str">
        <f t="array" ref="AF46">IFERROR(INDEX('Расчет грейда'!$I$19:$I$200,SMALL(IF('ТРС общая'!$B46='Расчет грейда'!$W$19:$W$200,ROW('Расчет грейда'!$I$19:$I$200)-18,""),ROW()-(ROW()-AF$2))),"")</f>
        <v/>
      </c>
      <c r="AG46" s="152" t="str">
        <f t="array" ref="AG46">IFERROR(INDEX('Расчет грейда'!$I$19:$I$200,SMALL(IF('ТРС общая'!$B46='Расчет грейда'!$W$19:$W$200,ROW('Расчет грейда'!$I$19:$I$200)-18,""),ROW()-(ROW()-AG$2))),"")</f>
        <v/>
      </c>
      <c r="AH46" s="152" t="str">
        <f t="array" ref="AH46">IFERROR(INDEX('Расчет грейда'!$I$19:$I$200,SMALL(IF('ТРС общая'!$B46='Расчет грейда'!$W$19:$W$200,ROW('Расчет грейда'!$I$19:$I$200)-18,""),ROW()-(ROW()-AH$2))),"")</f>
        <v/>
      </c>
      <c r="AI46" s="152" t="str">
        <f t="array" ref="AI46">IFERROR(INDEX('Расчет грейда'!$I$19:$I$200,SMALL(IF('ТРС общая'!$B46='Расчет грейда'!$W$19:$W$200,ROW('Расчет грейда'!$I$19:$I$200)-18,""),ROW()-(ROW()-AI$2))),"")</f>
        <v/>
      </c>
      <c r="AJ46" s="152" t="str">
        <f t="array" ref="AJ46">IFERROR(INDEX('Расчет грейда'!$I$19:$I$200,SMALL(IF('ТРС общая'!$B46='Расчет грейда'!$W$19:$W$200,ROW('Расчет грейда'!$I$19:$I$200)-18,""),ROW()-(ROW()-AJ$2))),"")</f>
        <v/>
      </c>
      <c r="AK46" s="152" t="str">
        <f t="array" ref="AK46">IFERROR(INDEX('Расчет грейда'!$I$19:$I$200,SMALL(IF('ТРС общая'!$B46='Расчет грейда'!$W$19:$W$200,ROW('Расчет грейда'!$I$19:$I$200)-18,""),ROW()-(ROW()-AK$2))),"")</f>
        <v/>
      </c>
      <c r="AL46" s="152" t="str">
        <f t="array" ref="AL46">IFERROR(INDEX('Расчет грейда'!$I$19:$I$200,SMALL(IF('ТРС общая'!$B46='Расчет грейда'!$W$19:$W$200,ROW('Расчет грейда'!$I$19:$I$200)-18,""),ROW()-(ROW()-AL$2))),"")</f>
        <v/>
      </c>
      <c r="AM46" s="152" t="str">
        <f t="array" ref="AM46">IFERROR(INDEX('Расчет грейда'!$I$19:$I$200,SMALL(IF('ТРС общая'!$B46='Расчет грейда'!$W$19:$W$200,ROW('Расчет грейда'!$I$19:$I$200)-18,""),ROW()-(ROW()-AM$2))),"")</f>
        <v/>
      </c>
      <c r="AN46" s="152" t="str">
        <f t="array" ref="AN46">IFERROR(INDEX('Расчет грейда'!$I$19:$I$200,SMALL(IF('ТРС общая'!$B46='Расчет грейда'!$W$19:$W$200,ROW('Расчет грейда'!$I$19:$I$200)-18,""),ROW()-(ROW()-AN$2))),"")</f>
        <v/>
      </c>
      <c r="AO46" s="152" t="str">
        <f t="array" ref="AO46">IFERROR(INDEX('Расчет грейда'!$I$19:$I$200,SMALL(IF('ТРС общая'!$B46='Расчет грейда'!$W$19:$W$200,ROW('Расчет грейда'!$I$19:$I$200)-18,""),ROW()-(ROW()-AO$2))),"")</f>
        <v/>
      </c>
    </row>
    <row r="47" spans="2:41" s="124" customFormat="1" ht="101.5" customHeight="1" x14ac:dyDescent="0.55000000000000004">
      <c r="B47" s="158">
        <v>14</v>
      </c>
      <c r="C47" s="159">
        <f>COUNTIF('Расчет грейда'!$W:$W,'ТРС общая'!$B47)</f>
        <v>0</v>
      </c>
      <c r="D47" s="152" t="str">
        <f t="array" ref="D47">IFERROR(INDEX('Расчет грейда'!$I$19:$I$200,SMALL(IF('ТРС общая'!$B47='Расчет грейда'!$W$19:$W$200,ROW('Расчет грейда'!$I$19:$I$200)-18,""),ROW()-(ROW()-D$2))),"")</f>
        <v/>
      </c>
      <c r="E47" s="152" t="str">
        <f t="array" ref="E47">IFERROR(INDEX('Расчет грейда'!$I$19:$I$200,SMALL(IF('ТРС общая'!$B47='Расчет грейда'!$W$19:$W$200,ROW('Расчет грейда'!$I$19:$I$200)-18,""),ROW()-(ROW()-E$2))),"")</f>
        <v/>
      </c>
      <c r="F47" s="152" t="str">
        <f t="array" ref="F47">IFERROR(INDEX('Расчет грейда'!$I$19:$I$200,SMALL(IF('ТРС общая'!$B47='Расчет грейда'!$W$19:$W$200,ROW('Расчет грейда'!$I$19:$I$200)-18,""),ROW()-(ROW()-F$2))),"")</f>
        <v/>
      </c>
      <c r="G47" s="152" t="str">
        <f t="array" ref="G47">IFERROR(INDEX('Расчет грейда'!$I$19:$I$200,SMALL(IF('ТРС общая'!$B47='Расчет грейда'!$W$19:$W$200,ROW('Расчет грейда'!$I$19:$I$200)-18,""),ROW()-(ROW()-G$2))),"")</f>
        <v/>
      </c>
      <c r="H47" s="152" t="str">
        <f t="array" ref="H47">IFERROR(INDEX('Расчет грейда'!$I$19:$I$200,SMALL(IF('ТРС общая'!$B47='Расчет грейда'!$W$19:$W$200,ROW('Расчет грейда'!$I$19:$I$200)-18,""),ROW()-(ROW()-H$2))),"")</f>
        <v/>
      </c>
      <c r="I47" s="152" t="str">
        <f t="array" ref="I47">IFERROR(INDEX('Расчет грейда'!$I$19:$I$200,SMALL(IF('ТРС общая'!$B47='Расчет грейда'!$W$19:$W$200,ROW('Расчет грейда'!$I$19:$I$200)-18,""),ROW()-(ROW()-I$2))),"")</f>
        <v/>
      </c>
      <c r="J47" s="152" t="str">
        <f t="array" ref="J47">IFERROR(INDEX('Расчет грейда'!$I$19:$I$200,SMALL(IF('ТРС общая'!$B47='Расчет грейда'!$W$19:$W$200,ROW('Расчет грейда'!$I$19:$I$200)-18,""),ROW()-(ROW()-J$2))),"")</f>
        <v/>
      </c>
      <c r="K47" s="152" t="str">
        <f t="array" ref="K47">IFERROR(INDEX('Расчет грейда'!$I$19:$I$200,SMALL(IF('ТРС общая'!$B47='Расчет грейда'!$W$19:$W$200,ROW('Расчет грейда'!$I$19:$I$200)-18,""),ROW()-(ROW()-K$2))),"")</f>
        <v/>
      </c>
      <c r="L47" s="152" t="str">
        <f t="array" ref="L47">IFERROR(INDEX('Расчет грейда'!$I$19:$I$200,SMALL(IF('ТРС общая'!$B47='Расчет грейда'!$W$19:$W$200,ROW('Расчет грейда'!$I$19:$I$200)-18,""),ROW()-(ROW()-L$2))),"")</f>
        <v/>
      </c>
      <c r="M47" s="152" t="str">
        <f t="array" ref="M47">IFERROR(INDEX('Расчет грейда'!$I$19:$I$200,SMALL(IF('ТРС общая'!$B47='Расчет грейда'!$W$19:$W$200,ROW('Расчет грейда'!$I$19:$I$200)-18,""),ROW()-(ROW()-M$2))),"")</f>
        <v/>
      </c>
      <c r="N47" s="152" t="str">
        <f t="array" ref="N47">IFERROR(INDEX('Расчет грейда'!$I$19:$I$200,SMALL(IF('ТРС общая'!$B47='Расчет грейда'!$W$19:$W$200,ROW('Расчет грейда'!$I$19:$I$200)-18,""),ROW()-(ROW()-N$2))),"")</f>
        <v/>
      </c>
      <c r="O47" s="152" t="str">
        <f t="array" ref="O47">IFERROR(INDEX('Расчет грейда'!$I$19:$I$200,SMALL(IF('ТРС общая'!$B47='Расчет грейда'!$W$19:$W$200,ROW('Расчет грейда'!$I$19:$I$200)-18,""),ROW()-(ROW()-O$2))),"")</f>
        <v/>
      </c>
      <c r="P47" s="152" t="str">
        <f t="array" ref="P47">IFERROR(INDEX('Расчет грейда'!$I$19:$I$200,SMALL(IF('ТРС общая'!$B47='Расчет грейда'!$W$19:$W$200,ROW('Расчет грейда'!$I$19:$I$200)-18,""),ROW()-(ROW()-P$2))),"")</f>
        <v/>
      </c>
      <c r="Q47" s="152" t="str">
        <f t="array" ref="Q47">IFERROR(INDEX('Расчет грейда'!$I$19:$I$200,SMALL(IF('ТРС общая'!$B47='Расчет грейда'!$W$19:$W$200,ROW('Расчет грейда'!$I$19:$I$200)-18,""),ROW()-(ROW()-Q$2))),"")</f>
        <v/>
      </c>
      <c r="R47" s="152" t="str">
        <f t="array" ref="R47">IFERROR(INDEX('Расчет грейда'!$I$19:$I$200,SMALL(IF('ТРС общая'!$B47='Расчет грейда'!$W$19:$W$200,ROW('Расчет грейда'!$I$19:$I$200)-18,""),ROW()-(ROW()-R$2))),"")</f>
        <v/>
      </c>
      <c r="S47" s="152" t="str">
        <f t="array" ref="S47">IFERROR(INDEX('Расчет грейда'!$I$19:$I$200,SMALL(IF('ТРС общая'!$B47='Расчет грейда'!$W$19:$W$200,ROW('Расчет грейда'!$I$19:$I$200)-18,""),ROW()-(ROW()-S$2))),"")</f>
        <v/>
      </c>
      <c r="T47" s="152" t="str">
        <f t="array" ref="T47">IFERROR(INDEX('Расчет грейда'!$I$19:$I$200,SMALL(IF('ТРС общая'!$B47='Расчет грейда'!$W$19:$W$200,ROW('Расчет грейда'!$I$19:$I$200)-18,""),ROW()-(ROW()-T$2))),"")</f>
        <v/>
      </c>
      <c r="U47" s="152" t="str">
        <f t="array" ref="U47">IFERROR(INDEX('Расчет грейда'!$I$19:$I$200,SMALL(IF('ТРС общая'!$B47='Расчет грейда'!$W$19:$W$200,ROW('Расчет грейда'!$I$19:$I$200)-18,""),ROW()-(ROW()-U$2))),"")</f>
        <v/>
      </c>
      <c r="V47" s="152" t="str">
        <f t="array" ref="V47">IFERROR(INDEX('Расчет грейда'!$I$19:$I$200,SMALL(IF('ТРС общая'!$B47='Расчет грейда'!$W$19:$W$200,ROW('Расчет грейда'!$I$19:$I$200)-18,""),ROW()-(ROW()-V$2))),"")</f>
        <v/>
      </c>
      <c r="W47" s="152" t="str">
        <f t="array" ref="W47">IFERROR(INDEX('Расчет грейда'!$I$19:$I$200,SMALL(IF('ТРС общая'!$B47='Расчет грейда'!$W$19:$W$200,ROW('Расчет грейда'!$I$19:$I$200)-18,""),ROW()-(ROW()-W$2))),"")</f>
        <v/>
      </c>
      <c r="X47" s="152" t="str">
        <f t="array" ref="X47">IFERROR(INDEX('Расчет грейда'!$I$19:$I$200,SMALL(IF('ТРС общая'!$B47='Расчет грейда'!$W$19:$W$200,ROW('Расчет грейда'!$I$19:$I$200)-18,""),ROW()-(ROW()-X$2))),"")</f>
        <v/>
      </c>
      <c r="Y47" s="152" t="str">
        <f t="array" ref="Y47">IFERROR(INDEX('Расчет грейда'!$I$19:$I$200,SMALL(IF('ТРС общая'!$B47='Расчет грейда'!$W$19:$W$200,ROW('Расчет грейда'!$I$19:$I$200)-18,""),ROW()-(ROW()-Y$2))),"")</f>
        <v/>
      </c>
      <c r="Z47" s="152" t="str">
        <f t="array" ref="Z47">IFERROR(INDEX('Расчет грейда'!$I$19:$I$200,SMALL(IF('ТРС общая'!$B47='Расчет грейда'!$W$19:$W$200,ROW('Расчет грейда'!$I$19:$I$200)-18,""),ROW()-(ROW()-Z$2))),"")</f>
        <v/>
      </c>
      <c r="AA47" s="152" t="str">
        <f t="array" ref="AA47">IFERROR(INDEX('Расчет грейда'!$I$19:$I$200,SMALL(IF('ТРС общая'!$B47='Расчет грейда'!$W$19:$W$200,ROW('Расчет грейда'!$I$19:$I$200)-18,""),ROW()-(ROW()-AA$2))),"")</f>
        <v/>
      </c>
      <c r="AB47" s="152" t="str">
        <f t="array" ref="AB47">IFERROR(INDEX('Расчет грейда'!$I$19:$I$200,SMALL(IF('ТРС общая'!$B47='Расчет грейда'!$W$19:$W$200,ROW('Расчет грейда'!$I$19:$I$200)-18,""),ROW()-(ROW()-AB$2))),"")</f>
        <v/>
      </c>
      <c r="AC47" s="152" t="str">
        <f t="array" ref="AC47">IFERROR(INDEX('Расчет грейда'!$I$19:$I$200,SMALL(IF('ТРС общая'!$B47='Расчет грейда'!$W$19:$W$200,ROW('Расчет грейда'!$I$19:$I$200)-18,""),ROW()-(ROW()-AC$2))),"")</f>
        <v/>
      </c>
      <c r="AD47" s="152" t="str">
        <f t="array" ref="AD47">IFERROR(INDEX('Расчет грейда'!$I$19:$I$200,SMALL(IF('ТРС общая'!$B47='Расчет грейда'!$W$19:$W$200,ROW('Расчет грейда'!$I$19:$I$200)-18,""),ROW()-(ROW()-AD$2))),"")</f>
        <v/>
      </c>
      <c r="AE47" s="152" t="str">
        <f t="array" ref="AE47">IFERROR(INDEX('Расчет грейда'!$I$19:$I$200,SMALL(IF('ТРС общая'!$B47='Расчет грейда'!$W$19:$W$200,ROW('Расчет грейда'!$I$19:$I$200)-18,""),ROW()-(ROW()-AE$2))),"")</f>
        <v/>
      </c>
      <c r="AF47" s="152" t="str">
        <f t="array" ref="AF47">IFERROR(INDEX('Расчет грейда'!$I$19:$I$200,SMALL(IF('ТРС общая'!$B47='Расчет грейда'!$W$19:$W$200,ROW('Расчет грейда'!$I$19:$I$200)-18,""),ROW()-(ROW()-AF$2))),"")</f>
        <v/>
      </c>
      <c r="AG47" s="152" t="str">
        <f t="array" ref="AG47">IFERROR(INDEX('Расчет грейда'!$I$19:$I$200,SMALL(IF('ТРС общая'!$B47='Расчет грейда'!$W$19:$W$200,ROW('Расчет грейда'!$I$19:$I$200)-18,""),ROW()-(ROW()-AG$2))),"")</f>
        <v/>
      </c>
      <c r="AH47" s="152" t="str">
        <f t="array" ref="AH47">IFERROR(INDEX('Расчет грейда'!$I$19:$I$200,SMALL(IF('ТРС общая'!$B47='Расчет грейда'!$W$19:$W$200,ROW('Расчет грейда'!$I$19:$I$200)-18,""),ROW()-(ROW()-AH$2))),"")</f>
        <v/>
      </c>
      <c r="AI47" s="152" t="str">
        <f t="array" ref="AI47">IFERROR(INDEX('Расчет грейда'!$I$19:$I$200,SMALL(IF('ТРС общая'!$B47='Расчет грейда'!$W$19:$W$200,ROW('Расчет грейда'!$I$19:$I$200)-18,""),ROW()-(ROW()-AI$2))),"")</f>
        <v/>
      </c>
      <c r="AJ47" s="152" t="str">
        <f t="array" ref="AJ47">IFERROR(INDEX('Расчет грейда'!$I$19:$I$200,SMALL(IF('ТРС общая'!$B47='Расчет грейда'!$W$19:$W$200,ROW('Расчет грейда'!$I$19:$I$200)-18,""),ROW()-(ROW()-AJ$2))),"")</f>
        <v/>
      </c>
      <c r="AK47" s="152" t="str">
        <f t="array" ref="AK47">IFERROR(INDEX('Расчет грейда'!$I$19:$I$200,SMALL(IF('ТРС общая'!$B47='Расчет грейда'!$W$19:$W$200,ROW('Расчет грейда'!$I$19:$I$200)-18,""),ROW()-(ROW()-AK$2))),"")</f>
        <v/>
      </c>
      <c r="AL47" s="152" t="str">
        <f t="array" ref="AL47">IFERROR(INDEX('Расчет грейда'!$I$19:$I$200,SMALL(IF('ТРС общая'!$B47='Расчет грейда'!$W$19:$W$200,ROW('Расчет грейда'!$I$19:$I$200)-18,""),ROW()-(ROW()-AL$2))),"")</f>
        <v/>
      </c>
      <c r="AM47" s="152" t="str">
        <f t="array" ref="AM47">IFERROR(INDEX('Расчет грейда'!$I$19:$I$200,SMALL(IF('ТРС общая'!$B47='Расчет грейда'!$W$19:$W$200,ROW('Расчет грейда'!$I$19:$I$200)-18,""),ROW()-(ROW()-AM$2))),"")</f>
        <v/>
      </c>
      <c r="AN47" s="152" t="str">
        <f t="array" ref="AN47">IFERROR(INDEX('Расчет грейда'!$I$19:$I$200,SMALL(IF('ТРС общая'!$B47='Расчет грейда'!$W$19:$W$200,ROW('Расчет грейда'!$I$19:$I$200)-18,""),ROW()-(ROW()-AN$2))),"")</f>
        <v/>
      </c>
      <c r="AO47" s="152" t="str">
        <f t="array" ref="AO47">IFERROR(INDEX('Расчет грейда'!$I$19:$I$200,SMALL(IF('ТРС общая'!$B47='Расчет грейда'!$W$19:$W$200,ROW('Расчет грейда'!$I$19:$I$200)-18,""),ROW()-(ROW()-AO$2))),"")</f>
        <v/>
      </c>
    </row>
    <row r="48" spans="2:41" s="124" customFormat="1" ht="101.5" customHeight="1" x14ac:dyDescent="0.55000000000000004">
      <c r="B48" s="158">
        <v>13</v>
      </c>
      <c r="C48" s="159">
        <f>COUNTIF('Расчет грейда'!$W:$W,'ТРС общая'!$B48)</f>
        <v>0</v>
      </c>
      <c r="D48" s="152" t="str">
        <f t="array" ref="D48">IFERROR(INDEX('Расчет грейда'!$I$19:$I$200,SMALL(IF('ТРС общая'!$B48='Расчет грейда'!$W$19:$W$200,ROW('Расчет грейда'!$I$19:$I$200)-18,""),ROW()-(ROW()-D$2))),"")</f>
        <v/>
      </c>
      <c r="E48" s="152" t="str">
        <f t="array" ref="E48">IFERROR(INDEX('Расчет грейда'!$I$19:$I$200,SMALL(IF('ТРС общая'!$B48='Расчет грейда'!$W$19:$W$200,ROW('Расчет грейда'!$I$19:$I$200)-18,""),ROW()-(ROW()-E$2))),"")</f>
        <v/>
      </c>
      <c r="F48" s="152" t="str">
        <f t="array" ref="F48">IFERROR(INDEX('Расчет грейда'!$I$19:$I$200,SMALL(IF('ТРС общая'!$B48='Расчет грейда'!$W$19:$W$200,ROW('Расчет грейда'!$I$19:$I$200)-18,""),ROW()-(ROW()-F$2))),"")</f>
        <v/>
      </c>
      <c r="G48" s="152" t="str">
        <f t="array" ref="G48">IFERROR(INDEX('Расчет грейда'!$I$19:$I$200,SMALL(IF('ТРС общая'!$B48='Расчет грейда'!$W$19:$W$200,ROW('Расчет грейда'!$I$19:$I$200)-18,""),ROW()-(ROW()-G$2))),"")</f>
        <v/>
      </c>
      <c r="H48" s="152" t="str">
        <f t="array" ref="H48">IFERROR(INDEX('Расчет грейда'!$I$19:$I$200,SMALL(IF('ТРС общая'!$B48='Расчет грейда'!$W$19:$W$200,ROW('Расчет грейда'!$I$19:$I$200)-18,""),ROW()-(ROW()-H$2))),"")</f>
        <v/>
      </c>
      <c r="I48" s="152" t="str">
        <f t="array" ref="I48">IFERROR(INDEX('Расчет грейда'!$I$19:$I$200,SMALL(IF('ТРС общая'!$B48='Расчет грейда'!$W$19:$W$200,ROW('Расчет грейда'!$I$19:$I$200)-18,""),ROW()-(ROW()-I$2))),"")</f>
        <v/>
      </c>
      <c r="J48" s="152" t="str">
        <f t="array" ref="J48">IFERROR(INDEX('Расчет грейда'!$I$19:$I$200,SMALL(IF('ТРС общая'!$B48='Расчет грейда'!$W$19:$W$200,ROW('Расчет грейда'!$I$19:$I$200)-18,""),ROW()-(ROW()-J$2))),"")</f>
        <v/>
      </c>
      <c r="K48" s="152" t="str">
        <f t="array" ref="K48">IFERROR(INDEX('Расчет грейда'!$I$19:$I$200,SMALL(IF('ТРС общая'!$B48='Расчет грейда'!$W$19:$W$200,ROW('Расчет грейда'!$I$19:$I$200)-18,""),ROW()-(ROW()-K$2))),"")</f>
        <v/>
      </c>
      <c r="L48" s="152" t="str">
        <f t="array" ref="L48">IFERROR(INDEX('Расчет грейда'!$I$19:$I$200,SMALL(IF('ТРС общая'!$B48='Расчет грейда'!$W$19:$W$200,ROW('Расчет грейда'!$I$19:$I$200)-18,""),ROW()-(ROW()-L$2))),"")</f>
        <v/>
      </c>
      <c r="M48" s="152" t="str">
        <f t="array" ref="M48">IFERROR(INDEX('Расчет грейда'!$I$19:$I$200,SMALL(IF('ТРС общая'!$B48='Расчет грейда'!$W$19:$W$200,ROW('Расчет грейда'!$I$19:$I$200)-18,""),ROW()-(ROW()-M$2))),"")</f>
        <v/>
      </c>
      <c r="N48" s="152" t="str">
        <f t="array" ref="N48">IFERROR(INDEX('Расчет грейда'!$I$19:$I$200,SMALL(IF('ТРС общая'!$B48='Расчет грейда'!$W$19:$W$200,ROW('Расчет грейда'!$I$19:$I$200)-18,""),ROW()-(ROW()-N$2))),"")</f>
        <v/>
      </c>
      <c r="O48" s="152" t="str">
        <f t="array" ref="O48">IFERROR(INDEX('Расчет грейда'!$I$19:$I$200,SMALL(IF('ТРС общая'!$B48='Расчет грейда'!$W$19:$W$200,ROW('Расчет грейда'!$I$19:$I$200)-18,""),ROW()-(ROW()-O$2))),"")</f>
        <v/>
      </c>
      <c r="P48" s="152" t="str">
        <f t="array" ref="P48">IFERROR(INDEX('Расчет грейда'!$I$19:$I$200,SMALL(IF('ТРС общая'!$B48='Расчет грейда'!$W$19:$W$200,ROW('Расчет грейда'!$I$19:$I$200)-18,""),ROW()-(ROW()-P$2))),"")</f>
        <v/>
      </c>
      <c r="Q48" s="152" t="str">
        <f t="array" ref="Q48">IFERROR(INDEX('Расчет грейда'!$I$19:$I$200,SMALL(IF('ТРС общая'!$B48='Расчет грейда'!$W$19:$W$200,ROW('Расчет грейда'!$I$19:$I$200)-18,""),ROW()-(ROW()-Q$2))),"")</f>
        <v/>
      </c>
      <c r="R48" s="152" t="str">
        <f t="array" ref="R48">IFERROR(INDEX('Расчет грейда'!$I$19:$I$200,SMALL(IF('ТРС общая'!$B48='Расчет грейда'!$W$19:$W$200,ROW('Расчет грейда'!$I$19:$I$200)-18,""),ROW()-(ROW()-R$2))),"")</f>
        <v/>
      </c>
      <c r="S48" s="152" t="str">
        <f t="array" ref="S48">IFERROR(INDEX('Расчет грейда'!$I$19:$I$200,SMALL(IF('ТРС общая'!$B48='Расчет грейда'!$W$19:$W$200,ROW('Расчет грейда'!$I$19:$I$200)-18,""),ROW()-(ROW()-S$2))),"")</f>
        <v/>
      </c>
      <c r="T48" s="152" t="str">
        <f t="array" ref="T48">IFERROR(INDEX('Расчет грейда'!$I$19:$I$200,SMALL(IF('ТРС общая'!$B48='Расчет грейда'!$W$19:$W$200,ROW('Расчет грейда'!$I$19:$I$200)-18,""),ROW()-(ROW()-T$2))),"")</f>
        <v/>
      </c>
      <c r="U48" s="152" t="str">
        <f t="array" ref="U48">IFERROR(INDEX('Расчет грейда'!$I$19:$I$200,SMALL(IF('ТРС общая'!$B48='Расчет грейда'!$W$19:$W$200,ROW('Расчет грейда'!$I$19:$I$200)-18,""),ROW()-(ROW()-U$2))),"")</f>
        <v/>
      </c>
      <c r="V48" s="152" t="str">
        <f t="array" ref="V48">IFERROR(INDEX('Расчет грейда'!$I$19:$I$200,SMALL(IF('ТРС общая'!$B48='Расчет грейда'!$W$19:$W$200,ROW('Расчет грейда'!$I$19:$I$200)-18,""),ROW()-(ROW()-V$2))),"")</f>
        <v/>
      </c>
      <c r="W48" s="152" t="str">
        <f t="array" ref="W48">IFERROR(INDEX('Расчет грейда'!$I$19:$I$200,SMALL(IF('ТРС общая'!$B48='Расчет грейда'!$W$19:$W$200,ROW('Расчет грейда'!$I$19:$I$200)-18,""),ROW()-(ROW()-W$2))),"")</f>
        <v/>
      </c>
      <c r="X48" s="152" t="str">
        <f t="array" ref="X48">IFERROR(INDEX('Расчет грейда'!$I$19:$I$200,SMALL(IF('ТРС общая'!$B48='Расчет грейда'!$W$19:$W$200,ROW('Расчет грейда'!$I$19:$I$200)-18,""),ROW()-(ROW()-X$2))),"")</f>
        <v/>
      </c>
      <c r="Y48" s="152" t="str">
        <f t="array" ref="Y48">IFERROR(INDEX('Расчет грейда'!$I$19:$I$200,SMALL(IF('ТРС общая'!$B48='Расчет грейда'!$W$19:$W$200,ROW('Расчет грейда'!$I$19:$I$200)-18,""),ROW()-(ROW()-Y$2))),"")</f>
        <v/>
      </c>
      <c r="Z48" s="152" t="str">
        <f t="array" ref="Z48">IFERROR(INDEX('Расчет грейда'!$I$19:$I$200,SMALL(IF('ТРС общая'!$B48='Расчет грейда'!$W$19:$W$200,ROW('Расчет грейда'!$I$19:$I$200)-18,""),ROW()-(ROW()-Z$2))),"")</f>
        <v/>
      </c>
      <c r="AA48" s="152" t="str">
        <f t="array" ref="AA48">IFERROR(INDEX('Расчет грейда'!$I$19:$I$200,SMALL(IF('ТРС общая'!$B48='Расчет грейда'!$W$19:$W$200,ROW('Расчет грейда'!$I$19:$I$200)-18,""),ROW()-(ROW()-AA$2))),"")</f>
        <v/>
      </c>
      <c r="AB48" s="152" t="str">
        <f t="array" ref="AB48">IFERROR(INDEX('Расчет грейда'!$I$19:$I$200,SMALL(IF('ТРС общая'!$B48='Расчет грейда'!$W$19:$W$200,ROW('Расчет грейда'!$I$19:$I$200)-18,""),ROW()-(ROW()-AB$2))),"")</f>
        <v/>
      </c>
      <c r="AC48" s="152" t="str">
        <f t="array" ref="AC48">IFERROR(INDEX('Расчет грейда'!$I$19:$I$200,SMALL(IF('ТРС общая'!$B48='Расчет грейда'!$W$19:$W$200,ROW('Расчет грейда'!$I$19:$I$200)-18,""),ROW()-(ROW()-AC$2))),"")</f>
        <v/>
      </c>
      <c r="AD48" s="152" t="str">
        <f t="array" ref="AD48">IFERROR(INDEX('Расчет грейда'!$I$19:$I$200,SMALL(IF('ТРС общая'!$B48='Расчет грейда'!$W$19:$W$200,ROW('Расчет грейда'!$I$19:$I$200)-18,""),ROW()-(ROW()-AD$2))),"")</f>
        <v/>
      </c>
      <c r="AE48" s="152" t="str">
        <f t="array" ref="AE48">IFERROR(INDEX('Расчет грейда'!$I$19:$I$200,SMALL(IF('ТРС общая'!$B48='Расчет грейда'!$W$19:$W$200,ROW('Расчет грейда'!$I$19:$I$200)-18,""),ROW()-(ROW()-AE$2))),"")</f>
        <v/>
      </c>
      <c r="AF48" s="152" t="str">
        <f t="array" ref="AF48">IFERROR(INDEX('Расчет грейда'!$I$19:$I$200,SMALL(IF('ТРС общая'!$B48='Расчет грейда'!$W$19:$W$200,ROW('Расчет грейда'!$I$19:$I$200)-18,""),ROW()-(ROW()-AF$2))),"")</f>
        <v/>
      </c>
      <c r="AG48" s="152" t="str">
        <f t="array" ref="AG48">IFERROR(INDEX('Расчет грейда'!$I$19:$I$200,SMALL(IF('ТРС общая'!$B48='Расчет грейда'!$W$19:$W$200,ROW('Расчет грейда'!$I$19:$I$200)-18,""),ROW()-(ROW()-AG$2))),"")</f>
        <v/>
      </c>
      <c r="AH48" s="152" t="str">
        <f t="array" ref="AH48">IFERROR(INDEX('Расчет грейда'!$I$19:$I$200,SMALL(IF('ТРС общая'!$B48='Расчет грейда'!$W$19:$W$200,ROW('Расчет грейда'!$I$19:$I$200)-18,""),ROW()-(ROW()-AH$2))),"")</f>
        <v/>
      </c>
      <c r="AI48" s="152" t="str">
        <f t="array" ref="AI48">IFERROR(INDEX('Расчет грейда'!$I$19:$I$200,SMALL(IF('ТРС общая'!$B48='Расчет грейда'!$W$19:$W$200,ROW('Расчет грейда'!$I$19:$I$200)-18,""),ROW()-(ROW()-AI$2))),"")</f>
        <v/>
      </c>
      <c r="AJ48" s="152" t="str">
        <f t="array" ref="AJ48">IFERROR(INDEX('Расчет грейда'!$I$19:$I$200,SMALL(IF('ТРС общая'!$B48='Расчет грейда'!$W$19:$W$200,ROW('Расчет грейда'!$I$19:$I$200)-18,""),ROW()-(ROW()-AJ$2))),"")</f>
        <v/>
      </c>
      <c r="AK48" s="152" t="str">
        <f t="array" ref="AK48">IFERROR(INDEX('Расчет грейда'!$I$19:$I$200,SMALL(IF('ТРС общая'!$B48='Расчет грейда'!$W$19:$W$200,ROW('Расчет грейда'!$I$19:$I$200)-18,""),ROW()-(ROW()-AK$2))),"")</f>
        <v/>
      </c>
      <c r="AL48" s="152" t="str">
        <f t="array" ref="AL48">IFERROR(INDEX('Расчет грейда'!$I$19:$I$200,SMALL(IF('ТРС общая'!$B48='Расчет грейда'!$W$19:$W$200,ROW('Расчет грейда'!$I$19:$I$200)-18,""),ROW()-(ROW()-AL$2))),"")</f>
        <v/>
      </c>
      <c r="AM48" s="152" t="str">
        <f t="array" ref="AM48">IFERROR(INDEX('Расчет грейда'!$I$19:$I$200,SMALL(IF('ТРС общая'!$B48='Расчет грейда'!$W$19:$W$200,ROW('Расчет грейда'!$I$19:$I$200)-18,""),ROW()-(ROW()-AM$2))),"")</f>
        <v/>
      </c>
      <c r="AN48" s="152" t="str">
        <f t="array" ref="AN48">IFERROR(INDEX('Расчет грейда'!$I$19:$I$200,SMALL(IF('ТРС общая'!$B48='Расчет грейда'!$W$19:$W$200,ROW('Расчет грейда'!$I$19:$I$200)-18,""),ROW()-(ROW()-AN$2))),"")</f>
        <v/>
      </c>
      <c r="AO48" s="152" t="str">
        <f t="array" ref="AO48">IFERROR(INDEX('Расчет грейда'!$I$19:$I$200,SMALL(IF('ТРС общая'!$B48='Расчет грейда'!$W$19:$W$200,ROW('Расчет грейда'!$I$19:$I$200)-18,""),ROW()-(ROW()-AO$2))),"")</f>
        <v/>
      </c>
    </row>
    <row r="49" spans="2:41" s="124" customFormat="1" ht="101.5" customHeight="1" x14ac:dyDescent="0.55000000000000004">
      <c r="B49" s="158">
        <v>12</v>
      </c>
      <c r="C49" s="159">
        <f>COUNTIF('Расчет грейда'!$W:$W,'ТРС общая'!$B49)</f>
        <v>0</v>
      </c>
      <c r="D49" s="152" t="str">
        <f t="array" ref="D49">IFERROR(INDEX('Расчет грейда'!$I$19:$I$200,SMALL(IF('ТРС общая'!$B49='Расчет грейда'!$W$19:$W$200,ROW('Расчет грейда'!$I$19:$I$200)-18,""),ROW()-(ROW()-D$2))),"")</f>
        <v/>
      </c>
      <c r="E49" s="152" t="str">
        <f t="array" ref="E49">IFERROR(INDEX('Расчет грейда'!$I$19:$I$200,SMALL(IF('ТРС общая'!$B49='Расчет грейда'!$W$19:$W$200,ROW('Расчет грейда'!$I$19:$I$200)-18,""),ROW()-(ROW()-E$2))),"")</f>
        <v/>
      </c>
      <c r="F49" s="152" t="str">
        <f t="array" ref="F49">IFERROR(INDEX('Расчет грейда'!$I$19:$I$200,SMALL(IF('ТРС общая'!$B49='Расчет грейда'!$W$19:$W$200,ROW('Расчет грейда'!$I$19:$I$200)-18,""),ROW()-(ROW()-F$2))),"")</f>
        <v/>
      </c>
      <c r="G49" s="152" t="str">
        <f t="array" ref="G49">IFERROR(INDEX('Расчет грейда'!$I$19:$I$200,SMALL(IF('ТРС общая'!$B49='Расчет грейда'!$W$19:$W$200,ROW('Расчет грейда'!$I$19:$I$200)-18,""),ROW()-(ROW()-G$2))),"")</f>
        <v/>
      </c>
      <c r="H49" s="152" t="str">
        <f t="array" ref="H49">IFERROR(INDEX('Расчет грейда'!$I$19:$I$200,SMALL(IF('ТРС общая'!$B49='Расчет грейда'!$W$19:$W$200,ROW('Расчет грейда'!$I$19:$I$200)-18,""),ROW()-(ROW()-H$2))),"")</f>
        <v/>
      </c>
      <c r="I49" s="152" t="str">
        <f t="array" ref="I49">IFERROR(INDEX('Расчет грейда'!$I$19:$I$200,SMALL(IF('ТРС общая'!$B49='Расчет грейда'!$W$19:$W$200,ROW('Расчет грейда'!$I$19:$I$200)-18,""),ROW()-(ROW()-I$2))),"")</f>
        <v/>
      </c>
      <c r="J49" s="152" t="str">
        <f t="array" ref="J49">IFERROR(INDEX('Расчет грейда'!$I$19:$I$200,SMALL(IF('ТРС общая'!$B49='Расчет грейда'!$W$19:$W$200,ROW('Расчет грейда'!$I$19:$I$200)-18,""),ROW()-(ROW()-J$2))),"")</f>
        <v/>
      </c>
      <c r="K49" s="152" t="str">
        <f t="array" ref="K49">IFERROR(INDEX('Расчет грейда'!$I$19:$I$200,SMALL(IF('ТРС общая'!$B49='Расчет грейда'!$W$19:$W$200,ROW('Расчет грейда'!$I$19:$I$200)-18,""),ROW()-(ROW()-K$2))),"")</f>
        <v/>
      </c>
      <c r="L49" s="152" t="str">
        <f t="array" ref="L49">IFERROR(INDEX('Расчет грейда'!$I$19:$I$200,SMALL(IF('ТРС общая'!$B49='Расчет грейда'!$W$19:$W$200,ROW('Расчет грейда'!$I$19:$I$200)-18,""),ROW()-(ROW()-L$2))),"")</f>
        <v/>
      </c>
      <c r="M49" s="152" t="str">
        <f t="array" ref="M49">IFERROR(INDEX('Расчет грейда'!$I$19:$I$200,SMALL(IF('ТРС общая'!$B49='Расчет грейда'!$W$19:$W$200,ROW('Расчет грейда'!$I$19:$I$200)-18,""),ROW()-(ROW()-M$2))),"")</f>
        <v/>
      </c>
      <c r="N49" s="152" t="str">
        <f t="array" ref="N49">IFERROR(INDEX('Расчет грейда'!$I$19:$I$200,SMALL(IF('ТРС общая'!$B49='Расчет грейда'!$W$19:$W$200,ROW('Расчет грейда'!$I$19:$I$200)-18,""),ROW()-(ROW()-N$2))),"")</f>
        <v/>
      </c>
      <c r="O49" s="152" t="str">
        <f t="array" ref="O49">IFERROR(INDEX('Расчет грейда'!$I$19:$I$200,SMALL(IF('ТРС общая'!$B49='Расчет грейда'!$W$19:$W$200,ROW('Расчет грейда'!$I$19:$I$200)-18,""),ROW()-(ROW()-O$2))),"")</f>
        <v/>
      </c>
      <c r="P49" s="152" t="str">
        <f t="array" ref="P49">IFERROR(INDEX('Расчет грейда'!$I$19:$I$200,SMALL(IF('ТРС общая'!$B49='Расчет грейда'!$W$19:$W$200,ROW('Расчет грейда'!$I$19:$I$200)-18,""),ROW()-(ROW()-P$2))),"")</f>
        <v/>
      </c>
      <c r="Q49" s="152" t="str">
        <f t="array" ref="Q49">IFERROR(INDEX('Расчет грейда'!$I$19:$I$200,SMALL(IF('ТРС общая'!$B49='Расчет грейда'!$W$19:$W$200,ROW('Расчет грейда'!$I$19:$I$200)-18,""),ROW()-(ROW()-Q$2))),"")</f>
        <v/>
      </c>
      <c r="R49" s="152" t="str">
        <f t="array" ref="R49">IFERROR(INDEX('Расчет грейда'!$I$19:$I$200,SMALL(IF('ТРС общая'!$B49='Расчет грейда'!$W$19:$W$200,ROW('Расчет грейда'!$I$19:$I$200)-18,""),ROW()-(ROW()-R$2))),"")</f>
        <v/>
      </c>
      <c r="S49" s="152" t="str">
        <f t="array" ref="S49">IFERROR(INDEX('Расчет грейда'!$I$19:$I$200,SMALL(IF('ТРС общая'!$B49='Расчет грейда'!$W$19:$W$200,ROW('Расчет грейда'!$I$19:$I$200)-18,""),ROW()-(ROW()-S$2))),"")</f>
        <v/>
      </c>
      <c r="T49" s="152" t="str">
        <f t="array" ref="T49">IFERROR(INDEX('Расчет грейда'!$I$19:$I$200,SMALL(IF('ТРС общая'!$B49='Расчет грейда'!$W$19:$W$200,ROW('Расчет грейда'!$I$19:$I$200)-18,""),ROW()-(ROW()-T$2))),"")</f>
        <v/>
      </c>
      <c r="U49" s="152" t="str">
        <f t="array" ref="U49">IFERROR(INDEX('Расчет грейда'!$I$19:$I$200,SMALL(IF('ТРС общая'!$B49='Расчет грейда'!$W$19:$W$200,ROW('Расчет грейда'!$I$19:$I$200)-18,""),ROW()-(ROW()-U$2))),"")</f>
        <v/>
      </c>
      <c r="V49" s="152" t="str">
        <f t="array" ref="V49">IFERROR(INDEX('Расчет грейда'!$I$19:$I$200,SMALL(IF('ТРС общая'!$B49='Расчет грейда'!$W$19:$W$200,ROW('Расчет грейда'!$I$19:$I$200)-18,""),ROW()-(ROW()-V$2))),"")</f>
        <v/>
      </c>
      <c r="W49" s="152" t="str">
        <f t="array" ref="W49">IFERROR(INDEX('Расчет грейда'!$I$19:$I$200,SMALL(IF('ТРС общая'!$B49='Расчет грейда'!$W$19:$W$200,ROW('Расчет грейда'!$I$19:$I$200)-18,""),ROW()-(ROW()-W$2))),"")</f>
        <v/>
      </c>
      <c r="X49" s="152" t="str">
        <f t="array" ref="X49">IFERROR(INDEX('Расчет грейда'!$I$19:$I$200,SMALL(IF('ТРС общая'!$B49='Расчет грейда'!$W$19:$W$200,ROW('Расчет грейда'!$I$19:$I$200)-18,""),ROW()-(ROW()-X$2))),"")</f>
        <v/>
      </c>
      <c r="Y49" s="152" t="str">
        <f t="array" ref="Y49">IFERROR(INDEX('Расчет грейда'!$I$19:$I$200,SMALL(IF('ТРС общая'!$B49='Расчет грейда'!$W$19:$W$200,ROW('Расчет грейда'!$I$19:$I$200)-18,""),ROW()-(ROW()-Y$2))),"")</f>
        <v/>
      </c>
      <c r="Z49" s="152" t="str">
        <f t="array" ref="Z49">IFERROR(INDEX('Расчет грейда'!$I$19:$I$200,SMALL(IF('ТРС общая'!$B49='Расчет грейда'!$W$19:$W$200,ROW('Расчет грейда'!$I$19:$I$200)-18,""),ROW()-(ROW()-Z$2))),"")</f>
        <v/>
      </c>
      <c r="AA49" s="152" t="str">
        <f t="array" ref="AA49">IFERROR(INDEX('Расчет грейда'!$I$19:$I$200,SMALL(IF('ТРС общая'!$B49='Расчет грейда'!$W$19:$W$200,ROW('Расчет грейда'!$I$19:$I$200)-18,""),ROW()-(ROW()-AA$2))),"")</f>
        <v/>
      </c>
      <c r="AB49" s="152" t="str">
        <f t="array" ref="AB49">IFERROR(INDEX('Расчет грейда'!$I$19:$I$200,SMALL(IF('ТРС общая'!$B49='Расчет грейда'!$W$19:$W$200,ROW('Расчет грейда'!$I$19:$I$200)-18,""),ROW()-(ROW()-AB$2))),"")</f>
        <v/>
      </c>
      <c r="AC49" s="152" t="str">
        <f t="array" ref="AC49">IFERROR(INDEX('Расчет грейда'!$I$19:$I$200,SMALL(IF('ТРС общая'!$B49='Расчет грейда'!$W$19:$W$200,ROW('Расчет грейда'!$I$19:$I$200)-18,""),ROW()-(ROW()-AC$2))),"")</f>
        <v/>
      </c>
      <c r="AD49" s="152" t="str">
        <f t="array" ref="AD49">IFERROR(INDEX('Расчет грейда'!$I$19:$I$200,SMALL(IF('ТРС общая'!$B49='Расчет грейда'!$W$19:$W$200,ROW('Расчет грейда'!$I$19:$I$200)-18,""),ROW()-(ROW()-AD$2))),"")</f>
        <v/>
      </c>
      <c r="AE49" s="152" t="str">
        <f t="array" ref="AE49">IFERROR(INDEX('Расчет грейда'!$I$19:$I$200,SMALL(IF('ТРС общая'!$B49='Расчет грейда'!$W$19:$W$200,ROW('Расчет грейда'!$I$19:$I$200)-18,""),ROW()-(ROW()-AE$2))),"")</f>
        <v/>
      </c>
      <c r="AF49" s="152" t="str">
        <f t="array" ref="AF49">IFERROR(INDEX('Расчет грейда'!$I$19:$I$200,SMALL(IF('ТРС общая'!$B49='Расчет грейда'!$W$19:$W$200,ROW('Расчет грейда'!$I$19:$I$200)-18,""),ROW()-(ROW()-AF$2))),"")</f>
        <v/>
      </c>
      <c r="AG49" s="152" t="str">
        <f t="array" ref="AG49">IFERROR(INDEX('Расчет грейда'!$I$19:$I$200,SMALL(IF('ТРС общая'!$B49='Расчет грейда'!$W$19:$W$200,ROW('Расчет грейда'!$I$19:$I$200)-18,""),ROW()-(ROW()-AG$2))),"")</f>
        <v/>
      </c>
      <c r="AH49" s="152" t="str">
        <f t="array" ref="AH49">IFERROR(INDEX('Расчет грейда'!$I$19:$I$200,SMALL(IF('ТРС общая'!$B49='Расчет грейда'!$W$19:$W$200,ROW('Расчет грейда'!$I$19:$I$200)-18,""),ROW()-(ROW()-AH$2))),"")</f>
        <v/>
      </c>
      <c r="AI49" s="152" t="str">
        <f t="array" ref="AI49">IFERROR(INDEX('Расчет грейда'!$I$19:$I$200,SMALL(IF('ТРС общая'!$B49='Расчет грейда'!$W$19:$W$200,ROW('Расчет грейда'!$I$19:$I$200)-18,""),ROW()-(ROW()-AI$2))),"")</f>
        <v/>
      </c>
      <c r="AJ49" s="152" t="str">
        <f t="array" ref="AJ49">IFERROR(INDEX('Расчет грейда'!$I$19:$I$200,SMALL(IF('ТРС общая'!$B49='Расчет грейда'!$W$19:$W$200,ROW('Расчет грейда'!$I$19:$I$200)-18,""),ROW()-(ROW()-AJ$2))),"")</f>
        <v/>
      </c>
      <c r="AK49" s="152" t="str">
        <f t="array" ref="AK49">IFERROR(INDEX('Расчет грейда'!$I$19:$I$200,SMALL(IF('ТРС общая'!$B49='Расчет грейда'!$W$19:$W$200,ROW('Расчет грейда'!$I$19:$I$200)-18,""),ROW()-(ROW()-AK$2))),"")</f>
        <v/>
      </c>
      <c r="AL49" s="152" t="str">
        <f t="array" ref="AL49">IFERROR(INDEX('Расчет грейда'!$I$19:$I$200,SMALL(IF('ТРС общая'!$B49='Расчет грейда'!$W$19:$W$200,ROW('Расчет грейда'!$I$19:$I$200)-18,""),ROW()-(ROW()-AL$2))),"")</f>
        <v/>
      </c>
      <c r="AM49" s="152" t="str">
        <f t="array" ref="AM49">IFERROR(INDEX('Расчет грейда'!$I$19:$I$200,SMALL(IF('ТРС общая'!$B49='Расчет грейда'!$W$19:$W$200,ROW('Расчет грейда'!$I$19:$I$200)-18,""),ROW()-(ROW()-AM$2))),"")</f>
        <v/>
      </c>
      <c r="AN49" s="152" t="str">
        <f t="array" ref="AN49">IFERROR(INDEX('Расчет грейда'!$I$19:$I$200,SMALL(IF('ТРС общая'!$B49='Расчет грейда'!$W$19:$W$200,ROW('Расчет грейда'!$I$19:$I$200)-18,""),ROW()-(ROW()-AN$2))),"")</f>
        <v/>
      </c>
      <c r="AO49" s="152" t="str">
        <f t="array" ref="AO49">IFERROR(INDEX('Расчет грейда'!$I$19:$I$200,SMALL(IF('ТРС общая'!$B49='Расчет грейда'!$W$19:$W$200,ROW('Расчет грейда'!$I$19:$I$200)-18,""),ROW()-(ROW()-AO$2))),"")</f>
        <v/>
      </c>
    </row>
    <row r="50" spans="2:41" s="124" customFormat="1" ht="101.5" customHeight="1" x14ac:dyDescent="0.55000000000000004">
      <c r="B50" s="158">
        <v>11</v>
      </c>
      <c r="C50" s="159">
        <f>COUNTIF('Расчет грейда'!$W:$W,'ТРС общая'!$B50)</f>
        <v>0</v>
      </c>
      <c r="D50" s="152" t="str">
        <f t="array" ref="D50">IFERROR(INDEX('Расчет грейда'!$I$19:$I$200,SMALL(IF('ТРС общая'!$B50='Расчет грейда'!$W$19:$W$200,ROW('Расчет грейда'!$I$19:$I$200)-18,""),ROW()-(ROW()-D$2))),"")</f>
        <v/>
      </c>
      <c r="E50" s="152" t="str">
        <f t="array" ref="E50">IFERROR(INDEX('Расчет грейда'!$I$19:$I$200,SMALL(IF('ТРС общая'!$B50='Расчет грейда'!$W$19:$W$200,ROW('Расчет грейда'!$I$19:$I$200)-18,""),ROW()-(ROW()-E$2))),"")</f>
        <v/>
      </c>
      <c r="F50" s="152" t="str">
        <f t="array" ref="F50">IFERROR(INDEX('Расчет грейда'!$I$19:$I$200,SMALL(IF('ТРС общая'!$B50='Расчет грейда'!$W$19:$W$200,ROW('Расчет грейда'!$I$19:$I$200)-18,""),ROW()-(ROW()-F$2))),"")</f>
        <v/>
      </c>
      <c r="G50" s="152" t="str">
        <f t="array" ref="G50">IFERROR(INDEX('Расчет грейда'!$I$19:$I$200,SMALL(IF('ТРС общая'!$B50='Расчет грейда'!$W$19:$W$200,ROW('Расчет грейда'!$I$19:$I$200)-18,""),ROW()-(ROW()-G$2))),"")</f>
        <v/>
      </c>
      <c r="H50" s="152" t="str">
        <f t="array" ref="H50">IFERROR(INDEX('Расчет грейда'!$I$19:$I$200,SMALL(IF('ТРС общая'!$B50='Расчет грейда'!$W$19:$W$200,ROW('Расчет грейда'!$I$19:$I$200)-18,""),ROW()-(ROW()-H$2))),"")</f>
        <v/>
      </c>
      <c r="I50" s="152" t="str">
        <f t="array" ref="I50">IFERROR(INDEX('Расчет грейда'!$I$19:$I$200,SMALL(IF('ТРС общая'!$B50='Расчет грейда'!$W$19:$W$200,ROW('Расчет грейда'!$I$19:$I$200)-18,""),ROW()-(ROW()-I$2))),"")</f>
        <v/>
      </c>
      <c r="J50" s="152" t="str">
        <f t="array" ref="J50">IFERROR(INDEX('Расчет грейда'!$I$19:$I$200,SMALL(IF('ТРС общая'!$B50='Расчет грейда'!$W$19:$W$200,ROW('Расчет грейда'!$I$19:$I$200)-18,""),ROW()-(ROW()-J$2))),"")</f>
        <v/>
      </c>
      <c r="K50" s="152" t="str">
        <f t="array" ref="K50">IFERROR(INDEX('Расчет грейда'!$I$19:$I$200,SMALL(IF('ТРС общая'!$B50='Расчет грейда'!$W$19:$W$200,ROW('Расчет грейда'!$I$19:$I$200)-18,""),ROW()-(ROW()-K$2))),"")</f>
        <v/>
      </c>
      <c r="L50" s="152" t="str">
        <f t="array" ref="L50">IFERROR(INDEX('Расчет грейда'!$I$19:$I$200,SMALL(IF('ТРС общая'!$B50='Расчет грейда'!$W$19:$W$200,ROW('Расчет грейда'!$I$19:$I$200)-18,""),ROW()-(ROW()-L$2))),"")</f>
        <v/>
      </c>
      <c r="M50" s="152" t="str">
        <f t="array" ref="M50">IFERROR(INDEX('Расчет грейда'!$I$19:$I$200,SMALL(IF('ТРС общая'!$B50='Расчет грейда'!$W$19:$W$200,ROW('Расчет грейда'!$I$19:$I$200)-18,""),ROW()-(ROW()-M$2))),"")</f>
        <v/>
      </c>
      <c r="N50" s="152" t="str">
        <f t="array" ref="N50">IFERROR(INDEX('Расчет грейда'!$I$19:$I$200,SMALL(IF('ТРС общая'!$B50='Расчет грейда'!$W$19:$W$200,ROW('Расчет грейда'!$I$19:$I$200)-18,""),ROW()-(ROW()-N$2))),"")</f>
        <v/>
      </c>
      <c r="O50" s="152" t="str">
        <f t="array" ref="O50">IFERROR(INDEX('Расчет грейда'!$I$19:$I$200,SMALL(IF('ТРС общая'!$B50='Расчет грейда'!$W$19:$W$200,ROW('Расчет грейда'!$I$19:$I$200)-18,""),ROW()-(ROW()-O$2))),"")</f>
        <v/>
      </c>
      <c r="P50" s="152" t="str">
        <f t="array" ref="P50">IFERROR(INDEX('Расчет грейда'!$I$19:$I$200,SMALL(IF('ТРС общая'!$B50='Расчет грейда'!$W$19:$W$200,ROW('Расчет грейда'!$I$19:$I$200)-18,""),ROW()-(ROW()-P$2))),"")</f>
        <v/>
      </c>
      <c r="Q50" s="152" t="str">
        <f t="array" ref="Q50">IFERROR(INDEX('Расчет грейда'!$I$19:$I$200,SMALL(IF('ТРС общая'!$B50='Расчет грейда'!$W$19:$W$200,ROW('Расчет грейда'!$I$19:$I$200)-18,""),ROW()-(ROW()-Q$2))),"")</f>
        <v/>
      </c>
      <c r="R50" s="152" t="str">
        <f t="array" ref="R50">IFERROR(INDEX('Расчет грейда'!$I$19:$I$200,SMALL(IF('ТРС общая'!$B50='Расчет грейда'!$W$19:$W$200,ROW('Расчет грейда'!$I$19:$I$200)-18,""),ROW()-(ROW()-R$2))),"")</f>
        <v/>
      </c>
      <c r="S50" s="152" t="str">
        <f t="array" ref="S50">IFERROR(INDEX('Расчет грейда'!$I$19:$I$200,SMALL(IF('ТРС общая'!$B50='Расчет грейда'!$W$19:$W$200,ROW('Расчет грейда'!$I$19:$I$200)-18,""),ROW()-(ROW()-S$2))),"")</f>
        <v/>
      </c>
      <c r="T50" s="152" t="str">
        <f t="array" ref="T50">IFERROR(INDEX('Расчет грейда'!$I$19:$I$200,SMALL(IF('ТРС общая'!$B50='Расчет грейда'!$W$19:$W$200,ROW('Расчет грейда'!$I$19:$I$200)-18,""),ROW()-(ROW()-T$2))),"")</f>
        <v/>
      </c>
      <c r="U50" s="152" t="str">
        <f t="array" ref="U50">IFERROR(INDEX('Расчет грейда'!$I$19:$I$200,SMALL(IF('ТРС общая'!$B50='Расчет грейда'!$W$19:$W$200,ROW('Расчет грейда'!$I$19:$I$200)-18,""),ROW()-(ROW()-U$2))),"")</f>
        <v/>
      </c>
      <c r="V50" s="152" t="str">
        <f t="array" ref="V50">IFERROR(INDEX('Расчет грейда'!$I$19:$I$200,SMALL(IF('ТРС общая'!$B50='Расчет грейда'!$W$19:$W$200,ROW('Расчет грейда'!$I$19:$I$200)-18,""),ROW()-(ROW()-V$2))),"")</f>
        <v/>
      </c>
      <c r="W50" s="152" t="str">
        <f t="array" ref="W50">IFERROR(INDEX('Расчет грейда'!$I$19:$I$200,SMALL(IF('ТРС общая'!$B50='Расчет грейда'!$W$19:$W$200,ROW('Расчет грейда'!$I$19:$I$200)-18,""),ROW()-(ROW()-W$2))),"")</f>
        <v/>
      </c>
      <c r="X50" s="152" t="str">
        <f t="array" ref="X50">IFERROR(INDEX('Расчет грейда'!$I$19:$I$200,SMALL(IF('ТРС общая'!$B50='Расчет грейда'!$W$19:$W$200,ROW('Расчет грейда'!$I$19:$I$200)-18,""),ROW()-(ROW()-X$2))),"")</f>
        <v/>
      </c>
      <c r="Y50" s="152" t="str">
        <f t="array" ref="Y50">IFERROR(INDEX('Расчет грейда'!$I$19:$I$200,SMALL(IF('ТРС общая'!$B50='Расчет грейда'!$W$19:$W$200,ROW('Расчет грейда'!$I$19:$I$200)-18,""),ROW()-(ROW()-Y$2))),"")</f>
        <v/>
      </c>
      <c r="Z50" s="152" t="str">
        <f t="array" ref="Z50">IFERROR(INDEX('Расчет грейда'!$I$19:$I$200,SMALL(IF('ТРС общая'!$B50='Расчет грейда'!$W$19:$W$200,ROW('Расчет грейда'!$I$19:$I$200)-18,""),ROW()-(ROW()-Z$2))),"")</f>
        <v/>
      </c>
      <c r="AA50" s="152" t="str">
        <f t="array" ref="AA50">IFERROR(INDEX('Расчет грейда'!$I$19:$I$200,SMALL(IF('ТРС общая'!$B50='Расчет грейда'!$W$19:$W$200,ROW('Расчет грейда'!$I$19:$I$200)-18,""),ROW()-(ROW()-AA$2))),"")</f>
        <v/>
      </c>
      <c r="AB50" s="152" t="str">
        <f t="array" ref="AB50">IFERROR(INDEX('Расчет грейда'!$I$19:$I$200,SMALL(IF('ТРС общая'!$B50='Расчет грейда'!$W$19:$W$200,ROW('Расчет грейда'!$I$19:$I$200)-18,""),ROW()-(ROW()-AB$2))),"")</f>
        <v/>
      </c>
      <c r="AC50" s="152" t="str">
        <f t="array" ref="AC50">IFERROR(INDEX('Расчет грейда'!$I$19:$I$200,SMALL(IF('ТРС общая'!$B50='Расчет грейда'!$W$19:$W$200,ROW('Расчет грейда'!$I$19:$I$200)-18,""),ROW()-(ROW()-AC$2))),"")</f>
        <v/>
      </c>
      <c r="AD50" s="152" t="str">
        <f t="array" ref="AD50">IFERROR(INDEX('Расчет грейда'!$I$19:$I$200,SMALL(IF('ТРС общая'!$B50='Расчет грейда'!$W$19:$W$200,ROW('Расчет грейда'!$I$19:$I$200)-18,""),ROW()-(ROW()-AD$2))),"")</f>
        <v/>
      </c>
      <c r="AE50" s="152" t="str">
        <f t="array" ref="AE50">IFERROR(INDEX('Расчет грейда'!$I$19:$I$200,SMALL(IF('ТРС общая'!$B50='Расчет грейда'!$W$19:$W$200,ROW('Расчет грейда'!$I$19:$I$200)-18,""),ROW()-(ROW()-AE$2))),"")</f>
        <v/>
      </c>
      <c r="AF50" s="152" t="str">
        <f t="array" ref="AF50">IFERROR(INDEX('Расчет грейда'!$I$19:$I$200,SMALL(IF('ТРС общая'!$B50='Расчет грейда'!$W$19:$W$200,ROW('Расчет грейда'!$I$19:$I$200)-18,""),ROW()-(ROW()-AF$2))),"")</f>
        <v/>
      </c>
      <c r="AG50" s="152" t="str">
        <f t="array" ref="AG50">IFERROR(INDEX('Расчет грейда'!$I$19:$I$200,SMALL(IF('ТРС общая'!$B50='Расчет грейда'!$W$19:$W$200,ROW('Расчет грейда'!$I$19:$I$200)-18,""),ROW()-(ROW()-AG$2))),"")</f>
        <v/>
      </c>
      <c r="AH50" s="152" t="str">
        <f t="array" ref="AH50">IFERROR(INDEX('Расчет грейда'!$I$19:$I$200,SMALL(IF('ТРС общая'!$B50='Расчет грейда'!$W$19:$W$200,ROW('Расчет грейда'!$I$19:$I$200)-18,""),ROW()-(ROW()-AH$2))),"")</f>
        <v/>
      </c>
      <c r="AI50" s="152" t="str">
        <f t="array" ref="AI50">IFERROR(INDEX('Расчет грейда'!$I$19:$I$200,SMALL(IF('ТРС общая'!$B50='Расчет грейда'!$W$19:$W$200,ROW('Расчет грейда'!$I$19:$I$200)-18,""),ROW()-(ROW()-AI$2))),"")</f>
        <v/>
      </c>
      <c r="AJ50" s="152" t="str">
        <f t="array" ref="AJ50">IFERROR(INDEX('Расчет грейда'!$I$19:$I$200,SMALL(IF('ТРС общая'!$B50='Расчет грейда'!$W$19:$W$200,ROW('Расчет грейда'!$I$19:$I$200)-18,""),ROW()-(ROW()-AJ$2))),"")</f>
        <v/>
      </c>
      <c r="AK50" s="152" t="str">
        <f t="array" ref="AK50">IFERROR(INDEX('Расчет грейда'!$I$19:$I$200,SMALL(IF('ТРС общая'!$B50='Расчет грейда'!$W$19:$W$200,ROW('Расчет грейда'!$I$19:$I$200)-18,""),ROW()-(ROW()-AK$2))),"")</f>
        <v/>
      </c>
      <c r="AL50" s="152" t="str">
        <f t="array" ref="AL50">IFERROR(INDEX('Расчет грейда'!$I$19:$I$200,SMALL(IF('ТРС общая'!$B50='Расчет грейда'!$W$19:$W$200,ROW('Расчет грейда'!$I$19:$I$200)-18,""),ROW()-(ROW()-AL$2))),"")</f>
        <v/>
      </c>
      <c r="AM50" s="152" t="str">
        <f t="array" ref="AM50">IFERROR(INDEX('Расчет грейда'!$I$19:$I$200,SMALL(IF('ТРС общая'!$B50='Расчет грейда'!$W$19:$W$200,ROW('Расчет грейда'!$I$19:$I$200)-18,""),ROW()-(ROW()-AM$2))),"")</f>
        <v/>
      </c>
      <c r="AN50" s="152" t="str">
        <f t="array" ref="AN50">IFERROR(INDEX('Расчет грейда'!$I$19:$I$200,SMALL(IF('ТРС общая'!$B50='Расчет грейда'!$W$19:$W$200,ROW('Расчет грейда'!$I$19:$I$200)-18,""),ROW()-(ROW()-AN$2))),"")</f>
        <v/>
      </c>
      <c r="AO50" s="152" t="str">
        <f t="array" ref="AO50">IFERROR(INDEX('Расчет грейда'!$I$19:$I$200,SMALL(IF('ТРС общая'!$B50='Расчет грейда'!$W$19:$W$200,ROW('Расчет грейда'!$I$19:$I$200)-18,""),ROW()-(ROW()-AO$2))),"")</f>
        <v/>
      </c>
    </row>
    <row r="51" spans="2:41" s="124" customFormat="1" ht="101.5" customHeight="1" x14ac:dyDescent="0.55000000000000004">
      <c r="B51" s="158">
        <v>10</v>
      </c>
      <c r="C51" s="159">
        <f>COUNTIF('Расчет грейда'!$W:$W,'ТРС общая'!$B51)</f>
        <v>0</v>
      </c>
      <c r="D51" s="152" t="str">
        <f t="array" ref="D51">IFERROR(INDEX('Расчет грейда'!$I$19:$I$200,SMALL(IF('ТРС общая'!$B51='Расчет грейда'!$W$19:$W$200,ROW('Расчет грейда'!$I$19:$I$200)-18,""),ROW()-(ROW()-D$2))),"")</f>
        <v/>
      </c>
      <c r="E51" s="152" t="str">
        <f t="array" ref="E51">IFERROR(INDEX('Расчет грейда'!$I$19:$I$200,SMALL(IF('ТРС общая'!$B51='Расчет грейда'!$W$19:$W$200,ROW('Расчет грейда'!$I$19:$I$200)-18,""),ROW()-(ROW()-E$2))),"")</f>
        <v/>
      </c>
      <c r="F51" s="152" t="str">
        <f t="array" ref="F51">IFERROR(INDEX('Расчет грейда'!$I$19:$I$200,SMALL(IF('ТРС общая'!$B51='Расчет грейда'!$W$19:$W$200,ROW('Расчет грейда'!$I$19:$I$200)-18,""),ROW()-(ROW()-F$2))),"")</f>
        <v/>
      </c>
      <c r="G51" s="152" t="str">
        <f t="array" ref="G51">IFERROR(INDEX('Расчет грейда'!$I$19:$I$200,SMALL(IF('ТРС общая'!$B51='Расчет грейда'!$W$19:$W$200,ROW('Расчет грейда'!$I$19:$I$200)-18,""),ROW()-(ROW()-G$2))),"")</f>
        <v/>
      </c>
      <c r="H51" s="152" t="str">
        <f t="array" ref="H51">IFERROR(INDEX('Расчет грейда'!$I$19:$I$200,SMALL(IF('ТРС общая'!$B51='Расчет грейда'!$W$19:$W$200,ROW('Расчет грейда'!$I$19:$I$200)-18,""),ROW()-(ROW()-H$2))),"")</f>
        <v/>
      </c>
      <c r="I51" s="152" t="str">
        <f t="array" ref="I51">IFERROR(INDEX('Расчет грейда'!$I$19:$I$200,SMALL(IF('ТРС общая'!$B51='Расчет грейда'!$W$19:$W$200,ROW('Расчет грейда'!$I$19:$I$200)-18,""),ROW()-(ROW()-I$2))),"")</f>
        <v/>
      </c>
      <c r="J51" s="152" t="str">
        <f t="array" ref="J51">IFERROR(INDEX('Расчет грейда'!$I$19:$I$200,SMALL(IF('ТРС общая'!$B51='Расчет грейда'!$W$19:$W$200,ROW('Расчет грейда'!$I$19:$I$200)-18,""),ROW()-(ROW()-J$2))),"")</f>
        <v/>
      </c>
      <c r="K51" s="152" t="str">
        <f t="array" ref="K51">IFERROR(INDEX('Расчет грейда'!$I$19:$I$200,SMALL(IF('ТРС общая'!$B51='Расчет грейда'!$W$19:$W$200,ROW('Расчет грейда'!$I$19:$I$200)-18,""),ROW()-(ROW()-K$2))),"")</f>
        <v/>
      </c>
      <c r="L51" s="152" t="str">
        <f t="array" ref="L51">IFERROR(INDEX('Расчет грейда'!$I$19:$I$200,SMALL(IF('ТРС общая'!$B51='Расчет грейда'!$W$19:$W$200,ROW('Расчет грейда'!$I$19:$I$200)-18,""),ROW()-(ROW()-L$2))),"")</f>
        <v/>
      </c>
      <c r="M51" s="152" t="str">
        <f t="array" ref="M51">IFERROR(INDEX('Расчет грейда'!$I$19:$I$200,SMALL(IF('ТРС общая'!$B51='Расчет грейда'!$W$19:$W$200,ROW('Расчет грейда'!$I$19:$I$200)-18,""),ROW()-(ROW()-M$2))),"")</f>
        <v/>
      </c>
      <c r="N51" s="152" t="str">
        <f t="array" ref="N51">IFERROR(INDEX('Расчет грейда'!$I$19:$I$200,SMALL(IF('ТРС общая'!$B51='Расчет грейда'!$W$19:$W$200,ROW('Расчет грейда'!$I$19:$I$200)-18,""),ROW()-(ROW()-N$2))),"")</f>
        <v/>
      </c>
      <c r="O51" s="152" t="str">
        <f t="array" ref="O51">IFERROR(INDEX('Расчет грейда'!$I$19:$I$200,SMALL(IF('ТРС общая'!$B51='Расчет грейда'!$W$19:$W$200,ROW('Расчет грейда'!$I$19:$I$200)-18,""),ROW()-(ROW()-O$2))),"")</f>
        <v/>
      </c>
      <c r="P51" s="152" t="str">
        <f t="array" ref="P51">IFERROR(INDEX('Расчет грейда'!$I$19:$I$200,SMALL(IF('ТРС общая'!$B51='Расчет грейда'!$W$19:$W$200,ROW('Расчет грейда'!$I$19:$I$200)-18,""),ROW()-(ROW()-P$2))),"")</f>
        <v/>
      </c>
      <c r="Q51" s="152" t="str">
        <f t="array" ref="Q51">IFERROR(INDEX('Расчет грейда'!$I$19:$I$200,SMALL(IF('ТРС общая'!$B51='Расчет грейда'!$W$19:$W$200,ROW('Расчет грейда'!$I$19:$I$200)-18,""),ROW()-(ROW()-Q$2))),"")</f>
        <v/>
      </c>
      <c r="R51" s="152" t="str">
        <f t="array" ref="R51">IFERROR(INDEX('Расчет грейда'!$I$19:$I$200,SMALL(IF('ТРС общая'!$B51='Расчет грейда'!$W$19:$W$200,ROW('Расчет грейда'!$I$19:$I$200)-18,""),ROW()-(ROW()-R$2))),"")</f>
        <v/>
      </c>
      <c r="S51" s="152" t="str">
        <f t="array" ref="S51">IFERROR(INDEX('Расчет грейда'!$I$19:$I$200,SMALL(IF('ТРС общая'!$B51='Расчет грейда'!$W$19:$W$200,ROW('Расчет грейда'!$I$19:$I$200)-18,""),ROW()-(ROW()-S$2))),"")</f>
        <v/>
      </c>
      <c r="T51" s="152" t="str">
        <f t="array" ref="T51">IFERROR(INDEX('Расчет грейда'!$I$19:$I$200,SMALL(IF('ТРС общая'!$B51='Расчет грейда'!$W$19:$W$200,ROW('Расчет грейда'!$I$19:$I$200)-18,""),ROW()-(ROW()-T$2))),"")</f>
        <v/>
      </c>
      <c r="U51" s="152" t="str">
        <f t="array" ref="U51">IFERROR(INDEX('Расчет грейда'!$I$19:$I$200,SMALL(IF('ТРС общая'!$B51='Расчет грейда'!$W$19:$W$200,ROW('Расчет грейда'!$I$19:$I$200)-18,""),ROW()-(ROW()-U$2))),"")</f>
        <v/>
      </c>
      <c r="V51" s="152" t="str">
        <f t="array" ref="V51">IFERROR(INDEX('Расчет грейда'!$I$19:$I$200,SMALL(IF('ТРС общая'!$B51='Расчет грейда'!$W$19:$W$200,ROW('Расчет грейда'!$I$19:$I$200)-18,""),ROW()-(ROW()-V$2))),"")</f>
        <v/>
      </c>
      <c r="W51" s="152" t="str">
        <f t="array" ref="W51">IFERROR(INDEX('Расчет грейда'!$I$19:$I$200,SMALL(IF('ТРС общая'!$B51='Расчет грейда'!$W$19:$W$200,ROW('Расчет грейда'!$I$19:$I$200)-18,""),ROW()-(ROW()-W$2))),"")</f>
        <v/>
      </c>
      <c r="X51" s="152" t="str">
        <f t="array" ref="X51">IFERROR(INDEX('Расчет грейда'!$I$19:$I$200,SMALL(IF('ТРС общая'!$B51='Расчет грейда'!$W$19:$W$200,ROW('Расчет грейда'!$I$19:$I$200)-18,""),ROW()-(ROW()-X$2))),"")</f>
        <v/>
      </c>
      <c r="Y51" s="152" t="str">
        <f t="array" ref="Y51">IFERROR(INDEX('Расчет грейда'!$I$19:$I$200,SMALL(IF('ТРС общая'!$B51='Расчет грейда'!$W$19:$W$200,ROW('Расчет грейда'!$I$19:$I$200)-18,""),ROW()-(ROW()-Y$2))),"")</f>
        <v/>
      </c>
      <c r="Z51" s="152" t="str">
        <f t="array" ref="Z51">IFERROR(INDEX('Расчет грейда'!$I$19:$I$200,SMALL(IF('ТРС общая'!$B51='Расчет грейда'!$W$19:$W$200,ROW('Расчет грейда'!$I$19:$I$200)-18,""),ROW()-(ROW()-Z$2))),"")</f>
        <v/>
      </c>
      <c r="AA51" s="152" t="str">
        <f t="array" ref="AA51">IFERROR(INDEX('Расчет грейда'!$I$19:$I$200,SMALL(IF('ТРС общая'!$B51='Расчет грейда'!$W$19:$W$200,ROW('Расчет грейда'!$I$19:$I$200)-18,""),ROW()-(ROW()-AA$2))),"")</f>
        <v/>
      </c>
      <c r="AB51" s="152" t="str">
        <f t="array" ref="AB51">IFERROR(INDEX('Расчет грейда'!$I$19:$I$200,SMALL(IF('ТРС общая'!$B51='Расчет грейда'!$W$19:$W$200,ROW('Расчет грейда'!$I$19:$I$200)-18,""),ROW()-(ROW()-AB$2))),"")</f>
        <v/>
      </c>
      <c r="AC51" s="152" t="str">
        <f t="array" ref="AC51">IFERROR(INDEX('Расчет грейда'!$I$19:$I$200,SMALL(IF('ТРС общая'!$B51='Расчет грейда'!$W$19:$W$200,ROW('Расчет грейда'!$I$19:$I$200)-18,""),ROW()-(ROW()-AC$2))),"")</f>
        <v/>
      </c>
      <c r="AD51" s="152" t="str">
        <f t="array" ref="AD51">IFERROR(INDEX('Расчет грейда'!$I$19:$I$200,SMALL(IF('ТРС общая'!$B51='Расчет грейда'!$W$19:$W$200,ROW('Расчет грейда'!$I$19:$I$200)-18,""),ROW()-(ROW()-AD$2))),"")</f>
        <v/>
      </c>
      <c r="AE51" s="152" t="str">
        <f t="array" ref="AE51">IFERROR(INDEX('Расчет грейда'!$I$19:$I$200,SMALL(IF('ТРС общая'!$B51='Расчет грейда'!$W$19:$W$200,ROW('Расчет грейда'!$I$19:$I$200)-18,""),ROW()-(ROW()-AE$2))),"")</f>
        <v/>
      </c>
      <c r="AF51" s="152" t="str">
        <f t="array" ref="AF51">IFERROR(INDEX('Расчет грейда'!$I$19:$I$200,SMALL(IF('ТРС общая'!$B51='Расчет грейда'!$W$19:$W$200,ROW('Расчет грейда'!$I$19:$I$200)-18,""),ROW()-(ROW()-AF$2))),"")</f>
        <v/>
      </c>
      <c r="AG51" s="152" t="str">
        <f t="array" ref="AG51">IFERROR(INDEX('Расчет грейда'!$I$19:$I$200,SMALL(IF('ТРС общая'!$B51='Расчет грейда'!$W$19:$W$200,ROW('Расчет грейда'!$I$19:$I$200)-18,""),ROW()-(ROW()-AG$2))),"")</f>
        <v/>
      </c>
      <c r="AH51" s="152" t="str">
        <f t="array" ref="AH51">IFERROR(INDEX('Расчет грейда'!$I$19:$I$200,SMALL(IF('ТРС общая'!$B51='Расчет грейда'!$W$19:$W$200,ROW('Расчет грейда'!$I$19:$I$200)-18,""),ROW()-(ROW()-AH$2))),"")</f>
        <v/>
      </c>
      <c r="AI51" s="152" t="str">
        <f t="array" ref="AI51">IFERROR(INDEX('Расчет грейда'!$I$19:$I$200,SMALL(IF('ТРС общая'!$B51='Расчет грейда'!$W$19:$W$200,ROW('Расчет грейда'!$I$19:$I$200)-18,""),ROW()-(ROW()-AI$2))),"")</f>
        <v/>
      </c>
      <c r="AJ51" s="152" t="str">
        <f t="array" ref="AJ51">IFERROR(INDEX('Расчет грейда'!$I$19:$I$200,SMALL(IF('ТРС общая'!$B51='Расчет грейда'!$W$19:$W$200,ROW('Расчет грейда'!$I$19:$I$200)-18,""),ROW()-(ROW()-AJ$2))),"")</f>
        <v/>
      </c>
      <c r="AK51" s="152" t="str">
        <f t="array" ref="AK51">IFERROR(INDEX('Расчет грейда'!$I$19:$I$200,SMALL(IF('ТРС общая'!$B51='Расчет грейда'!$W$19:$W$200,ROW('Расчет грейда'!$I$19:$I$200)-18,""),ROW()-(ROW()-AK$2))),"")</f>
        <v/>
      </c>
      <c r="AL51" s="152" t="str">
        <f t="array" ref="AL51">IFERROR(INDEX('Расчет грейда'!$I$19:$I$200,SMALL(IF('ТРС общая'!$B51='Расчет грейда'!$W$19:$W$200,ROW('Расчет грейда'!$I$19:$I$200)-18,""),ROW()-(ROW()-AL$2))),"")</f>
        <v/>
      </c>
      <c r="AM51" s="152" t="str">
        <f t="array" ref="AM51">IFERROR(INDEX('Расчет грейда'!$I$19:$I$200,SMALL(IF('ТРС общая'!$B51='Расчет грейда'!$W$19:$W$200,ROW('Расчет грейда'!$I$19:$I$200)-18,""),ROW()-(ROW()-AM$2))),"")</f>
        <v/>
      </c>
      <c r="AN51" s="152" t="str">
        <f t="array" ref="AN51">IFERROR(INDEX('Расчет грейда'!$I$19:$I$200,SMALL(IF('ТРС общая'!$B51='Расчет грейда'!$W$19:$W$200,ROW('Расчет грейда'!$I$19:$I$200)-18,""),ROW()-(ROW()-AN$2))),"")</f>
        <v/>
      </c>
      <c r="AO51" s="152" t="str">
        <f t="array" ref="AO51">IFERROR(INDEX('Расчет грейда'!$I$19:$I$200,SMALL(IF('ТРС общая'!$B51='Расчет грейда'!$W$19:$W$200,ROW('Расчет грейда'!$I$19:$I$200)-18,""),ROW()-(ROW()-AO$2))),"")</f>
        <v/>
      </c>
    </row>
    <row r="52" spans="2:41" s="124" customFormat="1" ht="101.5" customHeight="1" x14ac:dyDescent="0.55000000000000004">
      <c r="B52" s="158">
        <v>9</v>
      </c>
      <c r="C52" s="159">
        <f>COUNTIF('Расчет грейда'!$W:$W,'ТРС общая'!$B52)</f>
        <v>0</v>
      </c>
      <c r="D52" s="152" t="str">
        <f t="array" ref="D52">IFERROR(INDEX('Расчет грейда'!$I$19:$I$200,SMALL(IF('ТРС общая'!$B52='Расчет грейда'!$W$19:$W$200,ROW('Расчет грейда'!$I$19:$I$200)-18,""),ROW()-(ROW()-D$2))),"")</f>
        <v/>
      </c>
      <c r="E52" s="152" t="str">
        <f t="array" ref="E52">IFERROR(INDEX('Расчет грейда'!$I$19:$I$200,SMALL(IF('ТРС общая'!$B52='Расчет грейда'!$W$19:$W$200,ROW('Расчет грейда'!$I$19:$I$200)-18,""),ROW()-(ROW()-E$2))),"")</f>
        <v/>
      </c>
      <c r="F52" s="152" t="str">
        <f t="array" ref="F52">IFERROR(INDEX('Расчет грейда'!$I$19:$I$200,SMALL(IF('ТРС общая'!$B52='Расчет грейда'!$W$19:$W$200,ROW('Расчет грейда'!$I$19:$I$200)-18,""),ROW()-(ROW()-F$2))),"")</f>
        <v/>
      </c>
      <c r="G52" s="152" t="str">
        <f t="array" ref="G52">IFERROR(INDEX('Расчет грейда'!$I$19:$I$200,SMALL(IF('ТРС общая'!$B52='Расчет грейда'!$W$19:$W$200,ROW('Расчет грейда'!$I$19:$I$200)-18,""),ROW()-(ROW()-G$2))),"")</f>
        <v/>
      </c>
      <c r="H52" s="152" t="str">
        <f t="array" ref="H52">IFERROR(INDEX('Расчет грейда'!$I$19:$I$200,SMALL(IF('ТРС общая'!$B52='Расчет грейда'!$W$19:$W$200,ROW('Расчет грейда'!$I$19:$I$200)-18,""),ROW()-(ROW()-H$2))),"")</f>
        <v/>
      </c>
      <c r="I52" s="152" t="str">
        <f t="array" ref="I52">IFERROR(INDEX('Расчет грейда'!$I$19:$I$200,SMALL(IF('ТРС общая'!$B52='Расчет грейда'!$W$19:$W$200,ROW('Расчет грейда'!$I$19:$I$200)-18,""),ROW()-(ROW()-I$2))),"")</f>
        <v/>
      </c>
      <c r="J52" s="152" t="str">
        <f t="array" ref="J52">IFERROR(INDEX('Расчет грейда'!$I$19:$I$200,SMALL(IF('ТРС общая'!$B52='Расчет грейда'!$W$19:$W$200,ROW('Расчет грейда'!$I$19:$I$200)-18,""),ROW()-(ROW()-J$2))),"")</f>
        <v/>
      </c>
      <c r="K52" s="152" t="str">
        <f t="array" ref="K52">IFERROR(INDEX('Расчет грейда'!$I$19:$I$200,SMALL(IF('ТРС общая'!$B52='Расчет грейда'!$W$19:$W$200,ROW('Расчет грейда'!$I$19:$I$200)-18,""),ROW()-(ROW()-K$2))),"")</f>
        <v/>
      </c>
      <c r="L52" s="152" t="str">
        <f t="array" ref="L52">IFERROR(INDEX('Расчет грейда'!$I$19:$I$200,SMALL(IF('ТРС общая'!$B52='Расчет грейда'!$W$19:$W$200,ROW('Расчет грейда'!$I$19:$I$200)-18,""),ROW()-(ROW()-L$2))),"")</f>
        <v/>
      </c>
      <c r="M52" s="152" t="str">
        <f t="array" ref="M52">IFERROR(INDEX('Расчет грейда'!$I$19:$I$200,SMALL(IF('ТРС общая'!$B52='Расчет грейда'!$W$19:$W$200,ROW('Расчет грейда'!$I$19:$I$200)-18,""),ROW()-(ROW()-M$2))),"")</f>
        <v/>
      </c>
      <c r="N52" s="152" t="str">
        <f t="array" ref="N52">IFERROR(INDEX('Расчет грейда'!$I$19:$I$200,SMALL(IF('ТРС общая'!$B52='Расчет грейда'!$W$19:$W$200,ROW('Расчет грейда'!$I$19:$I$200)-18,""),ROW()-(ROW()-N$2))),"")</f>
        <v/>
      </c>
      <c r="O52" s="152" t="str">
        <f t="array" ref="O52">IFERROR(INDEX('Расчет грейда'!$I$19:$I$200,SMALL(IF('ТРС общая'!$B52='Расчет грейда'!$W$19:$W$200,ROW('Расчет грейда'!$I$19:$I$200)-18,""),ROW()-(ROW()-O$2))),"")</f>
        <v/>
      </c>
      <c r="P52" s="152" t="str">
        <f t="array" ref="P52">IFERROR(INDEX('Расчет грейда'!$I$19:$I$200,SMALL(IF('ТРС общая'!$B52='Расчет грейда'!$W$19:$W$200,ROW('Расчет грейда'!$I$19:$I$200)-18,""),ROW()-(ROW()-P$2))),"")</f>
        <v/>
      </c>
      <c r="Q52" s="152" t="str">
        <f t="array" ref="Q52">IFERROR(INDEX('Расчет грейда'!$I$19:$I$200,SMALL(IF('ТРС общая'!$B52='Расчет грейда'!$W$19:$W$200,ROW('Расчет грейда'!$I$19:$I$200)-18,""),ROW()-(ROW()-Q$2))),"")</f>
        <v/>
      </c>
      <c r="R52" s="152" t="str">
        <f t="array" ref="R52">IFERROR(INDEX('Расчет грейда'!$I$19:$I$200,SMALL(IF('ТРС общая'!$B52='Расчет грейда'!$W$19:$W$200,ROW('Расчет грейда'!$I$19:$I$200)-18,""),ROW()-(ROW()-R$2))),"")</f>
        <v/>
      </c>
      <c r="S52" s="152" t="str">
        <f t="array" ref="S52">IFERROR(INDEX('Расчет грейда'!$I$19:$I$200,SMALL(IF('ТРС общая'!$B52='Расчет грейда'!$W$19:$W$200,ROW('Расчет грейда'!$I$19:$I$200)-18,""),ROW()-(ROW()-S$2))),"")</f>
        <v/>
      </c>
      <c r="T52" s="152" t="str">
        <f t="array" ref="T52">IFERROR(INDEX('Расчет грейда'!$I$19:$I$200,SMALL(IF('ТРС общая'!$B52='Расчет грейда'!$W$19:$W$200,ROW('Расчет грейда'!$I$19:$I$200)-18,""),ROW()-(ROW()-T$2))),"")</f>
        <v/>
      </c>
      <c r="U52" s="152" t="str">
        <f t="array" ref="U52">IFERROR(INDEX('Расчет грейда'!$I$19:$I$200,SMALL(IF('ТРС общая'!$B52='Расчет грейда'!$W$19:$W$200,ROW('Расчет грейда'!$I$19:$I$200)-18,""),ROW()-(ROW()-U$2))),"")</f>
        <v/>
      </c>
      <c r="V52" s="152" t="str">
        <f t="array" ref="V52">IFERROR(INDEX('Расчет грейда'!$I$19:$I$200,SMALL(IF('ТРС общая'!$B52='Расчет грейда'!$W$19:$W$200,ROW('Расчет грейда'!$I$19:$I$200)-18,""),ROW()-(ROW()-V$2))),"")</f>
        <v/>
      </c>
      <c r="W52" s="152" t="str">
        <f t="array" ref="W52">IFERROR(INDEX('Расчет грейда'!$I$19:$I$200,SMALL(IF('ТРС общая'!$B52='Расчет грейда'!$W$19:$W$200,ROW('Расчет грейда'!$I$19:$I$200)-18,""),ROW()-(ROW()-W$2))),"")</f>
        <v/>
      </c>
      <c r="X52" s="152" t="str">
        <f t="array" ref="X52">IFERROR(INDEX('Расчет грейда'!$I$19:$I$200,SMALL(IF('ТРС общая'!$B52='Расчет грейда'!$W$19:$W$200,ROW('Расчет грейда'!$I$19:$I$200)-18,""),ROW()-(ROW()-X$2))),"")</f>
        <v/>
      </c>
      <c r="Y52" s="152" t="str">
        <f t="array" ref="Y52">IFERROR(INDEX('Расчет грейда'!$I$19:$I$200,SMALL(IF('ТРС общая'!$B52='Расчет грейда'!$W$19:$W$200,ROW('Расчет грейда'!$I$19:$I$200)-18,""),ROW()-(ROW()-Y$2))),"")</f>
        <v/>
      </c>
      <c r="Z52" s="152" t="str">
        <f t="array" ref="Z52">IFERROR(INDEX('Расчет грейда'!$I$19:$I$200,SMALL(IF('ТРС общая'!$B52='Расчет грейда'!$W$19:$W$200,ROW('Расчет грейда'!$I$19:$I$200)-18,""),ROW()-(ROW()-Z$2))),"")</f>
        <v/>
      </c>
      <c r="AA52" s="152" t="str">
        <f t="array" ref="AA52">IFERROR(INDEX('Расчет грейда'!$I$19:$I$200,SMALL(IF('ТРС общая'!$B52='Расчет грейда'!$W$19:$W$200,ROW('Расчет грейда'!$I$19:$I$200)-18,""),ROW()-(ROW()-AA$2))),"")</f>
        <v/>
      </c>
      <c r="AB52" s="152" t="str">
        <f t="array" ref="AB52">IFERROR(INDEX('Расчет грейда'!$I$19:$I$200,SMALL(IF('ТРС общая'!$B52='Расчет грейда'!$W$19:$W$200,ROW('Расчет грейда'!$I$19:$I$200)-18,""),ROW()-(ROW()-AB$2))),"")</f>
        <v/>
      </c>
      <c r="AC52" s="152" t="str">
        <f t="array" ref="AC52">IFERROR(INDEX('Расчет грейда'!$I$19:$I$200,SMALL(IF('ТРС общая'!$B52='Расчет грейда'!$W$19:$W$200,ROW('Расчет грейда'!$I$19:$I$200)-18,""),ROW()-(ROW()-AC$2))),"")</f>
        <v/>
      </c>
      <c r="AD52" s="152" t="str">
        <f t="array" ref="AD52">IFERROR(INDEX('Расчет грейда'!$I$19:$I$200,SMALL(IF('ТРС общая'!$B52='Расчет грейда'!$W$19:$W$200,ROW('Расчет грейда'!$I$19:$I$200)-18,""),ROW()-(ROW()-AD$2))),"")</f>
        <v/>
      </c>
      <c r="AE52" s="152" t="str">
        <f t="array" ref="AE52">IFERROR(INDEX('Расчет грейда'!$I$19:$I$200,SMALL(IF('ТРС общая'!$B52='Расчет грейда'!$W$19:$W$200,ROW('Расчет грейда'!$I$19:$I$200)-18,""),ROW()-(ROW()-AE$2))),"")</f>
        <v/>
      </c>
      <c r="AF52" s="152" t="str">
        <f t="array" ref="AF52">IFERROR(INDEX('Расчет грейда'!$I$19:$I$200,SMALL(IF('ТРС общая'!$B52='Расчет грейда'!$W$19:$W$200,ROW('Расчет грейда'!$I$19:$I$200)-18,""),ROW()-(ROW()-AF$2))),"")</f>
        <v/>
      </c>
      <c r="AG52" s="152" t="str">
        <f t="array" ref="AG52">IFERROR(INDEX('Расчет грейда'!$I$19:$I$200,SMALL(IF('ТРС общая'!$B52='Расчет грейда'!$W$19:$W$200,ROW('Расчет грейда'!$I$19:$I$200)-18,""),ROW()-(ROW()-AG$2))),"")</f>
        <v/>
      </c>
      <c r="AH52" s="152" t="str">
        <f t="array" ref="AH52">IFERROR(INDEX('Расчет грейда'!$I$19:$I$200,SMALL(IF('ТРС общая'!$B52='Расчет грейда'!$W$19:$W$200,ROW('Расчет грейда'!$I$19:$I$200)-18,""),ROW()-(ROW()-AH$2))),"")</f>
        <v/>
      </c>
      <c r="AI52" s="152" t="str">
        <f t="array" ref="AI52">IFERROR(INDEX('Расчет грейда'!$I$19:$I$200,SMALL(IF('ТРС общая'!$B52='Расчет грейда'!$W$19:$W$200,ROW('Расчет грейда'!$I$19:$I$200)-18,""),ROW()-(ROW()-AI$2))),"")</f>
        <v/>
      </c>
      <c r="AJ52" s="152" t="str">
        <f t="array" ref="AJ52">IFERROR(INDEX('Расчет грейда'!$I$19:$I$200,SMALL(IF('ТРС общая'!$B52='Расчет грейда'!$W$19:$W$200,ROW('Расчет грейда'!$I$19:$I$200)-18,""),ROW()-(ROW()-AJ$2))),"")</f>
        <v/>
      </c>
      <c r="AK52" s="152" t="str">
        <f t="array" ref="AK52">IFERROR(INDEX('Расчет грейда'!$I$19:$I$200,SMALL(IF('ТРС общая'!$B52='Расчет грейда'!$W$19:$W$200,ROW('Расчет грейда'!$I$19:$I$200)-18,""),ROW()-(ROW()-AK$2))),"")</f>
        <v/>
      </c>
      <c r="AL52" s="152" t="str">
        <f t="array" ref="AL52">IFERROR(INDEX('Расчет грейда'!$I$19:$I$200,SMALL(IF('ТРС общая'!$B52='Расчет грейда'!$W$19:$W$200,ROW('Расчет грейда'!$I$19:$I$200)-18,""),ROW()-(ROW()-AL$2))),"")</f>
        <v/>
      </c>
      <c r="AM52" s="152" t="str">
        <f t="array" ref="AM52">IFERROR(INDEX('Расчет грейда'!$I$19:$I$200,SMALL(IF('ТРС общая'!$B52='Расчет грейда'!$W$19:$W$200,ROW('Расчет грейда'!$I$19:$I$200)-18,""),ROW()-(ROW()-AM$2))),"")</f>
        <v/>
      </c>
      <c r="AN52" s="152" t="str">
        <f t="array" ref="AN52">IFERROR(INDEX('Расчет грейда'!$I$19:$I$200,SMALL(IF('ТРС общая'!$B52='Расчет грейда'!$W$19:$W$200,ROW('Расчет грейда'!$I$19:$I$200)-18,""),ROW()-(ROW()-AN$2))),"")</f>
        <v/>
      </c>
      <c r="AO52" s="152" t="str">
        <f t="array" ref="AO52">IFERROR(INDEX('Расчет грейда'!$I$19:$I$200,SMALL(IF('ТРС общая'!$B52='Расчет грейда'!$W$19:$W$200,ROW('Расчет грейда'!$I$19:$I$200)-18,""),ROW()-(ROW()-AO$2))),"")</f>
        <v/>
      </c>
    </row>
    <row r="53" spans="2:41" s="124" customFormat="1" ht="101.5" customHeight="1" x14ac:dyDescent="0.55000000000000004">
      <c r="B53" s="158">
        <v>8</v>
      </c>
      <c r="C53" s="159">
        <f>COUNTIF('Расчет грейда'!$W:$W,'ТРС общая'!$B53)</f>
        <v>0</v>
      </c>
      <c r="D53" s="152" t="str">
        <f t="array" ref="D53">IFERROR(INDEX('Расчет грейда'!$I$19:$I$200,SMALL(IF('ТРС общая'!$B53='Расчет грейда'!$W$19:$W$200,ROW('Расчет грейда'!$I$19:$I$200)-18,""),ROW()-(ROW()-D$2))),"")</f>
        <v/>
      </c>
      <c r="E53" s="152" t="str">
        <f t="array" ref="E53">IFERROR(INDEX('Расчет грейда'!$I$19:$I$200,SMALL(IF('ТРС общая'!$B53='Расчет грейда'!$W$19:$W$200,ROW('Расчет грейда'!$I$19:$I$200)-18,""),ROW()-(ROW()-E$2))),"")</f>
        <v/>
      </c>
      <c r="F53" s="152" t="str">
        <f t="array" ref="F53">IFERROR(INDEX('Расчет грейда'!$I$19:$I$200,SMALL(IF('ТРС общая'!$B53='Расчет грейда'!$W$19:$W$200,ROW('Расчет грейда'!$I$19:$I$200)-18,""),ROW()-(ROW()-F$2))),"")</f>
        <v/>
      </c>
      <c r="G53" s="152" t="str">
        <f t="array" ref="G53">IFERROR(INDEX('Расчет грейда'!$I$19:$I$200,SMALL(IF('ТРС общая'!$B53='Расчет грейда'!$W$19:$W$200,ROW('Расчет грейда'!$I$19:$I$200)-18,""),ROW()-(ROW()-G$2))),"")</f>
        <v/>
      </c>
      <c r="H53" s="152" t="str">
        <f t="array" ref="H53">IFERROR(INDEX('Расчет грейда'!$I$19:$I$200,SMALL(IF('ТРС общая'!$B53='Расчет грейда'!$W$19:$W$200,ROW('Расчет грейда'!$I$19:$I$200)-18,""),ROW()-(ROW()-H$2))),"")</f>
        <v/>
      </c>
      <c r="I53" s="152" t="str">
        <f t="array" ref="I53">IFERROR(INDEX('Расчет грейда'!$I$19:$I$200,SMALL(IF('ТРС общая'!$B53='Расчет грейда'!$W$19:$W$200,ROW('Расчет грейда'!$I$19:$I$200)-18,""),ROW()-(ROW()-I$2))),"")</f>
        <v/>
      </c>
      <c r="J53" s="152" t="str">
        <f t="array" ref="J53">IFERROR(INDEX('Расчет грейда'!$I$19:$I$200,SMALL(IF('ТРС общая'!$B53='Расчет грейда'!$W$19:$W$200,ROW('Расчет грейда'!$I$19:$I$200)-18,""),ROW()-(ROW()-J$2))),"")</f>
        <v/>
      </c>
      <c r="K53" s="152" t="str">
        <f t="array" ref="K53">IFERROR(INDEX('Расчет грейда'!$I$19:$I$200,SMALL(IF('ТРС общая'!$B53='Расчет грейда'!$W$19:$W$200,ROW('Расчет грейда'!$I$19:$I$200)-18,""),ROW()-(ROW()-K$2))),"")</f>
        <v/>
      </c>
      <c r="L53" s="152" t="str">
        <f t="array" ref="L53">IFERROR(INDEX('Расчет грейда'!$I$19:$I$200,SMALL(IF('ТРС общая'!$B53='Расчет грейда'!$W$19:$W$200,ROW('Расчет грейда'!$I$19:$I$200)-18,""),ROW()-(ROW()-L$2))),"")</f>
        <v/>
      </c>
      <c r="M53" s="152" t="str">
        <f t="array" ref="M53">IFERROR(INDEX('Расчет грейда'!$I$19:$I$200,SMALL(IF('ТРС общая'!$B53='Расчет грейда'!$W$19:$W$200,ROW('Расчет грейда'!$I$19:$I$200)-18,""),ROW()-(ROW()-M$2))),"")</f>
        <v/>
      </c>
      <c r="N53" s="152" t="str">
        <f t="array" ref="N53">IFERROR(INDEX('Расчет грейда'!$I$19:$I$200,SMALL(IF('ТРС общая'!$B53='Расчет грейда'!$W$19:$W$200,ROW('Расчет грейда'!$I$19:$I$200)-18,""),ROW()-(ROW()-N$2))),"")</f>
        <v/>
      </c>
      <c r="O53" s="152" t="str">
        <f t="array" ref="O53">IFERROR(INDEX('Расчет грейда'!$I$19:$I$200,SMALL(IF('ТРС общая'!$B53='Расчет грейда'!$W$19:$W$200,ROW('Расчет грейда'!$I$19:$I$200)-18,""),ROW()-(ROW()-O$2))),"")</f>
        <v/>
      </c>
      <c r="P53" s="152" t="str">
        <f t="array" ref="P53">IFERROR(INDEX('Расчет грейда'!$I$19:$I$200,SMALL(IF('ТРС общая'!$B53='Расчет грейда'!$W$19:$W$200,ROW('Расчет грейда'!$I$19:$I$200)-18,""),ROW()-(ROW()-P$2))),"")</f>
        <v/>
      </c>
      <c r="Q53" s="152" t="str">
        <f t="array" ref="Q53">IFERROR(INDEX('Расчет грейда'!$I$19:$I$200,SMALL(IF('ТРС общая'!$B53='Расчет грейда'!$W$19:$W$200,ROW('Расчет грейда'!$I$19:$I$200)-18,""),ROW()-(ROW()-Q$2))),"")</f>
        <v/>
      </c>
      <c r="R53" s="152" t="str">
        <f t="array" ref="R53">IFERROR(INDEX('Расчет грейда'!$I$19:$I$200,SMALL(IF('ТРС общая'!$B53='Расчет грейда'!$W$19:$W$200,ROW('Расчет грейда'!$I$19:$I$200)-18,""),ROW()-(ROW()-R$2))),"")</f>
        <v/>
      </c>
      <c r="S53" s="152" t="str">
        <f t="array" ref="S53">IFERROR(INDEX('Расчет грейда'!$I$19:$I$200,SMALL(IF('ТРС общая'!$B53='Расчет грейда'!$W$19:$W$200,ROW('Расчет грейда'!$I$19:$I$200)-18,""),ROW()-(ROW()-S$2))),"")</f>
        <v/>
      </c>
      <c r="T53" s="152" t="str">
        <f t="array" ref="T53">IFERROR(INDEX('Расчет грейда'!$I$19:$I$200,SMALL(IF('ТРС общая'!$B53='Расчет грейда'!$W$19:$W$200,ROW('Расчет грейда'!$I$19:$I$200)-18,""),ROW()-(ROW()-T$2))),"")</f>
        <v/>
      </c>
      <c r="U53" s="152" t="str">
        <f t="array" ref="U53">IFERROR(INDEX('Расчет грейда'!$I$19:$I$200,SMALL(IF('ТРС общая'!$B53='Расчет грейда'!$W$19:$W$200,ROW('Расчет грейда'!$I$19:$I$200)-18,""),ROW()-(ROW()-U$2))),"")</f>
        <v/>
      </c>
      <c r="V53" s="152" t="str">
        <f t="array" ref="V53">IFERROR(INDEX('Расчет грейда'!$I$19:$I$200,SMALL(IF('ТРС общая'!$B53='Расчет грейда'!$W$19:$W$200,ROW('Расчет грейда'!$I$19:$I$200)-18,""),ROW()-(ROW()-V$2))),"")</f>
        <v/>
      </c>
      <c r="W53" s="152" t="str">
        <f t="array" ref="W53">IFERROR(INDEX('Расчет грейда'!$I$19:$I$200,SMALL(IF('ТРС общая'!$B53='Расчет грейда'!$W$19:$W$200,ROW('Расчет грейда'!$I$19:$I$200)-18,""),ROW()-(ROW()-W$2))),"")</f>
        <v/>
      </c>
      <c r="X53" s="152" t="str">
        <f t="array" ref="X53">IFERROR(INDEX('Расчет грейда'!$I$19:$I$200,SMALL(IF('ТРС общая'!$B53='Расчет грейда'!$W$19:$W$200,ROW('Расчет грейда'!$I$19:$I$200)-18,""),ROW()-(ROW()-X$2))),"")</f>
        <v/>
      </c>
      <c r="Y53" s="152" t="str">
        <f t="array" ref="Y53">IFERROR(INDEX('Расчет грейда'!$I$19:$I$200,SMALL(IF('ТРС общая'!$B53='Расчет грейда'!$W$19:$W$200,ROW('Расчет грейда'!$I$19:$I$200)-18,""),ROW()-(ROW()-Y$2))),"")</f>
        <v/>
      </c>
      <c r="Z53" s="152" t="str">
        <f t="array" ref="Z53">IFERROR(INDEX('Расчет грейда'!$I$19:$I$200,SMALL(IF('ТРС общая'!$B53='Расчет грейда'!$W$19:$W$200,ROW('Расчет грейда'!$I$19:$I$200)-18,""),ROW()-(ROW()-Z$2))),"")</f>
        <v/>
      </c>
      <c r="AA53" s="152" t="str">
        <f t="array" ref="AA53">IFERROR(INDEX('Расчет грейда'!$I$19:$I$200,SMALL(IF('ТРС общая'!$B53='Расчет грейда'!$W$19:$W$200,ROW('Расчет грейда'!$I$19:$I$200)-18,""),ROW()-(ROW()-AA$2))),"")</f>
        <v/>
      </c>
      <c r="AB53" s="152" t="str">
        <f t="array" ref="AB53">IFERROR(INDEX('Расчет грейда'!$I$19:$I$200,SMALL(IF('ТРС общая'!$B53='Расчет грейда'!$W$19:$W$200,ROW('Расчет грейда'!$I$19:$I$200)-18,""),ROW()-(ROW()-AB$2))),"")</f>
        <v/>
      </c>
      <c r="AC53" s="152" t="str">
        <f t="array" ref="AC53">IFERROR(INDEX('Расчет грейда'!$I$19:$I$200,SMALL(IF('ТРС общая'!$B53='Расчет грейда'!$W$19:$W$200,ROW('Расчет грейда'!$I$19:$I$200)-18,""),ROW()-(ROW()-AC$2))),"")</f>
        <v/>
      </c>
      <c r="AD53" s="152" t="str">
        <f t="array" ref="AD53">IFERROR(INDEX('Расчет грейда'!$I$19:$I$200,SMALL(IF('ТРС общая'!$B53='Расчет грейда'!$W$19:$W$200,ROW('Расчет грейда'!$I$19:$I$200)-18,""),ROW()-(ROW()-AD$2))),"")</f>
        <v/>
      </c>
      <c r="AE53" s="152" t="str">
        <f t="array" ref="AE53">IFERROR(INDEX('Расчет грейда'!$I$19:$I$200,SMALL(IF('ТРС общая'!$B53='Расчет грейда'!$W$19:$W$200,ROW('Расчет грейда'!$I$19:$I$200)-18,""),ROW()-(ROW()-AE$2))),"")</f>
        <v/>
      </c>
      <c r="AF53" s="152" t="str">
        <f t="array" ref="AF53">IFERROR(INDEX('Расчет грейда'!$I$19:$I$200,SMALL(IF('ТРС общая'!$B53='Расчет грейда'!$W$19:$W$200,ROW('Расчет грейда'!$I$19:$I$200)-18,""),ROW()-(ROW()-AF$2))),"")</f>
        <v/>
      </c>
      <c r="AG53" s="152" t="str">
        <f t="array" ref="AG53">IFERROR(INDEX('Расчет грейда'!$I$19:$I$200,SMALL(IF('ТРС общая'!$B53='Расчет грейда'!$W$19:$W$200,ROW('Расчет грейда'!$I$19:$I$200)-18,""),ROW()-(ROW()-AG$2))),"")</f>
        <v/>
      </c>
      <c r="AH53" s="152" t="str">
        <f t="array" ref="AH53">IFERROR(INDEX('Расчет грейда'!$I$19:$I$200,SMALL(IF('ТРС общая'!$B53='Расчет грейда'!$W$19:$W$200,ROW('Расчет грейда'!$I$19:$I$200)-18,""),ROW()-(ROW()-AH$2))),"")</f>
        <v/>
      </c>
      <c r="AI53" s="152" t="str">
        <f t="array" ref="AI53">IFERROR(INDEX('Расчет грейда'!$I$19:$I$200,SMALL(IF('ТРС общая'!$B53='Расчет грейда'!$W$19:$W$200,ROW('Расчет грейда'!$I$19:$I$200)-18,""),ROW()-(ROW()-AI$2))),"")</f>
        <v/>
      </c>
      <c r="AJ53" s="152" t="str">
        <f t="array" ref="AJ53">IFERROR(INDEX('Расчет грейда'!$I$19:$I$200,SMALL(IF('ТРС общая'!$B53='Расчет грейда'!$W$19:$W$200,ROW('Расчет грейда'!$I$19:$I$200)-18,""),ROW()-(ROW()-AJ$2))),"")</f>
        <v/>
      </c>
      <c r="AK53" s="152" t="str">
        <f t="array" ref="AK53">IFERROR(INDEX('Расчет грейда'!$I$19:$I$200,SMALL(IF('ТРС общая'!$B53='Расчет грейда'!$W$19:$W$200,ROW('Расчет грейда'!$I$19:$I$200)-18,""),ROW()-(ROW()-AK$2))),"")</f>
        <v/>
      </c>
      <c r="AL53" s="152" t="str">
        <f t="array" ref="AL53">IFERROR(INDEX('Расчет грейда'!$I$19:$I$200,SMALL(IF('ТРС общая'!$B53='Расчет грейда'!$W$19:$W$200,ROW('Расчет грейда'!$I$19:$I$200)-18,""),ROW()-(ROW()-AL$2))),"")</f>
        <v/>
      </c>
      <c r="AM53" s="152" t="str">
        <f t="array" ref="AM53">IFERROR(INDEX('Расчет грейда'!$I$19:$I$200,SMALL(IF('ТРС общая'!$B53='Расчет грейда'!$W$19:$W$200,ROW('Расчет грейда'!$I$19:$I$200)-18,""),ROW()-(ROW()-AM$2))),"")</f>
        <v/>
      </c>
      <c r="AN53" s="152" t="str">
        <f t="array" ref="AN53">IFERROR(INDEX('Расчет грейда'!$I$19:$I$200,SMALL(IF('ТРС общая'!$B53='Расчет грейда'!$W$19:$W$200,ROW('Расчет грейда'!$I$19:$I$200)-18,""),ROW()-(ROW()-AN$2))),"")</f>
        <v/>
      </c>
      <c r="AO53" s="152" t="str">
        <f t="array" ref="AO53">IFERROR(INDEX('Расчет грейда'!$I$19:$I$200,SMALL(IF('ТРС общая'!$B53='Расчет грейда'!$W$19:$W$200,ROW('Расчет грейда'!$I$19:$I$200)-18,""),ROW()-(ROW()-AO$2))),"")</f>
        <v/>
      </c>
    </row>
    <row r="54" spans="2:41" s="124" customFormat="1" ht="101.5" customHeight="1" x14ac:dyDescent="0.55000000000000004">
      <c r="B54" s="158">
        <v>7</v>
      </c>
      <c r="C54" s="159">
        <f>COUNTIF('Расчет грейда'!$W:$W,'ТРС общая'!$B54)</f>
        <v>0</v>
      </c>
      <c r="D54" s="152" t="str">
        <f t="array" ref="D54">IFERROR(INDEX('Расчет грейда'!$I$19:$I$200,SMALL(IF('ТРС общая'!$B54='Расчет грейда'!$W$19:$W$200,ROW('Расчет грейда'!$I$19:$I$200)-18,""),ROW()-(ROW()-D$2))),"")</f>
        <v/>
      </c>
      <c r="E54" s="152" t="str">
        <f t="array" ref="E54">IFERROR(INDEX('Расчет грейда'!$I$19:$I$200,SMALL(IF('ТРС общая'!$B54='Расчет грейда'!$W$19:$W$200,ROW('Расчет грейда'!$I$19:$I$200)-18,""),ROW()-(ROW()-E$2))),"")</f>
        <v/>
      </c>
      <c r="F54" s="152" t="str">
        <f t="array" ref="F54">IFERROR(INDEX('Расчет грейда'!$I$19:$I$200,SMALL(IF('ТРС общая'!$B54='Расчет грейда'!$W$19:$W$200,ROW('Расчет грейда'!$I$19:$I$200)-18,""),ROW()-(ROW()-F$2))),"")</f>
        <v/>
      </c>
      <c r="G54" s="152" t="str">
        <f t="array" ref="G54">IFERROR(INDEX('Расчет грейда'!$I$19:$I$200,SMALL(IF('ТРС общая'!$B54='Расчет грейда'!$W$19:$W$200,ROW('Расчет грейда'!$I$19:$I$200)-18,""),ROW()-(ROW()-G$2))),"")</f>
        <v/>
      </c>
      <c r="H54" s="152" t="str">
        <f t="array" ref="H54">IFERROR(INDEX('Расчет грейда'!$I$19:$I$200,SMALL(IF('ТРС общая'!$B54='Расчет грейда'!$W$19:$W$200,ROW('Расчет грейда'!$I$19:$I$200)-18,""),ROW()-(ROW()-H$2))),"")</f>
        <v/>
      </c>
      <c r="I54" s="152" t="str">
        <f t="array" ref="I54">IFERROR(INDEX('Расчет грейда'!$I$19:$I$200,SMALL(IF('ТРС общая'!$B54='Расчет грейда'!$W$19:$W$200,ROW('Расчет грейда'!$I$19:$I$200)-18,""),ROW()-(ROW()-I$2))),"")</f>
        <v/>
      </c>
      <c r="J54" s="152" t="str">
        <f t="array" ref="J54">IFERROR(INDEX('Расчет грейда'!$I$19:$I$200,SMALL(IF('ТРС общая'!$B54='Расчет грейда'!$W$19:$W$200,ROW('Расчет грейда'!$I$19:$I$200)-18,""),ROW()-(ROW()-J$2))),"")</f>
        <v/>
      </c>
      <c r="K54" s="152" t="str">
        <f t="array" ref="K54">IFERROR(INDEX('Расчет грейда'!$I$19:$I$200,SMALL(IF('ТРС общая'!$B54='Расчет грейда'!$W$19:$W$200,ROW('Расчет грейда'!$I$19:$I$200)-18,""),ROW()-(ROW()-K$2))),"")</f>
        <v/>
      </c>
      <c r="L54" s="152" t="str">
        <f t="array" ref="L54">IFERROR(INDEX('Расчет грейда'!$I$19:$I$200,SMALL(IF('ТРС общая'!$B54='Расчет грейда'!$W$19:$W$200,ROW('Расчет грейда'!$I$19:$I$200)-18,""),ROW()-(ROW()-L$2))),"")</f>
        <v/>
      </c>
      <c r="M54" s="152" t="str">
        <f t="array" ref="M54">IFERROR(INDEX('Расчет грейда'!$I$19:$I$200,SMALL(IF('ТРС общая'!$B54='Расчет грейда'!$W$19:$W$200,ROW('Расчет грейда'!$I$19:$I$200)-18,""),ROW()-(ROW()-M$2))),"")</f>
        <v/>
      </c>
      <c r="N54" s="152" t="str">
        <f t="array" ref="N54">IFERROR(INDEX('Расчет грейда'!$I$19:$I$200,SMALL(IF('ТРС общая'!$B54='Расчет грейда'!$W$19:$W$200,ROW('Расчет грейда'!$I$19:$I$200)-18,""),ROW()-(ROW()-N$2))),"")</f>
        <v/>
      </c>
      <c r="O54" s="152" t="str">
        <f t="array" ref="O54">IFERROR(INDEX('Расчет грейда'!$I$19:$I$200,SMALL(IF('ТРС общая'!$B54='Расчет грейда'!$W$19:$W$200,ROW('Расчет грейда'!$I$19:$I$200)-18,""),ROW()-(ROW()-O$2))),"")</f>
        <v/>
      </c>
      <c r="P54" s="152" t="str">
        <f t="array" ref="P54">IFERROR(INDEX('Расчет грейда'!$I$19:$I$200,SMALL(IF('ТРС общая'!$B54='Расчет грейда'!$W$19:$W$200,ROW('Расчет грейда'!$I$19:$I$200)-18,""),ROW()-(ROW()-P$2))),"")</f>
        <v/>
      </c>
      <c r="Q54" s="152" t="str">
        <f t="array" ref="Q54">IFERROR(INDEX('Расчет грейда'!$I$19:$I$200,SMALL(IF('ТРС общая'!$B54='Расчет грейда'!$W$19:$W$200,ROW('Расчет грейда'!$I$19:$I$200)-18,""),ROW()-(ROW()-Q$2))),"")</f>
        <v/>
      </c>
      <c r="R54" s="152" t="str">
        <f t="array" ref="R54">IFERROR(INDEX('Расчет грейда'!$I$19:$I$200,SMALL(IF('ТРС общая'!$B54='Расчет грейда'!$W$19:$W$200,ROW('Расчет грейда'!$I$19:$I$200)-18,""),ROW()-(ROW()-R$2))),"")</f>
        <v/>
      </c>
      <c r="S54" s="152" t="str">
        <f t="array" ref="S54">IFERROR(INDEX('Расчет грейда'!$I$19:$I$200,SMALL(IF('ТРС общая'!$B54='Расчет грейда'!$W$19:$W$200,ROW('Расчет грейда'!$I$19:$I$200)-18,""),ROW()-(ROW()-S$2))),"")</f>
        <v/>
      </c>
      <c r="T54" s="152" t="str">
        <f t="array" ref="T54">IFERROR(INDEX('Расчет грейда'!$I$19:$I$200,SMALL(IF('ТРС общая'!$B54='Расчет грейда'!$W$19:$W$200,ROW('Расчет грейда'!$I$19:$I$200)-18,""),ROW()-(ROW()-T$2))),"")</f>
        <v/>
      </c>
      <c r="U54" s="152" t="str">
        <f t="array" ref="U54">IFERROR(INDEX('Расчет грейда'!$I$19:$I$200,SMALL(IF('ТРС общая'!$B54='Расчет грейда'!$W$19:$W$200,ROW('Расчет грейда'!$I$19:$I$200)-18,""),ROW()-(ROW()-U$2))),"")</f>
        <v/>
      </c>
      <c r="V54" s="152" t="str">
        <f t="array" ref="V54">IFERROR(INDEX('Расчет грейда'!$I$19:$I$200,SMALL(IF('ТРС общая'!$B54='Расчет грейда'!$W$19:$W$200,ROW('Расчет грейда'!$I$19:$I$200)-18,""),ROW()-(ROW()-V$2))),"")</f>
        <v/>
      </c>
      <c r="W54" s="152" t="str">
        <f t="array" ref="W54">IFERROR(INDEX('Расчет грейда'!$I$19:$I$200,SMALL(IF('ТРС общая'!$B54='Расчет грейда'!$W$19:$W$200,ROW('Расчет грейда'!$I$19:$I$200)-18,""),ROW()-(ROW()-W$2))),"")</f>
        <v/>
      </c>
      <c r="X54" s="152" t="str">
        <f t="array" ref="X54">IFERROR(INDEX('Расчет грейда'!$I$19:$I$200,SMALL(IF('ТРС общая'!$B54='Расчет грейда'!$W$19:$W$200,ROW('Расчет грейда'!$I$19:$I$200)-18,""),ROW()-(ROW()-X$2))),"")</f>
        <v/>
      </c>
      <c r="Y54" s="152" t="str">
        <f t="array" ref="Y54">IFERROR(INDEX('Расчет грейда'!$I$19:$I$200,SMALL(IF('ТРС общая'!$B54='Расчет грейда'!$W$19:$W$200,ROW('Расчет грейда'!$I$19:$I$200)-18,""),ROW()-(ROW()-Y$2))),"")</f>
        <v/>
      </c>
      <c r="Z54" s="152" t="str">
        <f t="array" ref="Z54">IFERROR(INDEX('Расчет грейда'!$I$19:$I$200,SMALL(IF('ТРС общая'!$B54='Расчет грейда'!$W$19:$W$200,ROW('Расчет грейда'!$I$19:$I$200)-18,""),ROW()-(ROW()-Z$2))),"")</f>
        <v/>
      </c>
      <c r="AA54" s="152" t="str">
        <f t="array" ref="AA54">IFERROR(INDEX('Расчет грейда'!$I$19:$I$200,SMALL(IF('ТРС общая'!$B54='Расчет грейда'!$W$19:$W$200,ROW('Расчет грейда'!$I$19:$I$200)-18,""),ROW()-(ROW()-AA$2))),"")</f>
        <v/>
      </c>
      <c r="AB54" s="152" t="str">
        <f t="array" ref="AB54">IFERROR(INDEX('Расчет грейда'!$I$19:$I$200,SMALL(IF('ТРС общая'!$B54='Расчет грейда'!$W$19:$W$200,ROW('Расчет грейда'!$I$19:$I$200)-18,""),ROW()-(ROW()-AB$2))),"")</f>
        <v/>
      </c>
      <c r="AC54" s="152" t="str">
        <f t="array" ref="AC54">IFERROR(INDEX('Расчет грейда'!$I$19:$I$200,SMALL(IF('ТРС общая'!$B54='Расчет грейда'!$W$19:$W$200,ROW('Расчет грейда'!$I$19:$I$200)-18,""),ROW()-(ROW()-AC$2))),"")</f>
        <v/>
      </c>
      <c r="AD54" s="152" t="str">
        <f t="array" ref="AD54">IFERROR(INDEX('Расчет грейда'!$I$19:$I$200,SMALL(IF('ТРС общая'!$B54='Расчет грейда'!$W$19:$W$200,ROW('Расчет грейда'!$I$19:$I$200)-18,""),ROW()-(ROW()-AD$2))),"")</f>
        <v/>
      </c>
      <c r="AE54" s="152" t="str">
        <f t="array" ref="AE54">IFERROR(INDEX('Расчет грейда'!$I$19:$I$200,SMALL(IF('ТРС общая'!$B54='Расчет грейда'!$W$19:$W$200,ROW('Расчет грейда'!$I$19:$I$200)-18,""),ROW()-(ROW()-AE$2))),"")</f>
        <v/>
      </c>
      <c r="AF54" s="152" t="str">
        <f t="array" ref="AF54">IFERROR(INDEX('Расчет грейда'!$I$19:$I$200,SMALL(IF('ТРС общая'!$B54='Расчет грейда'!$W$19:$W$200,ROW('Расчет грейда'!$I$19:$I$200)-18,""),ROW()-(ROW()-AF$2))),"")</f>
        <v/>
      </c>
      <c r="AG54" s="152" t="str">
        <f t="array" ref="AG54">IFERROR(INDEX('Расчет грейда'!$I$19:$I$200,SMALL(IF('ТРС общая'!$B54='Расчет грейда'!$W$19:$W$200,ROW('Расчет грейда'!$I$19:$I$200)-18,""),ROW()-(ROW()-AG$2))),"")</f>
        <v/>
      </c>
      <c r="AH54" s="152" t="str">
        <f t="array" ref="AH54">IFERROR(INDEX('Расчет грейда'!$I$19:$I$200,SMALL(IF('ТРС общая'!$B54='Расчет грейда'!$W$19:$W$200,ROW('Расчет грейда'!$I$19:$I$200)-18,""),ROW()-(ROW()-AH$2))),"")</f>
        <v/>
      </c>
      <c r="AI54" s="152" t="str">
        <f t="array" ref="AI54">IFERROR(INDEX('Расчет грейда'!$I$19:$I$200,SMALL(IF('ТРС общая'!$B54='Расчет грейда'!$W$19:$W$200,ROW('Расчет грейда'!$I$19:$I$200)-18,""),ROW()-(ROW()-AI$2))),"")</f>
        <v/>
      </c>
      <c r="AJ54" s="152" t="str">
        <f t="array" ref="AJ54">IFERROR(INDEX('Расчет грейда'!$I$19:$I$200,SMALL(IF('ТРС общая'!$B54='Расчет грейда'!$W$19:$W$200,ROW('Расчет грейда'!$I$19:$I$200)-18,""),ROW()-(ROW()-AJ$2))),"")</f>
        <v/>
      </c>
      <c r="AK54" s="152" t="str">
        <f t="array" ref="AK54">IFERROR(INDEX('Расчет грейда'!$I$19:$I$200,SMALL(IF('ТРС общая'!$B54='Расчет грейда'!$W$19:$W$200,ROW('Расчет грейда'!$I$19:$I$200)-18,""),ROW()-(ROW()-AK$2))),"")</f>
        <v/>
      </c>
      <c r="AL54" s="152" t="str">
        <f t="array" ref="AL54">IFERROR(INDEX('Расчет грейда'!$I$19:$I$200,SMALL(IF('ТРС общая'!$B54='Расчет грейда'!$W$19:$W$200,ROW('Расчет грейда'!$I$19:$I$200)-18,""),ROW()-(ROW()-AL$2))),"")</f>
        <v/>
      </c>
      <c r="AM54" s="152" t="str">
        <f t="array" ref="AM54">IFERROR(INDEX('Расчет грейда'!$I$19:$I$200,SMALL(IF('ТРС общая'!$B54='Расчет грейда'!$W$19:$W$200,ROW('Расчет грейда'!$I$19:$I$200)-18,""),ROW()-(ROW()-AM$2))),"")</f>
        <v/>
      </c>
      <c r="AN54" s="152" t="str">
        <f t="array" ref="AN54">IFERROR(INDEX('Расчет грейда'!$I$19:$I$200,SMALL(IF('ТРС общая'!$B54='Расчет грейда'!$W$19:$W$200,ROW('Расчет грейда'!$I$19:$I$200)-18,""),ROW()-(ROW()-AN$2))),"")</f>
        <v/>
      </c>
      <c r="AO54" s="152" t="str">
        <f t="array" ref="AO54">IFERROR(INDEX('Расчет грейда'!$I$19:$I$200,SMALL(IF('ТРС общая'!$B54='Расчет грейда'!$W$19:$W$200,ROW('Расчет грейда'!$I$19:$I$200)-18,""),ROW()-(ROW()-AO$2))),"")</f>
        <v/>
      </c>
    </row>
    <row r="55" spans="2:41" s="124" customFormat="1" ht="101.5" customHeight="1" x14ac:dyDescent="0.55000000000000004">
      <c r="B55" s="158">
        <v>6</v>
      </c>
      <c r="C55" s="159">
        <f>COUNTIF('Расчет грейда'!$W:$W,'ТРС общая'!$B55)</f>
        <v>0</v>
      </c>
      <c r="D55" s="152" t="str">
        <f t="array" ref="D55">IFERROR(INDEX('Расчет грейда'!$I$19:$I$200,SMALL(IF('ТРС общая'!$B55='Расчет грейда'!$W$19:$W$200,ROW('Расчет грейда'!$I$19:$I$200)-18,""),ROW()-(ROW()-D$2))),"")</f>
        <v/>
      </c>
      <c r="E55" s="152" t="str">
        <f t="array" ref="E55">IFERROR(INDEX('Расчет грейда'!$I$19:$I$200,SMALL(IF('ТРС общая'!$B55='Расчет грейда'!$W$19:$W$200,ROW('Расчет грейда'!$I$19:$I$200)-18,""),ROW()-(ROW()-E$2))),"")</f>
        <v/>
      </c>
      <c r="F55" s="152" t="str">
        <f t="array" ref="F55">IFERROR(INDEX('Расчет грейда'!$I$19:$I$200,SMALL(IF('ТРС общая'!$B55='Расчет грейда'!$W$19:$W$200,ROW('Расчет грейда'!$I$19:$I$200)-18,""),ROW()-(ROW()-F$2))),"")</f>
        <v/>
      </c>
      <c r="G55" s="152" t="str">
        <f t="array" ref="G55">IFERROR(INDEX('Расчет грейда'!$I$19:$I$200,SMALL(IF('ТРС общая'!$B55='Расчет грейда'!$W$19:$W$200,ROW('Расчет грейда'!$I$19:$I$200)-18,""),ROW()-(ROW()-G$2))),"")</f>
        <v/>
      </c>
      <c r="H55" s="152" t="str">
        <f t="array" ref="H55">IFERROR(INDEX('Расчет грейда'!$I$19:$I$200,SMALL(IF('ТРС общая'!$B55='Расчет грейда'!$W$19:$W$200,ROW('Расчет грейда'!$I$19:$I$200)-18,""),ROW()-(ROW()-H$2))),"")</f>
        <v/>
      </c>
      <c r="I55" s="152" t="str">
        <f t="array" ref="I55">IFERROR(INDEX('Расчет грейда'!$I$19:$I$200,SMALL(IF('ТРС общая'!$B55='Расчет грейда'!$W$19:$W$200,ROW('Расчет грейда'!$I$19:$I$200)-18,""),ROW()-(ROW()-I$2))),"")</f>
        <v/>
      </c>
      <c r="J55" s="152" t="str">
        <f t="array" ref="J55">IFERROR(INDEX('Расчет грейда'!$I$19:$I$200,SMALL(IF('ТРС общая'!$B55='Расчет грейда'!$W$19:$W$200,ROW('Расчет грейда'!$I$19:$I$200)-18,""),ROW()-(ROW()-J$2))),"")</f>
        <v/>
      </c>
      <c r="K55" s="152" t="str">
        <f t="array" ref="K55">IFERROR(INDEX('Расчет грейда'!$I$19:$I$200,SMALL(IF('ТРС общая'!$B55='Расчет грейда'!$W$19:$W$200,ROW('Расчет грейда'!$I$19:$I$200)-18,""),ROW()-(ROW()-K$2))),"")</f>
        <v/>
      </c>
      <c r="L55" s="152" t="str">
        <f t="array" ref="L55">IFERROR(INDEX('Расчет грейда'!$I$19:$I$200,SMALL(IF('ТРС общая'!$B55='Расчет грейда'!$W$19:$W$200,ROW('Расчет грейда'!$I$19:$I$200)-18,""),ROW()-(ROW()-L$2))),"")</f>
        <v/>
      </c>
      <c r="M55" s="152" t="str">
        <f t="array" ref="M55">IFERROR(INDEX('Расчет грейда'!$I$19:$I$200,SMALL(IF('ТРС общая'!$B55='Расчет грейда'!$W$19:$W$200,ROW('Расчет грейда'!$I$19:$I$200)-18,""),ROW()-(ROW()-M$2))),"")</f>
        <v/>
      </c>
      <c r="N55" s="152" t="str">
        <f t="array" ref="N55">IFERROR(INDEX('Расчет грейда'!$I$19:$I$200,SMALL(IF('ТРС общая'!$B55='Расчет грейда'!$W$19:$W$200,ROW('Расчет грейда'!$I$19:$I$200)-18,""),ROW()-(ROW()-N$2))),"")</f>
        <v/>
      </c>
      <c r="O55" s="152" t="str">
        <f t="array" ref="O55">IFERROR(INDEX('Расчет грейда'!$I$19:$I$200,SMALL(IF('ТРС общая'!$B55='Расчет грейда'!$W$19:$W$200,ROW('Расчет грейда'!$I$19:$I$200)-18,""),ROW()-(ROW()-O$2))),"")</f>
        <v/>
      </c>
      <c r="P55" s="152" t="str">
        <f t="array" ref="P55">IFERROR(INDEX('Расчет грейда'!$I$19:$I$200,SMALL(IF('ТРС общая'!$B55='Расчет грейда'!$W$19:$W$200,ROW('Расчет грейда'!$I$19:$I$200)-18,""),ROW()-(ROW()-P$2))),"")</f>
        <v/>
      </c>
      <c r="Q55" s="152" t="str">
        <f t="array" ref="Q55">IFERROR(INDEX('Расчет грейда'!$I$19:$I$200,SMALL(IF('ТРС общая'!$B55='Расчет грейда'!$W$19:$W$200,ROW('Расчет грейда'!$I$19:$I$200)-18,""),ROW()-(ROW()-Q$2))),"")</f>
        <v/>
      </c>
      <c r="R55" s="152" t="str">
        <f t="array" ref="R55">IFERROR(INDEX('Расчет грейда'!$I$19:$I$200,SMALL(IF('ТРС общая'!$B55='Расчет грейда'!$W$19:$W$200,ROW('Расчет грейда'!$I$19:$I$200)-18,""),ROW()-(ROW()-R$2))),"")</f>
        <v/>
      </c>
      <c r="S55" s="152" t="str">
        <f t="array" ref="S55">IFERROR(INDEX('Расчет грейда'!$I$19:$I$200,SMALL(IF('ТРС общая'!$B55='Расчет грейда'!$W$19:$W$200,ROW('Расчет грейда'!$I$19:$I$200)-18,""),ROW()-(ROW()-S$2))),"")</f>
        <v/>
      </c>
      <c r="T55" s="152" t="str">
        <f t="array" ref="T55">IFERROR(INDEX('Расчет грейда'!$I$19:$I$200,SMALL(IF('ТРС общая'!$B55='Расчет грейда'!$W$19:$W$200,ROW('Расчет грейда'!$I$19:$I$200)-18,""),ROW()-(ROW()-T$2))),"")</f>
        <v/>
      </c>
      <c r="U55" s="152" t="str">
        <f t="array" ref="U55">IFERROR(INDEX('Расчет грейда'!$I$19:$I$200,SMALL(IF('ТРС общая'!$B55='Расчет грейда'!$W$19:$W$200,ROW('Расчет грейда'!$I$19:$I$200)-18,""),ROW()-(ROW()-U$2))),"")</f>
        <v/>
      </c>
      <c r="V55" s="152" t="str">
        <f t="array" ref="V55">IFERROR(INDEX('Расчет грейда'!$I$19:$I$200,SMALL(IF('ТРС общая'!$B55='Расчет грейда'!$W$19:$W$200,ROW('Расчет грейда'!$I$19:$I$200)-18,""),ROW()-(ROW()-V$2))),"")</f>
        <v/>
      </c>
      <c r="W55" s="152" t="str">
        <f t="array" ref="W55">IFERROR(INDEX('Расчет грейда'!$I$19:$I$200,SMALL(IF('ТРС общая'!$B55='Расчет грейда'!$W$19:$W$200,ROW('Расчет грейда'!$I$19:$I$200)-18,""),ROW()-(ROW()-W$2))),"")</f>
        <v/>
      </c>
      <c r="X55" s="152" t="str">
        <f t="array" ref="X55">IFERROR(INDEX('Расчет грейда'!$I$19:$I$200,SMALL(IF('ТРС общая'!$B55='Расчет грейда'!$W$19:$W$200,ROW('Расчет грейда'!$I$19:$I$200)-18,""),ROW()-(ROW()-X$2))),"")</f>
        <v/>
      </c>
      <c r="Y55" s="152" t="str">
        <f t="array" ref="Y55">IFERROR(INDEX('Расчет грейда'!$I$19:$I$200,SMALL(IF('ТРС общая'!$B55='Расчет грейда'!$W$19:$W$200,ROW('Расчет грейда'!$I$19:$I$200)-18,""),ROW()-(ROW()-Y$2))),"")</f>
        <v/>
      </c>
      <c r="Z55" s="152" t="str">
        <f t="array" ref="Z55">IFERROR(INDEX('Расчет грейда'!$I$19:$I$200,SMALL(IF('ТРС общая'!$B55='Расчет грейда'!$W$19:$W$200,ROW('Расчет грейда'!$I$19:$I$200)-18,""),ROW()-(ROW()-Z$2))),"")</f>
        <v/>
      </c>
      <c r="AA55" s="152" t="str">
        <f t="array" ref="AA55">IFERROR(INDEX('Расчет грейда'!$I$19:$I$200,SMALL(IF('ТРС общая'!$B55='Расчет грейда'!$W$19:$W$200,ROW('Расчет грейда'!$I$19:$I$200)-18,""),ROW()-(ROW()-AA$2))),"")</f>
        <v/>
      </c>
      <c r="AB55" s="152" t="str">
        <f t="array" ref="AB55">IFERROR(INDEX('Расчет грейда'!$I$19:$I$200,SMALL(IF('ТРС общая'!$B55='Расчет грейда'!$W$19:$W$200,ROW('Расчет грейда'!$I$19:$I$200)-18,""),ROW()-(ROW()-AB$2))),"")</f>
        <v/>
      </c>
      <c r="AC55" s="152" t="str">
        <f t="array" ref="AC55">IFERROR(INDEX('Расчет грейда'!$I$19:$I$200,SMALL(IF('ТРС общая'!$B55='Расчет грейда'!$W$19:$W$200,ROW('Расчет грейда'!$I$19:$I$200)-18,""),ROW()-(ROW()-AC$2))),"")</f>
        <v/>
      </c>
      <c r="AD55" s="152" t="str">
        <f t="array" ref="AD55">IFERROR(INDEX('Расчет грейда'!$I$19:$I$200,SMALL(IF('ТРС общая'!$B55='Расчет грейда'!$W$19:$W$200,ROW('Расчет грейда'!$I$19:$I$200)-18,""),ROW()-(ROW()-AD$2))),"")</f>
        <v/>
      </c>
      <c r="AE55" s="152" t="str">
        <f t="array" ref="AE55">IFERROR(INDEX('Расчет грейда'!$I$19:$I$200,SMALL(IF('ТРС общая'!$B55='Расчет грейда'!$W$19:$W$200,ROW('Расчет грейда'!$I$19:$I$200)-18,""),ROW()-(ROW()-AE$2))),"")</f>
        <v/>
      </c>
      <c r="AF55" s="152" t="str">
        <f t="array" ref="AF55">IFERROR(INDEX('Расчет грейда'!$I$19:$I$200,SMALL(IF('ТРС общая'!$B55='Расчет грейда'!$W$19:$W$200,ROW('Расчет грейда'!$I$19:$I$200)-18,""),ROW()-(ROW()-AF$2))),"")</f>
        <v/>
      </c>
      <c r="AG55" s="152" t="str">
        <f t="array" ref="AG55">IFERROR(INDEX('Расчет грейда'!$I$19:$I$200,SMALL(IF('ТРС общая'!$B55='Расчет грейда'!$W$19:$W$200,ROW('Расчет грейда'!$I$19:$I$200)-18,""),ROW()-(ROW()-AG$2))),"")</f>
        <v/>
      </c>
      <c r="AH55" s="152" t="str">
        <f t="array" ref="AH55">IFERROR(INDEX('Расчет грейда'!$I$19:$I$200,SMALL(IF('ТРС общая'!$B55='Расчет грейда'!$W$19:$W$200,ROW('Расчет грейда'!$I$19:$I$200)-18,""),ROW()-(ROW()-AH$2))),"")</f>
        <v/>
      </c>
      <c r="AI55" s="152" t="str">
        <f t="array" ref="AI55">IFERROR(INDEX('Расчет грейда'!$I$19:$I$200,SMALL(IF('ТРС общая'!$B55='Расчет грейда'!$W$19:$W$200,ROW('Расчет грейда'!$I$19:$I$200)-18,""),ROW()-(ROW()-AI$2))),"")</f>
        <v/>
      </c>
      <c r="AJ55" s="152" t="str">
        <f t="array" ref="AJ55">IFERROR(INDEX('Расчет грейда'!$I$19:$I$200,SMALL(IF('ТРС общая'!$B55='Расчет грейда'!$W$19:$W$200,ROW('Расчет грейда'!$I$19:$I$200)-18,""),ROW()-(ROW()-AJ$2))),"")</f>
        <v/>
      </c>
      <c r="AK55" s="152" t="str">
        <f t="array" ref="AK55">IFERROR(INDEX('Расчет грейда'!$I$19:$I$200,SMALL(IF('ТРС общая'!$B55='Расчет грейда'!$W$19:$W$200,ROW('Расчет грейда'!$I$19:$I$200)-18,""),ROW()-(ROW()-AK$2))),"")</f>
        <v/>
      </c>
      <c r="AL55" s="152" t="str">
        <f t="array" ref="AL55">IFERROR(INDEX('Расчет грейда'!$I$19:$I$200,SMALL(IF('ТРС общая'!$B55='Расчет грейда'!$W$19:$W$200,ROW('Расчет грейда'!$I$19:$I$200)-18,""),ROW()-(ROW()-AL$2))),"")</f>
        <v/>
      </c>
      <c r="AM55" s="152" t="str">
        <f t="array" ref="AM55">IFERROR(INDEX('Расчет грейда'!$I$19:$I$200,SMALL(IF('ТРС общая'!$B55='Расчет грейда'!$W$19:$W$200,ROW('Расчет грейда'!$I$19:$I$200)-18,""),ROW()-(ROW()-AM$2))),"")</f>
        <v/>
      </c>
      <c r="AN55" s="152" t="str">
        <f t="array" ref="AN55">IFERROR(INDEX('Расчет грейда'!$I$19:$I$200,SMALL(IF('ТРС общая'!$B55='Расчет грейда'!$W$19:$W$200,ROW('Расчет грейда'!$I$19:$I$200)-18,""),ROW()-(ROW()-AN$2))),"")</f>
        <v/>
      </c>
      <c r="AO55" s="152" t="str">
        <f t="array" ref="AO55">IFERROR(INDEX('Расчет грейда'!$I$19:$I$200,SMALL(IF('ТРС общая'!$B55='Расчет грейда'!$W$19:$W$200,ROW('Расчет грейда'!$I$19:$I$200)-18,""),ROW()-(ROW()-AO$2))),"")</f>
        <v/>
      </c>
    </row>
    <row r="56" spans="2:41" s="124" customFormat="1" ht="101.5" customHeight="1" x14ac:dyDescent="0.55000000000000004">
      <c r="B56" s="158">
        <v>5</v>
      </c>
      <c r="C56" s="159">
        <f>COUNTIF('Расчет грейда'!$W:$W,'ТРС общая'!$B56)</f>
        <v>0</v>
      </c>
      <c r="D56" s="152" t="str">
        <f t="array" ref="D56">IFERROR(INDEX('Расчет грейда'!$I$19:$I$200,SMALL(IF('ТРС общая'!$B56='Расчет грейда'!$W$19:$W$200,ROW('Расчет грейда'!$I$19:$I$200)-18,""),ROW()-(ROW()-D$2))),"")</f>
        <v/>
      </c>
      <c r="E56" s="152" t="str">
        <f t="array" ref="E56">IFERROR(INDEX('Расчет грейда'!$I$19:$I$200,SMALL(IF('ТРС общая'!$B56='Расчет грейда'!$W$19:$W$200,ROW('Расчет грейда'!$I$19:$I$200)-18,""),ROW()-(ROW()-E$2))),"")</f>
        <v/>
      </c>
      <c r="F56" s="152" t="str">
        <f t="array" ref="F56">IFERROR(INDEX('Расчет грейда'!$I$19:$I$200,SMALL(IF('ТРС общая'!$B56='Расчет грейда'!$W$19:$W$200,ROW('Расчет грейда'!$I$19:$I$200)-18,""),ROW()-(ROW()-F$2))),"")</f>
        <v/>
      </c>
      <c r="G56" s="152" t="str">
        <f t="array" ref="G56">IFERROR(INDEX('Расчет грейда'!$I$19:$I$200,SMALL(IF('ТРС общая'!$B56='Расчет грейда'!$W$19:$W$200,ROW('Расчет грейда'!$I$19:$I$200)-18,""),ROW()-(ROW()-G$2))),"")</f>
        <v/>
      </c>
      <c r="H56" s="152" t="str">
        <f t="array" ref="H56">IFERROR(INDEX('Расчет грейда'!$I$19:$I$200,SMALL(IF('ТРС общая'!$B56='Расчет грейда'!$W$19:$W$200,ROW('Расчет грейда'!$I$19:$I$200)-18,""),ROW()-(ROW()-H$2))),"")</f>
        <v/>
      </c>
      <c r="I56" s="152" t="str">
        <f t="array" ref="I56">IFERROR(INDEX('Расчет грейда'!$I$19:$I$200,SMALL(IF('ТРС общая'!$B56='Расчет грейда'!$W$19:$W$200,ROW('Расчет грейда'!$I$19:$I$200)-18,""),ROW()-(ROW()-I$2))),"")</f>
        <v/>
      </c>
      <c r="J56" s="152" t="str">
        <f t="array" ref="J56">IFERROR(INDEX('Расчет грейда'!$I$19:$I$200,SMALL(IF('ТРС общая'!$B56='Расчет грейда'!$W$19:$W$200,ROW('Расчет грейда'!$I$19:$I$200)-18,""),ROW()-(ROW()-J$2))),"")</f>
        <v/>
      </c>
      <c r="K56" s="152" t="str">
        <f t="array" ref="K56">IFERROR(INDEX('Расчет грейда'!$I$19:$I$200,SMALL(IF('ТРС общая'!$B56='Расчет грейда'!$W$19:$W$200,ROW('Расчет грейда'!$I$19:$I$200)-18,""),ROW()-(ROW()-K$2))),"")</f>
        <v/>
      </c>
      <c r="L56" s="152" t="str">
        <f t="array" ref="L56">IFERROR(INDEX('Расчет грейда'!$I$19:$I$200,SMALL(IF('ТРС общая'!$B56='Расчет грейда'!$W$19:$W$200,ROW('Расчет грейда'!$I$19:$I$200)-18,""),ROW()-(ROW()-L$2))),"")</f>
        <v/>
      </c>
      <c r="M56" s="152" t="str">
        <f t="array" ref="M56">IFERROR(INDEX('Расчет грейда'!$I$19:$I$200,SMALL(IF('ТРС общая'!$B56='Расчет грейда'!$W$19:$W$200,ROW('Расчет грейда'!$I$19:$I$200)-18,""),ROW()-(ROW()-M$2))),"")</f>
        <v/>
      </c>
      <c r="N56" s="152" t="str">
        <f t="array" ref="N56">IFERROR(INDEX('Расчет грейда'!$I$19:$I$200,SMALL(IF('ТРС общая'!$B56='Расчет грейда'!$W$19:$W$200,ROW('Расчет грейда'!$I$19:$I$200)-18,""),ROW()-(ROW()-N$2))),"")</f>
        <v/>
      </c>
      <c r="O56" s="152" t="str">
        <f t="array" ref="O56">IFERROR(INDEX('Расчет грейда'!$I$19:$I$200,SMALL(IF('ТРС общая'!$B56='Расчет грейда'!$W$19:$W$200,ROW('Расчет грейда'!$I$19:$I$200)-18,""),ROW()-(ROW()-O$2))),"")</f>
        <v/>
      </c>
      <c r="P56" s="152" t="str">
        <f t="array" ref="P56">IFERROR(INDEX('Расчет грейда'!$I$19:$I$200,SMALL(IF('ТРС общая'!$B56='Расчет грейда'!$W$19:$W$200,ROW('Расчет грейда'!$I$19:$I$200)-18,""),ROW()-(ROW()-P$2))),"")</f>
        <v/>
      </c>
      <c r="Q56" s="152" t="str">
        <f t="array" ref="Q56">IFERROR(INDEX('Расчет грейда'!$I$19:$I$200,SMALL(IF('ТРС общая'!$B56='Расчет грейда'!$W$19:$W$200,ROW('Расчет грейда'!$I$19:$I$200)-18,""),ROW()-(ROW()-Q$2))),"")</f>
        <v/>
      </c>
      <c r="R56" s="152" t="str">
        <f t="array" ref="R56">IFERROR(INDEX('Расчет грейда'!$I$19:$I$200,SMALL(IF('ТРС общая'!$B56='Расчет грейда'!$W$19:$W$200,ROW('Расчет грейда'!$I$19:$I$200)-18,""),ROW()-(ROW()-R$2))),"")</f>
        <v/>
      </c>
      <c r="S56" s="152" t="str">
        <f t="array" ref="S56">IFERROR(INDEX('Расчет грейда'!$I$19:$I$200,SMALL(IF('ТРС общая'!$B56='Расчет грейда'!$W$19:$W$200,ROW('Расчет грейда'!$I$19:$I$200)-18,""),ROW()-(ROW()-S$2))),"")</f>
        <v/>
      </c>
      <c r="T56" s="152" t="str">
        <f t="array" ref="T56">IFERROR(INDEX('Расчет грейда'!$I$19:$I$200,SMALL(IF('ТРС общая'!$B56='Расчет грейда'!$W$19:$W$200,ROW('Расчет грейда'!$I$19:$I$200)-18,""),ROW()-(ROW()-T$2))),"")</f>
        <v/>
      </c>
      <c r="U56" s="152" t="str">
        <f t="array" ref="U56">IFERROR(INDEX('Расчет грейда'!$I$19:$I$200,SMALL(IF('ТРС общая'!$B56='Расчет грейда'!$W$19:$W$200,ROW('Расчет грейда'!$I$19:$I$200)-18,""),ROW()-(ROW()-U$2))),"")</f>
        <v/>
      </c>
      <c r="V56" s="152" t="str">
        <f t="array" ref="V56">IFERROR(INDEX('Расчет грейда'!$I$19:$I$200,SMALL(IF('ТРС общая'!$B56='Расчет грейда'!$W$19:$W$200,ROW('Расчет грейда'!$I$19:$I$200)-18,""),ROW()-(ROW()-V$2))),"")</f>
        <v/>
      </c>
      <c r="W56" s="152" t="str">
        <f t="array" ref="W56">IFERROR(INDEX('Расчет грейда'!$I$19:$I$200,SMALL(IF('ТРС общая'!$B56='Расчет грейда'!$W$19:$W$200,ROW('Расчет грейда'!$I$19:$I$200)-18,""),ROW()-(ROW()-W$2))),"")</f>
        <v/>
      </c>
      <c r="X56" s="152" t="str">
        <f t="array" ref="X56">IFERROR(INDEX('Расчет грейда'!$I$19:$I$200,SMALL(IF('ТРС общая'!$B56='Расчет грейда'!$W$19:$W$200,ROW('Расчет грейда'!$I$19:$I$200)-18,""),ROW()-(ROW()-X$2))),"")</f>
        <v/>
      </c>
      <c r="Y56" s="152" t="str">
        <f t="array" ref="Y56">IFERROR(INDEX('Расчет грейда'!$I$19:$I$200,SMALL(IF('ТРС общая'!$B56='Расчет грейда'!$W$19:$W$200,ROW('Расчет грейда'!$I$19:$I$200)-18,""),ROW()-(ROW()-Y$2))),"")</f>
        <v/>
      </c>
      <c r="Z56" s="152" t="str">
        <f t="array" ref="Z56">IFERROR(INDEX('Расчет грейда'!$I$19:$I$200,SMALL(IF('ТРС общая'!$B56='Расчет грейда'!$W$19:$W$200,ROW('Расчет грейда'!$I$19:$I$200)-18,""),ROW()-(ROW()-Z$2))),"")</f>
        <v/>
      </c>
      <c r="AA56" s="152" t="str">
        <f t="array" ref="AA56">IFERROR(INDEX('Расчет грейда'!$I$19:$I$200,SMALL(IF('ТРС общая'!$B56='Расчет грейда'!$W$19:$W$200,ROW('Расчет грейда'!$I$19:$I$200)-18,""),ROW()-(ROW()-AA$2))),"")</f>
        <v/>
      </c>
      <c r="AB56" s="152" t="str">
        <f t="array" ref="AB56">IFERROR(INDEX('Расчет грейда'!$I$19:$I$200,SMALL(IF('ТРС общая'!$B56='Расчет грейда'!$W$19:$W$200,ROW('Расчет грейда'!$I$19:$I$200)-18,""),ROW()-(ROW()-AB$2))),"")</f>
        <v/>
      </c>
      <c r="AC56" s="152" t="str">
        <f t="array" ref="AC56">IFERROR(INDEX('Расчет грейда'!$I$19:$I$200,SMALL(IF('ТРС общая'!$B56='Расчет грейда'!$W$19:$W$200,ROW('Расчет грейда'!$I$19:$I$200)-18,""),ROW()-(ROW()-AC$2))),"")</f>
        <v/>
      </c>
      <c r="AD56" s="152" t="str">
        <f t="array" ref="AD56">IFERROR(INDEX('Расчет грейда'!$I$19:$I$200,SMALL(IF('ТРС общая'!$B56='Расчет грейда'!$W$19:$W$200,ROW('Расчет грейда'!$I$19:$I$200)-18,""),ROW()-(ROW()-AD$2))),"")</f>
        <v/>
      </c>
      <c r="AE56" s="152" t="str">
        <f t="array" ref="AE56">IFERROR(INDEX('Расчет грейда'!$I$19:$I$200,SMALL(IF('ТРС общая'!$B56='Расчет грейда'!$W$19:$W$200,ROW('Расчет грейда'!$I$19:$I$200)-18,""),ROW()-(ROW()-AE$2))),"")</f>
        <v/>
      </c>
      <c r="AF56" s="152" t="str">
        <f t="array" ref="AF56">IFERROR(INDEX('Расчет грейда'!$I$19:$I$200,SMALL(IF('ТРС общая'!$B56='Расчет грейда'!$W$19:$W$200,ROW('Расчет грейда'!$I$19:$I$200)-18,""),ROW()-(ROW()-AF$2))),"")</f>
        <v/>
      </c>
      <c r="AG56" s="152" t="str">
        <f t="array" ref="AG56">IFERROR(INDEX('Расчет грейда'!$I$19:$I$200,SMALL(IF('ТРС общая'!$B56='Расчет грейда'!$W$19:$W$200,ROW('Расчет грейда'!$I$19:$I$200)-18,""),ROW()-(ROW()-AG$2))),"")</f>
        <v/>
      </c>
      <c r="AH56" s="152" t="str">
        <f t="array" ref="AH56">IFERROR(INDEX('Расчет грейда'!$I$19:$I$200,SMALL(IF('ТРС общая'!$B56='Расчет грейда'!$W$19:$W$200,ROW('Расчет грейда'!$I$19:$I$200)-18,""),ROW()-(ROW()-AH$2))),"")</f>
        <v/>
      </c>
      <c r="AI56" s="152" t="str">
        <f t="array" ref="AI56">IFERROR(INDEX('Расчет грейда'!$I$19:$I$200,SMALL(IF('ТРС общая'!$B56='Расчет грейда'!$W$19:$W$200,ROW('Расчет грейда'!$I$19:$I$200)-18,""),ROW()-(ROW()-AI$2))),"")</f>
        <v/>
      </c>
      <c r="AJ56" s="152" t="str">
        <f t="array" ref="AJ56">IFERROR(INDEX('Расчет грейда'!$I$19:$I$200,SMALL(IF('ТРС общая'!$B56='Расчет грейда'!$W$19:$W$200,ROW('Расчет грейда'!$I$19:$I$200)-18,""),ROW()-(ROW()-AJ$2))),"")</f>
        <v/>
      </c>
      <c r="AK56" s="152" t="str">
        <f t="array" ref="AK56">IFERROR(INDEX('Расчет грейда'!$I$19:$I$200,SMALL(IF('ТРС общая'!$B56='Расчет грейда'!$W$19:$W$200,ROW('Расчет грейда'!$I$19:$I$200)-18,""),ROW()-(ROW()-AK$2))),"")</f>
        <v/>
      </c>
      <c r="AL56" s="152" t="str">
        <f t="array" ref="AL56">IFERROR(INDEX('Расчет грейда'!$I$19:$I$200,SMALL(IF('ТРС общая'!$B56='Расчет грейда'!$W$19:$W$200,ROW('Расчет грейда'!$I$19:$I$200)-18,""),ROW()-(ROW()-AL$2))),"")</f>
        <v/>
      </c>
      <c r="AM56" s="152" t="str">
        <f t="array" ref="AM56">IFERROR(INDEX('Расчет грейда'!$I$19:$I$200,SMALL(IF('ТРС общая'!$B56='Расчет грейда'!$W$19:$W$200,ROW('Расчет грейда'!$I$19:$I$200)-18,""),ROW()-(ROW()-AM$2))),"")</f>
        <v/>
      </c>
      <c r="AN56" s="152" t="str">
        <f t="array" ref="AN56">IFERROR(INDEX('Расчет грейда'!$I$19:$I$200,SMALL(IF('ТРС общая'!$B56='Расчет грейда'!$W$19:$W$200,ROW('Расчет грейда'!$I$19:$I$200)-18,""),ROW()-(ROW()-AN$2))),"")</f>
        <v/>
      </c>
      <c r="AO56" s="152" t="str">
        <f t="array" ref="AO56">IFERROR(INDEX('Расчет грейда'!$I$19:$I$200,SMALL(IF('ТРС общая'!$B56='Расчет грейда'!$W$19:$W$200,ROW('Расчет грейда'!$I$19:$I$200)-18,""),ROW()-(ROW()-AO$2))),"")</f>
        <v/>
      </c>
    </row>
    <row r="57" spans="2:41" s="124" customFormat="1" ht="101.5" customHeight="1" x14ac:dyDescent="0.55000000000000004">
      <c r="B57" s="158">
        <v>4</v>
      </c>
      <c r="C57" s="159">
        <f>COUNTIF('Расчет грейда'!$W:$W,'ТРС общая'!$B57)</f>
        <v>0</v>
      </c>
      <c r="D57" s="152" t="str">
        <f t="array" ref="D57">IFERROR(INDEX('Расчет грейда'!$I$19:$I$200,SMALL(IF('ТРС общая'!$B57='Расчет грейда'!$W$19:$W$200,ROW('Расчет грейда'!$I$19:$I$200)-18,""),ROW()-(ROW()-D$2))),"")</f>
        <v/>
      </c>
      <c r="E57" s="152" t="str">
        <f t="array" ref="E57">IFERROR(INDEX('Расчет грейда'!$I$19:$I$200,SMALL(IF('ТРС общая'!$B57='Расчет грейда'!$W$19:$W$200,ROW('Расчет грейда'!$I$19:$I$200)-18,""),ROW()-(ROW()-E$2))),"")</f>
        <v/>
      </c>
      <c r="F57" s="152" t="str">
        <f t="array" ref="F57">IFERROR(INDEX('Расчет грейда'!$I$19:$I$200,SMALL(IF('ТРС общая'!$B57='Расчет грейда'!$W$19:$W$200,ROW('Расчет грейда'!$I$19:$I$200)-18,""),ROW()-(ROW()-F$2))),"")</f>
        <v/>
      </c>
      <c r="G57" s="152" t="str">
        <f t="array" ref="G57">IFERROR(INDEX('Расчет грейда'!$I$19:$I$200,SMALL(IF('ТРС общая'!$B57='Расчет грейда'!$W$19:$W$200,ROW('Расчет грейда'!$I$19:$I$200)-18,""),ROW()-(ROW()-G$2))),"")</f>
        <v/>
      </c>
      <c r="H57" s="152" t="str">
        <f t="array" ref="H57">IFERROR(INDEX('Расчет грейда'!$I$19:$I$200,SMALL(IF('ТРС общая'!$B57='Расчет грейда'!$W$19:$W$200,ROW('Расчет грейда'!$I$19:$I$200)-18,""),ROW()-(ROW()-H$2))),"")</f>
        <v/>
      </c>
      <c r="I57" s="152" t="str">
        <f t="array" ref="I57">IFERROR(INDEX('Расчет грейда'!$I$19:$I$200,SMALL(IF('ТРС общая'!$B57='Расчет грейда'!$W$19:$W$200,ROW('Расчет грейда'!$I$19:$I$200)-18,""),ROW()-(ROW()-I$2))),"")</f>
        <v/>
      </c>
      <c r="J57" s="152" t="str">
        <f t="array" ref="J57">IFERROR(INDEX('Расчет грейда'!$I$19:$I$200,SMALL(IF('ТРС общая'!$B57='Расчет грейда'!$W$19:$W$200,ROW('Расчет грейда'!$I$19:$I$200)-18,""),ROW()-(ROW()-J$2))),"")</f>
        <v/>
      </c>
      <c r="K57" s="152" t="str">
        <f t="array" ref="K57">IFERROR(INDEX('Расчет грейда'!$I$19:$I$200,SMALL(IF('ТРС общая'!$B57='Расчет грейда'!$W$19:$W$200,ROW('Расчет грейда'!$I$19:$I$200)-18,""),ROW()-(ROW()-K$2))),"")</f>
        <v/>
      </c>
      <c r="L57" s="152" t="str">
        <f t="array" ref="L57">IFERROR(INDEX('Расчет грейда'!$I$19:$I$200,SMALL(IF('ТРС общая'!$B57='Расчет грейда'!$W$19:$W$200,ROW('Расчет грейда'!$I$19:$I$200)-18,""),ROW()-(ROW()-L$2))),"")</f>
        <v/>
      </c>
      <c r="M57" s="152" t="str">
        <f t="array" ref="M57">IFERROR(INDEX('Расчет грейда'!$I$19:$I$200,SMALL(IF('ТРС общая'!$B57='Расчет грейда'!$W$19:$W$200,ROW('Расчет грейда'!$I$19:$I$200)-18,""),ROW()-(ROW()-M$2))),"")</f>
        <v/>
      </c>
      <c r="N57" s="152" t="str">
        <f t="array" ref="N57">IFERROR(INDEX('Расчет грейда'!$I$19:$I$200,SMALL(IF('ТРС общая'!$B57='Расчет грейда'!$W$19:$W$200,ROW('Расчет грейда'!$I$19:$I$200)-18,""),ROW()-(ROW()-N$2))),"")</f>
        <v/>
      </c>
      <c r="O57" s="152" t="str">
        <f t="array" ref="O57">IFERROR(INDEX('Расчет грейда'!$I$19:$I$200,SMALL(IF('ТРС общая'!$B57='Расчет грейда'!$W$19:$W$200,ROW('Расчет грейда'!$I$19:$I$200)-18,""),ROW()-(ROW()-O$2))),"")</f>
        <v/>
      </c>
      <c r="P57" s="152" t="str">
        <f t="array" ref="P57">IFERROR(INDEX('Расчет грейда'!$I$19:$I$200,SMALL(IF('ТРС общая'!$B57='Расчет грейда'!$W$19:$W$200,ROW('Расчет грейда'!$I$19:$I$200)-18,""),ROW()-(ROW()-P$2))),"")</f>
        <v/>
      </c>
      <c r="Q57" s="152" t="str">
        <f t="array" ref="Q57">IFERROR(INDEX('Расчет грейда'!$I$19:$I$200,SMALL(IF('ТРС общая'!$B57='Расчет грейда'!$W$19:$W$200,ROW('Расчет грейда'!$I$19:$I$200)-18,""),ROW()-(ROW()-Q$2))),"")</f>
        <v/>
      </c>
      <c r="R57" s="152" t="str">
        <f t="array" ref="R57">IFERROR(INDEX('Расчет грейда'!$I$19:$I$200,SMALL(IF('ТРС общая'!$B57='Расчет грейда'!$W$19:$W$200,ROW('Расчет грейда'!$I$19:$I$200)-18,""),ROW()-(ROW()-R$2))),"")</f>
        <v/>
      </c>
      <c r="S57" s="152" t="str">
        <f t="array" ref="S57">IFERROR(INDEX('Расчет грейда'!$I$19:$I$200,SMALL(IF('ТРС общая'!$B57='Расчет грейда'!$W$19:$W$200,ROW('Расчет грейда'!$I$19:$I$200)-18,""),ROW()-(ROW()-S$2))),"")</f>
        <v/>
      </c>
      <c r="T57" s="152" t="str">
        <f t="array" ref="T57">IFERROR(INDEX('Расчет грейда'!$I$19:$I$200,SMALL(IF('ТРС общая'!$B57='Расчет грейда'!$W$19:$W$200,ROW('Расчет грейда'!$I$19:$I$200)-18,""),ROW()-(ROW()-T$2))),"")</f>
        <v/>
      </c>
      <c r="U57" s="152" t="str">
        <f t="array" ref="U57">IFERROR(INDEX('Расчет грейда'!$I$19:$I$200,SMALL(IF('ТРС общая'!$B57='Расчет грейда'!$W$19:$W$200,ROW('Расчет грейда'!$I$19:$I$200)-18,""),ROW()-(ROW()-U$2))),"")</f>
        <v/>
      </c>
      <c r="V57" s="152" t="str">
        <f t="array" ref="V57">IFERROR(INDEX('Расчет грейда'!$I$19:$I$200,SMALL(IF('ТРС общая'!$B57='Расчет грейда'!$W$19:$W$200,ROW('Расчет грейда'!$I$19:$I$200)-18,""),ROW()-(ROW()-V$2))),"")</f>
        <v/>
      </c>
      <c r="W57" s="152" t="str">
        <f t="array" ref="W57">IFERROR(INDEX('Расчет грейда'!$I$19:$I$200,SMALL(IF('ТРС общая'!$B57='Расчет грейда'!$W$19:$W$200,ROW('Расчет грейда'!$I$19:$I$200)-18,""),ROW()-(ROW()-W$2))),"")</f>
        <v/>
      </c>
      <c r="X57" s="152" t="str">
        <f t="array" ref="X57">IFERROR(INDEX('Расчет грейда'!$I$19:$I$200,SMALL(IF('ТРС общая'!$B57='Расчет грейда'!$W$19:$W$200,ROW('Расчет грейда'!$I$19:$I$200)-18,""),ROW()-(ROW()-X$2))),"")</f>
        <v/>
      </c>
      <c r="Y57" s="152" t="str">
        <f t="array" ref="Y57">IFERROR(INDEX('Расчет грейда'!$I$19:$I$200,SMALL(IF('ТРС общая'!$B57='Расчет грейда'!$W$19:$W$200,ROW('Расчет грейда'!$I$19:$I$200)-18,""),ROW()-(ROW()-Y$2))),"")</f>
        <v/>
      </c>
      <c r="Z57" s="152" t="str">
        <f t="array" ref="Z57">IFERROR(INDEX('Расчет грейда'!$I$19:$I$200,SMALL(IF('ТРС общая'!$B57='Расчет грейда'!$W$19:$W$200,ROW('Расчет грейда'!$I$19:$I$200)-18,""),ROW()-(ROW()-Z$2))),"")</f>
        <v/>
      </c>
      <c r="AA57" s="152" t="str">
        <f t="array" ref="AA57">IFERROR(INDEX('Расчет грейда'!$I$19:$I$200,SMALL(IF('ТРС общая'!$B57='Расчет грейда'!$W$19:$W$200,ROW('Расчет грейда'!$I$19:$I$200)-18,""),ROW()-(ROW()-AA$2))),"")</f>
        <v/>
      </c>
      <c r="AB57" s="152" t="str">
        <f t="array" ref="AB57">IFERROR(INDEX('Расчет грейда'!$I$19:$I$200,SMALL(IF('ТРС общая'!$B57='Расчет грейда'!$W$19:$W$200,ROW('Расчет грейда'!$I$19:$I$200)-18,""),ROW()-(ROW()-AB$2))),"")</f>
        <v/>
      </c>
      <c r="AC57" s="152" t="str">
        <f t="array" ref="AC57">IFERROR(INDEX('Расчет грейда'!$I$19:$I$200,SMALL(IF('ТРС общая'!$B57='Расчет грейда'!$W$19:$W$200,ROW('Расчет грейда'!$I$19:$I$200)-18,""),ROW()-(ROW()-AC$2))),"")</f>
        <v/>
      </c>
      <c r="AD57" s="152" t="str">
        <f t="array" ref="AD57">IFERROR(INDEX('Расчет грейда'!$I$19:$I$200,SMALL(IF('ТРС общая'!$B57='Расчет грейда'!$W$19:$W$200,ROW('Расчет грейда'!$I$19:$I$200)-18,""),ROW()-(ROW()-AD$2))),"")</f>
        <v/>
      </c>
      <c r="AE57" s="152" t="str">
        <f t="array" ref="AE57">IFERROR(INDEX('Расчет грейда'!$I$19:$I$200,SMALL(IF('ТРС общая'!$B57='Расчет грейда'!$W$19:$W$200,ROW('Расчет грейда'!$I$19:$I$200)-18,""),ROW()-(ROW()-AE$2))),"")</f>
        <v/>
      </c>
      <c r="AF57" s="152" t="str">
        <f t="array" ref="AF57">IFERROR(INDEX('Расчет грейда'!$I$19:$I$200,SMALL(IF('ТРС общая'!$B57='Расчет грейда'!$W$19:$W$200,ROW('Расчет грейда'!$I$19:$I$200)-18,""),ROW()-(ROW()-AF$2))),"")</f>
        <v/>
      </c>
      <c r="AG57" s="152" t="str">
        <f t="array" ref="AG57">IFERROR(INDEX('Расчет грейда'!$I$19:$I$200,SMALL(IF('ТРС общая'!$B57='Расчет грейда'!$W$19:$W$200,ROW('Расчет грейда'!$I$19:$I$200)-18,""),ROW()-(ROW()-AG$2))),"")</f>
        <v/>
      </c>
      <c r="AH57" s="152" t="str">
        <f t="array" ref="AH57">IFERROR(INDEX('Расчет грейда'!$I$19:$I$200,SMALL(IF('ТРС общая'!$B57='Расчет грейда'!$W$19:$W$200,ROW('Расчет грейда'!$I$19:$I$200)-18,""),ROW()-(ROW()-AH$2))),"")</f>
        <v/>
      </c>
      <c r="AI57" s="152" t="str">
        <f t="array" ref="AI57">IFERROR(INDEX('Расчет грейда'!$I$19:$I$200,SMALL(IF('ТРС общая'!$B57='Расчет грейда'!$W$19:$W$200,ROW('Расчет грейда'!$I$19:$I$200)-18,""),ROW()-(ROW()-AI$2))),"")</f>
        <v/>
      </c>
      <c r="AJ57" s="152" t="str">
        <f t="array" ref="AJ57">IFERROR(INDEX('Расчет грейда'!$I$19:$I$200,SMALL(IF('ТРС общая'!$B57='Расчет грейда'!$W$19:$W$200,ROW('Расчет грейда'!$I$19:$I$200)-18,""),ROW()-(ROW()-AJ$2))),"")</f>
        <v/>
      </c>
      <c r="AK57" s="152" t="str">
        <f t="array" ref="AK57">IFERROR(INDEX('Расчет грейда'!$I$19:$I$200,SMALL(IF('ТРС общая'!$B57='Расчет грейда'!$W$19:$W$200,ROW('Расчет грейда'!$I$19:$I$200)-18,""),ROW()-(ROW()-AK$2))),"")</f>
        <v/>
      </c>
      <c r="AL57" s="152" t="str">
        <f t="array" ref="AL57">IFERROR(INDEX('Расчет грейда'!$I$19:$I$200,SMALL(IF('ТРС общая'!$B57='Расчет грейда'!$W$19:$W$200,ROW('Расчет грейда'!$I$19:$I$200)-18,""),ROW()-(ROW()-AL$2))),"")</f>
        <v/>
      </c>
      <c r="AM57" s="152" t="str">
        <f t="array" ref="AM57">IFERROR(INDEX('Расчет грейда'!$I$19:$I$200,SMALL(IF('ТРС общая'!$B57='Расчет грейда'!$W$19:$W$200,ROW('Расчет грейда'!$I$19:$I$200)-18,""),ROW()-(ROW()-AM$2))),"")</f>
        <v/>
      </c>
      <c r="AN57" s="152" t="str">
        <f t="array" ref="AN57">IFERROR(INDEX('Расчет грейда'!$I$19:$I$200,SMALL(IF('ТРС общая'!$B57='Расчет грейда'!$W$19:$W$200,ROW('Расчет грейда'!$I$19:$I$200)-18,""),ROW()-(ROW()-AN$2))),"")</f>
        <v/>
      </c>
      <c r="AO57" s="152" t="str">
        <f t="array" ref="AO57">IFERROR(INDEX('Расчет грейда'!$I$19:$I$200,SMALL(IF('ТРС общая'!$B57='Расчет грейда'!$W$19:$W$200,ROW('Расчет грейда'!$I$19:$I$200)-18,""),ROW()-(ROW()-AO$2))),"")</f>
        <v/>
      </c>
    </row>
    <row r="58" spans="2:41" s="124" customFormat="1" ht="101.5" customHeight="1" x14ac:dyDescent="0.55000000000000004">
      <c r="B58" s="158">
        <v>3</v>
      </c>
      <c r="C58" s="159">
        <f>COUNTIF('Расчет грейда'!$W:$W,'ТРС общая'!$B58)</f>
        <v>0</v>
      </c>
      <c r="D58" s="152" t="str">
        <f t="array" ref="D58">IFERROR(INDEX('Расчет грейда'!$I$19:$I$200,SMALL(IF('ТРС общая'!$B58='Расчет грейда'!$W$19:$W$200,ROW('Расчет грейда'!$I$19:$I$200)-18,""),ROW()-(ROW()-D$2))),"")</f>
        <v/>
      </c>
      <c r="E58" s="152" t="str">
        <f t="array" ref="E58">IFERROR(INDEX('Расчет грейда'!$I$19:$I$200,SMALL(IF('ТРС общая'!$B58='Расчет грейда'!$W$19:$W$200,ROW('Расчет грейда'!$I$19:$I$200)-18,""),ROW()-(ROW()-E$2))),"")</f>
        <v/>
      </c>
      <c r="F58" s="152" t="str">
        <f t="array" ref="F58">IFERROR(INDEX('Расчет грейда'!$I$19:$I$200,SMALL(IF('ТРС общая'!$B58='Расчет грейда'!$W$19:$W$200,ROW('Расчет грейда'!$I$19:$I$200)-18,""),ROW()-(ROW()-F$2))),"")</f>
        <v/>
      </c>
      <c r="G58" s="152" t="str">
        <f t="array" ref="G58">IFERROR(INDEX('Расчет грейда'!$I$19:$I$200,SMALL(IF('ТРС общая'!$B58='Расчет грейда'!$W$19:$W$200,ROW('Расчет грейда'!$I$19:$I$200)-18,""),ROW()-(ROW()-G$2))),"")</f>
        <v/>
      </c>
      <c r="H58" s="152" t="str">
        <f t="array" ref="H58">IFERROR(INDEX('Расчет грейда'!$I$19:$I$200,SMALL(IF('ТРС общая'!$B58='Расчет грейда'!$W$19:$W$200,ROW('Расчет грейда'!$I$19:$I$200)-18,""),ROW()-(ROW()-H$2))),"")</f>
        <v/>
      </c>
      <c r="I58" s="152" t="str">
        <f t="array" ref="I58">IFERROR(INDEX('Расчет грейда'!$I$19:$I$200,SMALL(IF('ТРС общая'!$B58='Расчет грейда'!$W$19:$W$200,ROW('Расчет грейда'!$I$19:$I$200)-18,""),ROW()-(ROW()-I$2))),"")</f>
        <v/>
      </c>
      <c r="J58" s="152" t="str">
        <f t="array" ref="J58">IFERROR(INDEX('Расчет грейда'!$I$19:$I$200,SMALL(IF('ТРС общая'!$B58='Расчет грейда'!$W$19:$W$200,ROW('Расчет грейда'!$I$19:$I$200)-18,""),ROW()-(ROW()-J$2))),"")</f>
        <v/>
      </c>
      <c r="K58" s="152" t="str">
        <f t="array" ref="K58">IFERROR(INDEX('Расчет грейда'!$I$19:$I$200,SMALL(IF('ТРС общая'!$B58='Расчет грейда'!$W$19:$W$200,ROW('Расчет грейда'!$I$19:$I$200)-18,""),ROW()-(ROW()-K$2))),"")</f>
        <v/>
      </c>
      <c r="L58" s="152" t="str">
        <f t="array" ref="L58">IFERROR(INDEX('Расчет грейда'!$I$19:$I$200,SMALL(IF('ТРС общая'!$B58='Расчет грейда'!$W$19:$W$200,ROW('Расчет грейда'!$I$19:$I$200)-18,""),ROW()-(ROW()-L$2))),"")</f>
        <v/>
      </c>
      <c r="M58" s="152" t="str">
        <f t="array" ref="M58">IFERROR(INDEX('Расчет грейда'!$I$19:$I$200,SMALL(IF('ТРС общая'!$B58='Расчет грейда'!$W$19:$W$200,ROW('Расчет грейда'!$I$19:$I$200)-18,""),ROW()-(ROW()-M$2))),"")</f>
        <v/>
      </c>
      <c r="N58" s="152" t="str">
        <f t="array" ref="N58">IFERROR(INDEX('Расчет грейда'!$I$19:$I$200,SMALL(IF('ТРС общая'!$B58='Расчет грейда'!$W$19:$W$200,ROW('Расчет грейда'!$I$19:$I$200)-18,""),ROW()-(ROW()-N$2))),"")</f>
        <v/>
      </c>
      <c r="O58" s="152" t="str">
        <f t="array" ref="O58">IFERROR(INDEX('Расчет грейда'!$I$19:$I$200,SMALL(IF('ТРС общая'!$B58='Расчет грейда'!$W$19:$W$200,ROW('Расчет грейда'!$I$19:$I$200)-18,""),ROW()-(ROW()-O$2))),"")</f>
        <v/>
      </c>
      <c r="P58" s="152" t="str">
        <f t="array" ref="P58">IFERROR(INDEX('Расчет грейда'!$I$19:$I$200,SMALL(IF('ТРС общая'!$B58='Расчет грейда'!$W$19:$W$200,ROW('Расчет грейда'!$I$19:$I$200)-18,""),ROW()-(ROW()-P$2))),"")</f>
        <v/>
      </c>
      <c r="Q58" s="152" t="str">
        <f t="array" ref="Q58">IFERROR(INDEX('Расчет грейда'!$I$19:$I$200,SMALL(IF('ТРС общая'!$B58='Расчет грейда'!$W$19:$W$200,ROW('Расчет грейда'!$I$19:$I$200)-18,""),ROW()-(ROW()-Q$2))),"")</f>
        <v/>
      </c>
      <c r="R58" s="152" t="str">
        <f t="array" ref="R58">IFERROR(INDEX('Расчет грейда'!$I$19:$I$200,SMALL(IF('ТРС общая'!$B58='Расчет грейда'!$W$19:$W$200,ROW('Расчет грейда'!$I$19:$I$200)-18,""),ROW()-(ROW()-R$2))),"")</f>
        <v/>
      </c>
      <c r="S58" s="152" t="str">
        <f t="array" ref="S58">IFERROR(INDEX('Расчет грейда'!$I$19:$I$200,SMALL(IF('ТРС общая'!$B58='Расчет грейда'!$W$19:$W$200,ROW('Расчет грейда'!$I$19:$I$200)-18,""),ROW()-(ROW()-S$2))),"")</f>
        <v/>
      </c>
      <c r="T58" s="152" t="str">
        <f t="array" ref="T58">IFERROR(INDEX('Расчет грейда'!$I$19:$I$200,SMALL(IF('ТРС общая'!$B58='Расчет грейда'!$W$19:$W$200,ROW('Расчет грейда'!$I$19:$I$200)-18,""),ROW()-(ROW()-T$2))),"")</f>
        <v/>
      </c>
      <c r="U58" s="152" t="str">
        <f t="array" ref="U58">IFERROR(INDEX('Расчет грейда'!$I$19:$I$200,SMALL(IF('ТРС общая'!$B58='Расчет грейда'!$W$19:$W$200,ROW('Расчет грейда'!$I$19:$I$200)-18,""),ROW()-(ROW()-U$2))),"")</f>
        <v/>
      </c>
      <c r="V58" s="152" t="str">
        <f t="array" ref="V58">IFERROR(INDEX('Расчет грейда'!$I$19:$I$200,SMALL(IF('ТРС общая'!$B58='Расчет грейда'!$W$19:$W$200,ROW('Расчет грейда'!$I$19:$I$200)-18,""),ROW()-(ROW()-V$2))),"")</f>
        <v/>
      </c>
      <c r="W58" s="152" t="str">
        <f t="array" ref="W58">IFERROR(INDEX('Расчет грейда'!$I$19:$I$200,SMALL(IF('ТРС общая'!$B58='Расчет грейда'!$W$19:$W$200,ROW('Расчет грейда'!$I$19:$I$200)-18,""),ROW()-(ROW()-W$2))),"")</f>
        <v/>
      </c>
      <c r="X58" s="152" t="str">
        <f t="array" ref="X58">IFERROR(INDEX('Расчет грейда'!$I$19:$I$200,SMALL(IF('ТРС общая'!$B58='Расчет грейда'!$W$19:$W$200,ROW('Расчет грейда'!$I$19:$I$200)-18,""),ROW()-(ROW()-X$2))),"")</f>
        <v/>
      </c>
      <c r="Y58" s="152" t="str">
        <f t="array" ref="Y58">IFERROR(INDEX('Расчет грейда'!$I$19:$I$200,SMALL(IF('ТРС общая'!$B58='Расчет грейда'!$W$19:$W$200,ROW('Расчет грейда'!$I$19:$I$200)-18,""),ROW()-(ROW()-Y$2))),"")</f>
        <v/>
      </c>
      <c r="Z58" s="152" t="str">
        <f t="array" ref="Z58">IFERROR(INDEX('Расчет грейда'!$I$19:$I$200,SMALL(IF('ТРС общая'!$B58='Расчет грейда'!$W$19:$W$200,ROW('Расчет грейда'!$I$19:$I$200)-18,""),ROW()-(ROW()-Z$2))),"")</f>
        <v/>
      </c>
      <c r="AA58" s="152" t="str">
        <f t="array" ref="AA58">IFERROR(INDEX('Расчет грейда'!$I$19:$I$200,SMALL(IF('ТРС общая'!$B58='Расчет грейда'!$W$19:$W$200,ROW('Расчет грейда'!$I$19:$I$200)-18,""),ROW()-(ROW()-AA$2))),"")</f>
        <v/>
      </c>
      <c r="AB58" s="152" t="str">
        <f t="array" ref="AB58">IFERROR(INDEX('Расчет грейда'!$I$19:$I$200,SMALL(IF('ТРС общая'!$B58='Расчет грейда'!$W$19:$W$200,ROW('Расчет грейда'!$I$19:$I$200)-18,""),ROW()-(ROW()-AB$2))),"")</f>
        <v/>
      </c>
      <c r="AC58" s="152" t="str">
        <f t="array" ref="AC58">IFERROR(INDEX('Расчет грейда'!$I$19:$I$200,SMALL(IF('ТРС общая'!$B58='Расчет грейда'!$W$19:$W$200,ROW('Расчет грейда'!$I$19:$I$200)-18,""),ROW()-(ROW()-AC$2))),"")</f>
        <v/>
      </c>
      <c r="AD58" s="152" t="str">
        <f t="array" ref="AD58">IFERROR(INDEX('Расчет грейда'!$I$19:$I$200,SMALL(IF('ТРС общая'!$B58='Расчет грейда'!$W$19:$W$200,ROW('Расчет грейда'!$I$19:$I$200)-18,""),ROW()-(ROW()-AD$2))),"")</f>
        <v/>
      </c>
      <c r="AE58" s="152" t="str">
        <f t="array" ref="AE58">IFERROR(INDEX('Расчет грейда'!$I$19:$I$200,SMALL(IF('ТРС общая'!$B58='Расчет грейда'!$W$19:$W$200,ROW('Расчет грейда'!$I$19:$I$200)-18,""),ROW()-(ROW()-AE$2))),"")</f>
        <v/>
      </c>
      <c r="AF58" s="152" t="str">
        <f t="array" ref="AF58">IFERROR(INDEX('Расчет грейда'!$I$19:$I$200,SMALL(IF('ТРС общая'!$B58='Расчет грейда'!$W$19:$W$200,ROW('Расчет грейда'!$I$19:$I$200)-18,""),ROW()-(ROW()-AF$2))),"")</f>
        <v/>
      </c>
      <c r="AG58" s="152" t="str">
        <f t="array" ref="AG58">IFERROR(INDEX('Расчет грейда'!$I$19:$I$200,SMALL(IF('ТРС общая'!$B58='Расчет грейда'!$W$19:$W$200,ROW('Расчет грейда'!$I$19:$I$200)-18,""),ROW()-(ROW()-AG$2))),"")</f>
        <v/>
      </c>
      <c r="AH58" s="152" t="str">
        <f t="array" ref="AH58">IFERROR(INDEX('Расчет грейда'!$I$19:$I$200,SMALL(IF('ТРС общая'!$B58='Расчет грейда'!$W$19:$W$200,ROW('Расчет грейда'!$I$19:$I$200)-18,""),ROW()-(ROW()-AH$2))),"")</f>
        <v/>
      </c>
      <c r="AI58" s="152" t="str">
        <f t="array" ref="AI58">IFERROR(INDEX('Расчет грейда'!$I$19:$I$200,SMALL(IF('ТРС общая'!$B58='Расчет грейда'!$W$19:$W$200,ROW('Расчет грейда'!$I$19:$I$200)-18,""),ROW()-(ROW()-AI$2))),"")</f>
        <v/>
      </c>
      <c r="AJ58" s="152" t="str">
        <f t="array" ref="AJ58">IFERROR(INDEX('Расчет грейда'!$I$19:$I$200,SMALL(IF('ТРС общая'!$B58='Расчет грейда'!$W$19:$W$200,ROW('Расчет грейда'!$I$19:$I$200)-18,""),ROW()-(ROW()-AJ$2))),"")</f>
        <v/>
      </c>
      <c r="AK58" s="152" t="str">
        <f t="array" ref="AK58">IFERROR(INDEX('Расчет грейда'!$I$19:$I$200,SMALL(IF('ТРС общая'!$B58='Расчет грейда'!$W$19:$W$200,ROW('Расчет грейда'!$I$19:$I$200)-18,""),ROW()-(ROW()-AK$2))),"")</f>
        <v/>
      </c>
      <c r="AL58" s="152" t="str">
        <f t="array" ref="AL58">IFERROR(INDEX('Расчет грейда'!$I$19:$I$200,SMALL(IF('ТРС общая'!$B58='Расчет грейда'!$W$19:$W$200,ROW('Расчет грейда'!$I$19:$I$200)-18,""),ROW()-(ROW()-AL$2))),"")</f>
        <v/>
      </c>
      <c r="AM58" s="152" t="str">
        <f t="array" ref="AM58">IFERROR(INDEX('Расчет грейда'!$I$19:$I$200,SMALL(IF('ТРС общая'!$B58='Расчет грейда'!$W$19:$W$200,ROW('Расчет грейда'!$I$19:$I$200)-18,""),ROW()-(ROW()-AM$2))),"")</f>
        <v/>
      </c>
      <c r="AN58" s="152" t="str">
        <f t="array" ref="AN58">IFERROR(INDEX('Расчет грейда'!$I$19:$I$200,SMALL(IF('ТРС общая'!$B58='Расчет грейда'!$W$19:$W$200,ROW('Расчет грейда'!$I$19:$I$200)-18,""),ROW()-(ROW()-AN$2))),"")</f>
        <v/>
      </c>
      <c r="AO58" s="152" t="str">
        <f t="array" ref="AO58">IFERROR(INDEX('Расчет грейда'!$I$19:$I$200,SMALL(IF('ТРС общая'!$B58='Расчет грейда'!$W$19:$W$200,ROW('Расчет грейда'!$I$19:$I$200)-18,""),ROW()-(ROW()-AO$2))),"")</f>
        <v/>
      </c>
    </row>
    <row r="59" spans="2:41" s="124" customFormat="1" ht="101.5" customHeight="1" x14ac:dyDescent="0.55000000000000004">
      <c r="B59" s="158">
        <v>2</v>
      </c>
      <c r="C59" s="159">
        <f>COUNTIF('Расчет грейда'!$W:$W,'ТРС общая'!$B59)</f>
        <v>0</v>
      </c>
      <c r="D59" s="152" t="str">
        <f t="array" ref="D59">IFERROR(INDEX('Расчет грейда'!$I$19:$I$200,SMALL(IF('ТРС общая'!$B59='Расчет грейда'!$W$19:$W$200,ROW('Расчет грейда'!$I$19:$I$200)-18,""),ROW()-(ROW()-D$2))),"")</f>
        <v/>
      </c>
      <c r="E59" s="152" t="str">
        <f t="array" ref="E59">IFERROR(INDEX('Расчет грейда'!$I$19:$I$200,SMALL(IF('ТРС общая'!$B59='Расчет грейда'!$W$19:$W$200,ROW('Расчет грейда'!$I$19:$I$200)-18,""),ROW()-(ROW()-E$2))),"")</f>
        <v/>
      </c>
      <c r="F59" s="152" t="str">
        <f t="array" ref="F59">IFERROR(INDEX('Расчет грейда'!$I$19:$I$200,SMALL(IF('ТРС общая'!$B59='Расчет грейда'!$W$19:$W$200,ROW('Расчет грейда'!$I$19:$I$200)-18,""),ROW()-(ROW()-F$2))),"")</f>
        <v/>
      </c>
      <c r="G59" s="152" t="str">
        <f t="array" ref="G59">IFERROR(INDEX('Расчет грейда'!$I$19:$I$200,SMALL(IF('ТРС общая'!$B59='Расчет грейда'!$W$19:$W$200,ROW('Расчет грейда'!$I$19:$I$200)-18,""),ROW()-(ROW()-G$2))),"")</f>
        <v/>
      </c>
      <c r="H59" s="152" t="str">
        <f t="array" ref="H59">IFERROR(INDEX('Расчет грейда'!$I$19:$I$200,SMALL(IF('ТРС общая'!$B59='Расчет грейда'!$W$19:$W$200,ROW('Расчет грейда'!$I$19:$I$200)-18,""),ROW()-(ROW()-H$2))),"")</f>
        <v/>
      </c>
      <c r="I59" s="152" t="str">
        <f t="array" ref="I59">IFERROR(INDEX('Расчет грейда'!$I$19:$I$200,SMALL(IF('ТРС общая'!$B59='Расчет грейда'!$W$19:$W$200,ROW('Расчет грейда'!$I$19:$I$200)-18,""),ROW()-(ROW()-I$2))),"")</f>
        <v/>
      </c>
      <c r="J59" s="152" t="str">
        <f t="array" ref="J59">IFERROR(INDEX('Расчет грейда'!$I$19:$I$200,SMALL(IF('ТРС общая'!$B59='Расчет грейда'!$W$19:$W$200,ROW('Расчет грейда'!$I$19:$I$200)-18,""),ROW()-(ROW()-J$2))),"")</f>
        <v/>
      </c>
      <c r="K59" s="152" t="str">
        <f t="array" ref="K59">IFERROR(INDEX('Расчет грейда'!$I$19:$I$200,SMALL(IF('ТРС общая'!$B59='Расчет грейда'!$W$19:$W$200,ROW('Расчет грейда'!$I$19:$I$200)-18,""),ROW()-(ROW()-K$2))),"")</f>
        <v/>
      </c>
      <c r="L59" s="152" t="str">
        <f t="array" ref="L59">IFERROR(INDEX('Расчет грейда'!$I$19:$I$200,SMALL(IF('ТРС общая'!$B59='Расчет грейда'!$W$19:$W$200,ROW('Расчет грейда'!$I$19:$I$200)-18,""),ROW()-(ROW()-L$2))),"")</f>
        <v/>
      </c>
      <c r="M59" s="152" t="str">
        <f t="array" ref="M59">IFERROR(INDEX('Расчет грейда'!$I$19:$I$200,SMALL(IF('ТРС общая'!$B59='Расчет грейда'!$W$19:$W$200,ROW('Расчет грейда'!$I$19:$I$200)-18,""),ROW()-(ROW()-M$2))),"")</f>
        <v/>
      </c>
      <c r="N59" s="152" t="str">
        <f t="array" ref="N59">IFERROR(INDEX('Расчет грейда'!$I$19:$I$200,SMALL(IF('ТРС общая'!$B59='Расчет грейда'!$W$19:$W$200,ROW('Расчет грейда'!$I$19:$I$200)-18,""),ROW()-(ROW()-N$2))),"")</f>
        <v/>
      </c>
      <c r="O59" s="152" t="str">
        <f t="array" ref="O59">IFERROR(INDEX('Расчет грейда'!$I$19:$I$200,SMALL(IF('ТРС общая'!$B59='Расчет грейда'!$W$19:$W$200,ROW('Расчет грейда'!$I$19:$I$200)-18,""),ROW()-(ROW()-O$2))),"")</f>
        <v/>
      </c>
      <c r="P59" s="152" t="str">
        <f t="array" ref="P59">IFERROR(INDEX('Расчет грейда'!$I$19:$I$200,SMALL(IF('ТРС общая'!$B59='Расчет грейда'!$W$19:$W$200,ROW('Расчет грейда'!$I$19:$I$200)-18,""),ROW()-(ROW()-P$2))),"")</f>
        <v/>
      </c>
      <c r="Q59" s="152" t="str">
        <f t="array" ref="Q59">IFERROR(INDEX('Расчет грейда'!$I$19:$I$200,SMALL(IF('ТРС общая'!$B59='Расчет грейда'!$W$19:$W$200,ROW('Расчет грейда'!$I$19:$I$200)-18,""),ROW()-(ROW()-Q$2))),"")</f>
        <v/>
      </c>
      <c r="R59" s="152" t="str">
        <f t="array" ref="R59">IFERROR(INDEX('Расчет грейда'!$I$19:$I$200,SMALL(IF('ТРС общая'!$B59='Расчет грейда'!$W$19:$W$200,ROW('Расчет грейда'!$I$19:$I$200)-18,""),ROW()-(ROW()-R$2))),"")</f>
        <v/>
      </c>
      <c r="S59" s="152" t="str">
        <f t="array" ref="S59">IFERROR(INDEX('Расчет грейда'!$I$19:$I$200,SMALL(IF('ТРС общая'!$B59='Расчет грейда'!$W$19:$W$200,ROW('Расчет грейда'!$I$19:$I$200)-18,""),ROW()-(ROW()-S$2))),"")</f>
        <v/>
      </c>
      <c r="T59" s="152" t="str">
        <f t="array" ref="T59">IFERROR(INDEX('Расчет грейда'!$I$19:$I$200,SMALL(IF('ТРС общая'!$B59='Расчет грейда'!$W$19:$W$200,ROW('Расчет грейда'!$I$19:$I$200)-18,""),ROW()-(ROW()-T$2))),"")</f>
        <v/>
      </c>
      <c r="U59" s="152" t="str">
        <f t="array" ref="U59">IFERROR(INDEX('Расчет грейда'!$I$19:$I$200,SMALL(IF('ТРС общая'!$B59='Расчет грейда'!$W$19:$W$200,ROW('Расчет грейда'!$I$19:$I$200)-18,""),ROW()-(ROW()-U$2))),"")</f>
        <v/>
      </c>
      <c r="V59" s="152" t="str">
        <f t="array" ref="V59">IFERROR(INDEX('Расчет грейда'!$I$19:$I$200,SMALL(IF('ТРС общая'!$B59='Расчет грейда'!$W$19:$W$200,ROW('Расчет грейда'!$I$19:$I$200)-18,""),ROW()-(ROW()-V$2))),"")</f>
        <v/>
      </c>
      <c r="W59" s="152" t="str">
        <f t="array" ref="W59">IFERROR(INDEX('Расчет грейда'!$I$19:$I$200,SMALL(IF('ТРС общая'!$B59='Расчет грейда'!$W$19:$W$200,ROW('Расчет грейда'!$I$19:$I$200)-18,""),ROW()-(ROW()-W$2))),"")</f>
        <v/>
      </c>
      <c r="X59" s="152" t="str">
        <f t="array" ref="X59">IFERROR(INDEX('Расчет грейда'!$I$19:$I$200,SMALL(IF('ТРС общая'!$B59='Расчет грейда'!$W$19:$W$200,ROW('Расчет грейда'!$I$19:$I$200)-18,""),ROW()-(ROW()-X$2))),"")</f>
        <v/>
      </c>
      <c r="Y59" s="152" t="str">
        <f t="array" ref="Y59">IFERROR(INDEX('Расчет грейда'!$I$19:$I$200,SMALL(IF('ТРС общая'!$B59='Расчет грейда'!$W$19:$W$200,ROW('Расчет грейда'!$I$19:$I$200)-18,""),ROW()-(ROW()-Y$2))),"")</f>
        <v/>
      </c>
      <c r="Z59" s="152" t="str">
        <f t="array" ref="Z59">IFERROR(INDEX('Расчет грейда'!$I$19:$I$200,SMALL(IF('ТРС общая'!$B59='Расчет грейда'!$W$19:$W$200,ROW('Расчет грейда'!$I$19:$I$200)-18,""),ROW()-(ROW()-Z$2))),"")</f>
        <v/>
      </c>
      <c r="AA59" s="152" t="str">
        <f t="array" ref="AA59">IFERROR(INDEX('Расчет грейда'!$I$19:$I$200,SMALL(IF('ТРС общая'!$B59='Расчет грейда'!$W$19:$W$200,ROW('Расчет грейда'!$I$19:$I$200)-18,""),ROW()-(ROW()-AA$2))),"")</f>
        <v/>
      </c>
      <c r="AB59" s="152" t="str">
        <f t="array" ref="AB59">IFERROR(INDEX('Расчет грейда'!$I$19:$I$200,SMALL(IF('ТРС общая'!$B59='Расчет грейда'!$W$19:$W$200,ROW('Расчет грейда'!$I$19:$I$200)-18,""),ROW()-(ROW()-AB$2))),"")</f>
        <v/>
      </c>
      <c r="AC59" s="152" t="str">
        <f t="array" ref="AC59">IFERROR(INDEX('Расчет грейда'!$I$19:$I$200,SMALL(IF('ТРС общая'!$B59='Расчет грейда'!$W$19:$W$200,ROW('Расчет грейда'!$I$19:$I$200)-18,""),ROW()-(ROW()-AC$2))),"")</f>
        <v/>
      </c>
      <c r="AD59" s="152" t="str">
        <f t="array" ref="AD59">IFERROR(INDEX('Расчет грейда'!$I$19:$I$200,SMALL(IF('ТРС общая'!$B59='Расчет грейда'!$W$19:$W$200,ROW('Расчет грейда'!$I$19:$I$200)-18,""),ROW()-(ROW()-AD$2))),"")</f>
        <v/>
      </c>
      <c r="AE59" s="152" t="str">
        <f t="array" ref="AE59">IFERROR(INDEX('Расчет грейда'!$I$19:$I$200,SMALL(IF('ТРС общая'!$B59='Расчет грейда'!$W$19:$W$200,ROW('Расчет грейда'!$I$19:$I$200)-18,""),ROW()-(ROW()-AE$2))),"")</f>
        <v/>
      </c>
      <c r="AF59" s="152" t="str">
        <f t="array" ref="AF59">IFERROR(INDEX('Расчет грейда'!$I$19:$I$200,SMALL(IF('ТРС общая'!$B59='Расчет грейда'!$W$19:$W$200,ROW('Расчет грейда'!$I$19:$I$200)-18,""),ROW()-(ROW()-AF$2))),"")</f>
        <v/>
      </c>
      <c r="AG59" s="152" t="str">
        <f t="array" ref="AG59">IFERROR(INDEX('Расчет грейда'!$I$19:$I$200,SMALL(IF('ТРС общая'!$B59='Расчет грейда'!$W$19:$W$200,ROW('Расчет грейда'!$I$19:$I$200)-18,""),ROW()-(ROW()-AG$2))),"")</f>
        <v/>
      </c>
      <c r="AH59" s="152" t="str">
        <f t="array" ref="AH59">IFERROR(INDEX('Расчет грейда'!$I$19:$I$200,SMALL(IF('ТРС общая'!$B59='Расчет грейда'!$W$19:$W$200,ROW('Расчет грейда'!$I$19:$I$200)-18,""),ROW()-(ROW()-AH$2))),"")</f>
        <v/>
      </c>
      <c r="AI59" s="152" t="str">
        <f t="array" ref="AI59">IFERROR(INDEX('Расчет грейда'!$I$19:$I$200,SMALL(IF('ТРС общая'!$B59='Расчет грейда'!$W$19:$W$200,ROW('Расчет грейда'!$I$19:$I$200)-18,""),ROW()-(ROW()-AI$2))),"")</f>
        <v/>
      </c>
      <c r="AJ59" s="152" t="str">
        <f t="array" ref="AJ59">IFERROR(INDEX('Расчет грейда'!$I$19:$I$200,SMALL(IF('ТРС общая'!$B59='Расчет грейда'!$W$19:$W$200,ROW('Расчет грейда'!$I$19:$I$200)-18,""),ROW()-(ROW()-AJ$2))),"")</f>
        <v/>
      </c>
      <c r="AK59" s="152" t="str">
        <f t="array" ref="AK59">IFERROR(INDEX('Расчет грейда'!$I$19:$I$200,SMALL(IF('ТРС общая'!$B59='Расчет грейда'!$W$19:$W$200,ROW('Расчет грейда'!$I$19:$I$200)-18,""),ROW()-(ROW()-AK$2))),"")</f>
        <v/>
      </c>
      <c r="AL59" s="152" t="str">
        <f t="array" ref="AL59">IFERROR(INDEX('Расчет грейда'!$I$19:$I$200,SMALL(IF('ТРС общая'!$B59='Расчет грейда'!$W$19:$W$200,ROW('Расчет грейда'!$I$19:$I$200)-18,""),ROW()-(ROW()-AL$2))),"")</f>
        <v/>
      </c>
      <c r="AM59" s="152" t="str">
        <f t="array" ref="AM59">IFERROR(INDEX('Расчет грейда'!$I$19:$I$200,SMALL(IF('ТРС общая'!$B59='Расчет грейда'!$W$19:$W$200,ROW('Расчет грейда'!$I$19:$I$200)-18,""),ROW()-(ROW()-AM$2))),"")</f>
        <v/>
      </c>
      <c r="AN59" s="152" t="str">
        <f t="array" ref="AN59">IFERROR(INDEX('Расчет грейда'!$I$19:$I$200,SMALL(IF('ТРС общая'!$B59='Расчет грейда'!$W$19:$W$200,ROW('Расчет грейда'!$I$19:$I$200)-18,""),ROW()-(ROW()-AN$2))),"")</f>
        <v/>
      </c>
      <c r="AO59" s="152" t="str">
        <f t="array" ref="AO59">IFERROR(INDEX('Расчет грейда'!$I$19:$I$200,SMALL(IF('ТРС общая'!$B59='Расчет грейда'!$W$19:$W$200,ROW('Расчет грейда'!$I$19:$I$200)-18,""),ROW()-(ROW()-AO$2))),"")</f>
        <v/>
      </c>
    </row>
    <row r="60" spans="2:41" s="124" customFormat="1" ht="101.5" customHeight="1" x14ac:dyDescent="0.55000000000000004">
      <c r="B60" s="158">
        <v>1</v>
      </c>
      <c r="C60" s="159">
        <f>COUNTIF('Расчет грейда'!$W:$W,'ТРС общая'!$B60)</f>
        <v>0</v>
      </c>
      <c r="D60" s="152" t="str">
        <f t="array" ref="D60">IFERROR(INDEX('Расчет грейда'!$I$19:$I$200,SMALL(IF('ТРС общая'!$B60='Расчет грейда'!$W$19:$W$200,ROW('Расчет грейда'!$I$19:$I$200)-18,""),ROW()-(ROW()-D$2))),"")</f>
        <v/>
      </c>
      <c r="E60" s="152" t="str">
        <f t="array" ref="E60">IFERROR(INDEX('Расчет грейда'!$I$19:$I$200,SMALL(IF('ТРС общая'!$B60='Расчет грейда'!$W$19:$W$200,ROW('Расчет грейда'!$I$19:$I$200)-18,""),ROW()-(ROW()-E$2))),"")</f>
        <v/>
      </c>
      <c r="F60" s="152" t="str">
        <f t="array" ref="F60">IFERROR(INDEX('Расчет грейда'!$I$19:$I$200,SMALL(IF('ТРС общая'!$B60='Расчет грейда'!$W$19:$W$200,ROW('Расчет грейда'!$I$19:$I$200)-18,""),ROW()-(ROW()-F$2))),"")</f>
        <v/>
      </c>
      <c r="G60" s="152" t="str">
        <f t="array" ref="G60">IFERROR(INDEX('Расчет грейда'!$I$19:$I$200,SMALL(IF('ТРС общая'!$B60='Расчет грейда'!$W$19:$W$200,ROW('Расчет грейда'!$I$19:$I$200)-18,""),ROW()-(ROW()-G$2))),"")</f>
        <v/>
      </c>
      <c r="H60" s="152" t="str">
        <f t="array" ref="H60">IFERROR(INDEX('Расчет грейда'!$I$19:$I$200,SMALL(IF('ТРС общая'!$B60='Расчет грейда'!$W$19:$W$200,ROW('Расчет грейда'!$I$19:$I$200)-18,""),ROW()-(ROW()-H$2))),"")</f>
        <v/>
      </c>
      <c r="I60" s="152" t="str">
        <f t="array" ref="I60">IFERROR(INDEX('Расчет грейда'!$I$19:$I$200,SMALL(IF('ТРС общая'!$B60='Расчет грейда'!$W$19:$W$200,ROW('Расчет грейда'!$I$19:$I$200)-18,""),ROW()-(ROW()-I$2))),"")</f>
        <v/>
      </c>
      <c r="J60" s="152" t="str">
        <f t="array" ref="J60">IFERROR(INDEX('Расчет грейда'!$I$19:$I$200,SMALL(IF('ТРС общая'!$B60='Расчет грейда'!$W$19:$W$200,ROW('Расчет грейда'!$I$19:$I$200)-18,""),ROW()-(ROW()-J$2))),"")</f>
        <v/>
      </c>
      <c r="K60" s="152" t="str">
        <f t="array" ref="K60">IFERROR(INDEX('Расчет грейда'!$I$19:$I$200,SMALL(IF('ТРС общая'!$B60='Расчет грейда'!$W$19:$W$200,ROW('Расчет грейда'!$I$19:$I$200)-18,""),ROW()-(ROW()-K$2))),"")</f>
        <v/>
      </c>
      <c r="L60" s="152" t="str">
        <f t="array" ref="L60">IFERROR(INDEX('Расчет грейда'!$I$19:$I$200,SMALL(IF('ТРС общая'!$B60='Расчет грейда'!$W$19:$W$200,ROW('Расчет грейда'!$I$19:$I$200)-18,""),ROW()-(ROW()-L$2))),"")</f>
        <v/>
      </c>
      <c r="M60" s="152" t="str">
        <f t="array" ref="M60">IFERROR(INDEX('Расчет грейда'!$I$19:$I$200,SMALL(IF('ТРС общая'!$B60='Расчет грейда'!$W$19:$W$200,ROW('Расчет грейда'!$I$19:$I$200)-18,""),ROW()-(ROW()-M$2))),"")</f>
        <v/>
      </c>
      <c r="N60" s="152" t="str">
        <f t="array" ref="N60">IFERROR(INDEX('Расчет грейда'!$I$19:$I$200,SMALL(IF('ТРС общая'!$B60='Расчет грейда'!$W$19:$W$200,ROW('Расчет грейда'!$I$19:$I$200)-18,""),ROW()-(ROW()-N$2))),"")</f>
        <v/>
      </c>
      <c r="O60" s="152" t="str">
        <f t="array" ref="O60">IFERROR(INDEX('Расчет грейда'!$I$19:$I$200,SMALL(IF('ТРС общая'!$B60='Расчет грейда'!$W$19:$W$200,ROW('Расчет грейда'!$I$19:$I$200)-18,""),ROW()-(ROW()-O$2))),"")</f>
        <v/>
      </c>
      <c r="P60" s="152" t="str">
        <f t="array" ref="P60">IFERROR(INDEX('Расчет грейда'!$I$19:$I$200,SMALL(IF('ТРС общая'!$B60='Расчет грейда'!$W$19:$W$200,ROW('Расчет грейда'!$I$19:$I$200)-18,""),ROW()-(ROW()-P$2))),"")</f>
        <v/>
      </c>
      <c r="Q60" s="152" t="str">
        <f t="array" ref="Q60">IFERROR(INDEX('Расчет грейда'!$I$19:$I$200,SMALL(IF('ТРС общая'!$B60='Расчет грейда'!$W$19:$W$200,ROW('Расчет грейда'!$I$19:$I$200)-18,""),ROW()-(ROW()-Q$2))),"")</f>
        <v/>
      </c>
      <c r="R60" s="152" t="str">
        <f t="array" ref="R60">IFERROR(INDEX('Расчет грейда'!$I$19:$I$200,SMALL(IF('ТРС общая'!$B60='Расчет грейда'!$W$19:$W$200,ROW('Расчет грейда'!$I$19:$I$200)-18,""),ROW()-(ROW()-R$2))),"")</f>
        <v/>
      </c>
      <c r="S60" s="152" t="str">
        <f t="array" ref="S60">IFERROR(INDEX('Расчет грейда'!$I$19:$I$200,SMALL(IF('ТРС общая'!$B60='Расчет грейда'!$W$19:$W$200,ROW('Расчет грейда'!$I$19:$I$200)-18,""),ROW()-(ROW()-S$2))),"")</f>
        <v/>
      </c>
      <c r="T60" s="152" t="str">
        <f t="array" ref="T60">IFERROR(INDEX('Расчет грейда'!$I$19:$I$200,SMALL(IF('ТРС общая'!$B60='Расчет грейда'!$W$19:$W$200,ROW('Расчет грейда'!$I$19:$I$200)-18,""),ROW()-(ROW()-T$2))),"")</f>
        <v/>
      </c>
      <c r="U60" s="152" t="str">
        <f t="array" ref="U60">IFERROR(INDEX('Расчет грейда'!$I$19:$I$200,SMALL(IF('ТРС общая'!$B60='Расчет грейда'!$W$19:$W$200,ROW('Расчет грейда'!$I$19:$I$200)-18,""),ROW()-(ROW()-U$2))),"")</f>
        <v/>
      </c>
      <c r="V60" s="152" t="str">
        <f t="array" ref="V60">IFERROR(INDEX('Расчет грейда'!$I$19:$I$200,SMALL(IF('ТРС общая'!$B60='Расчет грейда'!$W$19:$W$200,ROW('Расчет грейда'!$I$19:$I$200)-18,""),ROW()-(ROW()-V$2))),"")</f>
        <v/>
      </c>
      <c r="W60" s="152" t="str">
        <f t="array" ref="W60">IFERROR(INDEX('Расчет грейда'!$I$19:$I$200,SMALL(IF('ТРС общая'!$B60='Расчет грейда'!$W$19:$W$200,ROW('Расчет грейда'!$I$19:$I$200)-18,""),ROW()-(ROW()-W$2))),"")</f>
        <v/>
      </c>
      <c r="X60" s="152" t="str">
        <f t="array" ref="X60">IFERROR(INDEX('Расчет грейда'!$I$19:$I$200,SMALL(IF('ТРС общая'!$B60='Расчет грейда'!$W$19:$W$200,ROW('Расчет грейда'!$I$19:$I$200)-18,""),ROW()-(ROW()-X$2))),"")</f>
        <v/>
      </c>
      <c r="Y60" s="152" t="str">
        <f t="array" ref="Y60">IFERROR(INDEX('Расчет грейда'!$I$19:$I$200,SMALL(IF('ТРС общая'!$B60='Расчет грейда'!$W$19:$W$200,ROW('Расчет грейда'!$I$19:$I$200)-18,""),ROW()-(ROW()-Y$2))),"")</f>
        <v/>
      </c>
      <c r="Z60" s="152" t="str">
        <f t="array" ref="Z60">IFERROR(INDEX('Расчет грейда'!$I$19:$I$200,SMALL(IF('ТРС общая'!$B60='Расчет грейда'!$W$19:$W$200,ROW('Расчет грейда'!$I$19:$I$200)-18,""),ROW()-(ROW()-Z$2))),"")</f>
        <v/>
      </c>
      <c r="AA60" s="152" t="str">
        <f t="array" ref="AA60">IFERROR(INDEX('Расчет грейда'!$I$19:$I$200,SMALL(IF('ТРС общая'!$B60='Расчет грейда'!$W$19:$W$200,ROW('Расчет грейда'!$I$19:$I$200)-18,""),ROW()-(ROW()-AA$2))),"")</f>
        <v/>
      </c>
      <c r="AB60" s="152" t="str">
        <f t="array" ref="AB60">IFERROR(INDEX('Расчет грейда'!$I$19:$I$200,SMALL(IF('ТРС общая'!$B60='Расчет грейда'!$W$19:$W$200,ROW('Расчет грейда'!$I$19:$I$200)-18,""),ROW()-(ROW()-AB$2))),"")</f>
        <v/>
      </c>
      <c r="AC60" s="152" t="str">
        <f t="array" ref="AC60">IFERROR(INDEX('Расчет грейда'!$I$19:$I$200,SMALL(IF('ТРС общая'!$B60='Расчет грейда'!$W$19:$W$200,ROW('Расчет грейда'!$I$19:$I$200)-18,""),ROW()-(ROW()-AC$2))),"")</f>
        <v/>
      </c>
      <c r="AD60" s="152" t="str">
        <f t="array" ref="AD60">IFERROR(INDEX('Расчет грейда'!$I$19:$I$200,SMALL(IF('ТРС общая'!$B60='Расчет грейда'!$W$19:$W$200,ROW('Расчет грейда'!$I$19:$I$200)-18,""),ROW()-(ROW()-AD$2))),"")</f>
        <v/>
      </c>
      <c r="AE60" s="152" t="str">
        <f t="array" ref="AE60">IFERROR(INDEX('Расчет грейда'!$I$19:$I$200,SMALL(IF('ТРС общая'!$B60='Расчет грейда'!$W$19:$W$200,ROW('Расчет грейда'!$I$19:$I$200)-18,""),ROW()-(ROW()-AE$2))),"")</f>
        <v/>
      </c>
      <c r="AF60" s="152" t="str">
        <f t="array" ref="AF60">IFERROR(INDEX('Расчет грейда'!$I$19:$I$200,SMALL(IF('ТРС общая'!$B60='Расчет грейда'!$W$19:$W$200,ROW('Расчет грейда'!$I$19:$I$200)-18,""),ROW()-(ROW()-AF$2))),"")</f>
        <v/>
      </c>
      <c r="AG60" s="152" t="str">
        <f t="array" ref="AG60">IFERROR(INDEX('Расчет грейда'!$I$19:$I$200,SMALL(IF('ТРС общая'!$B60='Расчет грейда'!$W$19:$W$200,ROW('Расчет грейда'!$I$19:$I$200)-18,""),ROW()-(ROW()-AG$2))),"")</f>
        <v/>
      </c>
      <c r="AH60" s="152" t="str">
        <f t="array" ref="AH60">IFERROR(INDEX('Расчет грейда'!$I$19:$I$200,SMALL(IF('ТРС общая'!$B60='Расчет грейда'!$W$19:$W$200,ROW('Расчет грейда'!$I$19:$I$200)-18,""),ROW()-(ROW()-AH$2))),"")</f>
        <v/>
      </c>
      <c r="AI60" s="152" t="str">
        <f t="array" ref="AI60">IFERROR(INDEX('Расчет грейда'!$I$19:$I$200,SMALL(IF('ТРС общая'!$B60='Расчет грейда'!$W$19:$W$200,ROW('Расчет грейда'!$I$19:$I$200)-18,""),ROW()-(ROW()-AI$2))),"")</f>
        <v/>
      </c>
      <c r="AJ60" s="152" t="str">
        <f t="array" ref="AJ60">IFERROR(INDEX('Расчет грейда'!$I$19:$I$200,SMALL(IF('ТРС общая'!$B60='Расчет грейда'!$W$19:$W$200,ROW('Расчет грейда'!$I$19:$I$200)-18,""),ROW()-(ROW()-AJ$2))),"")</f>
        <v/>
      </c>
      <c r="AK60" s="152" t="str">
        <f t="array" ref="AK60">IFERROR(INDEX('Расчет грейда'!$I$19:$I$200,SMALL(IF('ТРС общая'!$B60='Расчет грейда'!$W$19:$W$200,ROW('Расчет грейда'!$I$19:$I$200)-18,""),ROW()-(ROW()-AK$2))),"")</f>
        <v/>
      </c>
      <c r="AL60" s="152" t="str">
        <f t="array" ref="AL60">IFERROR(INDEX('Расчет грейда'!$I$19:$I$200,SMALL(IF('ТРС общая'!$B60='Расчет грейда'!$W$19:$W$200,ROW('Расчет грейда'!$I$19:$I$200)-18,""),ROW()-(ROW()-AL$2))),"")</f>
        <v/>
      </c>
      <c r="AM60" s="152" t="str">
        <f t="array" ref="AM60">IFERROR(INDEX('Расчет грейда'!$I$19:$I$200,SMALL(IF('ТРС общая'!$B60='Расчет грейда'!$W$19:$W$200,ROW('Расчет грейда'!$I$19:$I$200)-18,""),ROW()-(ROW()-AM$2))),"")</f>
        <v/>
      </c>
      <c r="AN60" s="152" t="str">
        <f t="array" ref="AN60">IFERROR(INDEX('Расчет грейда'!$I$19:$I$200,SMALL(IF('ТРС общая'!$B60='Расчет грейда'!$W$19:$W$200,ROW('Расчет грейда'!$I$19:$I$200)-18,""),ROW()-(ROW()-AN$2))),"")</f>
        <v/>
      </c>
      <c r="AO60" s="152" t="str">
        <f t="array" ref="AO60">IFERROR(INDEX('Расчет грейда'!$I$19:$I$200,SMALL(IF('ТРС общая'!$B60='Расчет грейда'!$W$19:$W$200,ROW('Расчет грейда'!$I$19:$I$200)-18,""),ROW()-(ROW()-AO$2))),"")</f>
        <v/>
      </c>
    </row>
    <row r="61" spans="2:41" s="124" customFormat="1" ht="101.5" customHeight="1" x14ac:dyDescent="0.55000000000000004">
      <c r="B61" s="158">
        <v>0</v>
      </c>
      <c r="C61" s="159">
        <f>COUNTIF('Расчет грейда'!$W:$W,'ТРС общая'!$B61)</f>
        <v>0</v>
      </c>
      <c r="D61" s="152">
        <f t="array" ref="D61">IFERROR(INDEX('Расчет грейда'!$I$19:$I$200,SMALL(IF('ТРС общая'!$B61='Расчет грейда'!$W$19:$W$200,ROW('Расчет грейда'!$I$19:$I$200)-18,""),ROW()-(ROW()-D$2))),"")</f>
        <v>0</v>
      </c>
      <c r="E61" s="152">
        <f t="array" ref="E61">IFERROR(INDEX('Расчет грейда'!$I$19:$I$200,SMALL(IF('ТРС общая'!$B61='Расчет грейда'!$W$19:$W$200,ROW('Расчет грейда'!$I$19:$I$200)-18,""),ROW()-(ROW()-E$2))),"")</f>
        <v>0</v>
      </c>
      <c r="F61" s="152">
        <f t="array" ref="F61">IFERROR(INDEX('Расчет грейда'!$I$19:$I$200,SMALL(IF('ТРС общая'!$B61='Расчет грейда'!$W$19:$W$200,ROW('Расчет грейда'!$I$19:$I$200)-18,""),ROW()-(ROW()-F$2))),"")</f>
        <v>0</v>
      </c>
      <c r="G61" s="152">
        <f t="array" ref="G61">IFERROR(INDEX('Расчет грейда'!$I$19:$I$200,SMALL(IF('ТРС общая'!$B61='Расчет грейда'!$W$19:$W$200,ROW('Расчет грейда'!$I$19:$I$200)-18,""),ROW()-(ROW()-G$2))),"")</f>
        <v>0</v>
      </c>
      <c r="H61" s="152">
        <f t="array" ref="H61">IFERROR(INDEX('Расчет грейда'!$I$19:$I$200,SMALL(IF('ТРС общая'!$B61='Расчет грейда'!$W$19:$W$200,ROW('Расчет грейда'!$I$19:$I$200)-18,""),ROW()-(ROW()-H$2))),"")</f>
        <v>0</v>
      </c>
      <c r="I61" s="152">
        <f t="array" ref="I61">IFERROR(INDEX('Расчет грейда'!$I$19:$I$200,SMALL(IF('ТРС общая'!$B61='Расчет грейда'!$W$19:$W$200,ROW('Расчет грейда'!$I$19:$I$200)-18,""),ROW()-(ROW()-I$2))),"")</f>
        <v>0</v>
      </c>
      <c r="J61" s="152">
        <f t="array" ref="J61">IFERROR(INDEX('Расчет грейда'!$I$19:$I$200,SMALL(IF('ТРС общая'!$B61='Расчет грейда'!$W$19:$W$200,ROW('Расчет грейда'!$I$19:$I$200)-18,""),ROW()-(ROW()-J$2))),"")</f>
        <v>0</v>
      </c>
      <c r="K61" s="152">
        <f t="array" ref="K61">IFERROR(INDEX('Расчет грейда'!$I$19:$I$200,SMALL(IF('ТРС общая'!$B61='Расчет грейда'!$W$19:$W$200,ROW('Расчет грейда'!$I$19:$I$200)-18,""),ROW()-(ROW()-K$2))),"")</f>
        <v>0</v>
      </c>
      <c r="L61" s="152">
        <f t="array" ref="L61">IFERROR(INDEX('Расчет грейда'!$I$19:$I$200,SMALL(IF('ТРС общая'!$B61='Расчет грейда'!$W$19:$W$200,ROW('Расчет грейда'!$I$19:$I$200)-18,""),ROW()-(ROW()-L$2))),"")</f>
        <v>0</v>
      </c>
      <c r="M61" s="152">
        <f t="array" ref="M61">IFERROR(INDEX('Расчет грейда'!$I$19:$I$200,SMALL(IF('ТРС общая'!$B61='Расчет грейда'!$W$19:$W$200,ROW('Расчет грейда'!$I$19:$I$200)-18,""),ROW()-(ROW()-M$2))),"")</f>
        <v>0</v>
      </c>
      <c r="N61" s="152">
        <f t="array" ref="N61">IFERROR(INDEX('Расчет грейда'!$I$19:$I$200,SMALL(IF('ТРС общая'!$B61='Расчет грейда'!$W$19:$W$200,ROW('Расчет грейда'!$I$19:$I$200)-18,""),ROW()-(ROW()-N$2))),"")</f>
        <v>0</v>
      </c>
      <c r="O61" s="152">
        <f t="array" ref="O61">IFERROR(INDEX('Расчет грейда'!$I$19:$I$200,SMALL(IF('ТРС общая'!$B61='Расчет грейда'!$W$19:$W$200,ROW('Расчет грейда'!$I$19:$I$200)-18,""),ROW()-(ROW()-O$2))),"")</f>
        <v>0</v>
      </c>
      <c r="P61" s="152">
        <f t="array" ref="P61">IFERROR(INDEX('Расчет грейда'!$I$19:$I$200,SMALL(IF('ТРС общая'!$B61='Расчет грейда'!$W$19:$W$200,ROW('Расчет грейда'!$I$19:$I$200)-18,""),ROW()-(ROW()-P$2))),"")</f>
        <v>0</v>
      </c>
      <c r="Q61" s="152">
        <f t="array" ref="Q61">IFERROR(INDEX('Расчет грейда'!$I$19:$I$200,SMALL(IF('ТРС общая'!$B61='Расчет грейда'!$W$19:$W$200,ROW('Расчет грейда'!$I$19:$I$200)-18,""),ROW()-(ROW()-Q$2))),"")</f>
        <v>0</v>
      </c>
      <c r="R61" s="152">
        <f t="array" ref="R61">IFERROR(INDEX('Расчет грейда'!$I$19:$I$200,SMALL(IF('ТРС общая'!$B61='Расчет грейда'!$W$19:$W$200,ROW('Расчет грейда'!$I$19:$I$200)-18,""),ROW()-(ROW()-R$2))),"")</f>
        <v>0</v>
      </c>
      <c r="S61" s="152" t="str">
        <f t="array" ref="S61">IFERROR(INDEX('Расчет грейда'!$I$19:$I$200,SMALL(IF('ТРС общая'!$B61='Расчет грейда'!$W$19:$W$200,ROW('Расчет грейда'!$I$19:$I$200)-18,""),ROW()-(ROW()-S$2))),"")</f>
        <v/>
      </c>
      <c r="T61" s="152" t="str">
        <f t="array" ref="T61">IFERROR(INDEX('Расчет грейда'!$I$19:$I$200,SMALL(IF('ТРС общая'!$B61='Расчет грейда'!$W$19:$W$200,ROW('Расчет грейда'!$I$19:$I$200)-18,""),ROW()-(ROW()-T$2))),"")</f>
        <v/>
      </c>
      <c r="U61" s="152" t="str">
        <f t="array" ref="U61">IFERROR(INDEX('Расчет грейда'!$I$19:$I$200,SMALL(IF('ТРС общая'!$B61='Расчет грейда'!$W$19:$W$200,ROW('Расчет грейда'!$I$19:$I$200)-18,""),ROW()-(ROW()-U$2))),"")</f>
        <v/>
      </c>
      <c r="V61" s="152" t="str">
        <f t="array" ref="V61">IFERROR(INDEX('Расчет грейда'!$I$19:$I$200,SMALL(IF('ТРС общая'!$B61='Расчет грейда'!$W$19:$W$200,ROW('Расчет грейда'!$I$19:$I$200)-18,""),ROW()-(ROW()-V$2))),"")</f>
        <v/>
      </c>
      <c r="W61" s="152" t="str">
        <f t="array" ref="W61">IFERROR(INDEX('Расчет грейда'!$I$19:$I$200,SMALL(IF('ТРС общая'!$B61='Расчет грейда'!$W$19:$W$200,ROW('Расчет грейда'!$I$19:$I$200)-18,""),ROW()-(ROW()-W$2))),"")</f>
        <v/>
      </c>
      <c r="X61" s="152" t="str">
        <f t="array" ref="X61">IFERROR(INDEX('Расчет грейда'!$I$19:$I$200,SMALL(IF('ТРС общая'!$B61='Расчет грейда'!$W$19:$W$200,ROW('Расчет грейда'!$I$19:$I$200)-18,""),ROW()-(ROW()-X$2))),"")</f>
        <v/>
      </c>
      <c r="Y61" s="152" t="str">
        <f t="array" ref="Y61">IFERROR(INDEX('Расчет грейда'!$I$19:$I$200,SMALL(IF('ТРС общая'!$B61='Расчет грейда'!$W$19:$W$200,ROW('Расчет грейда'!$I$19:$I$200)-18,""),ROW()-(ROW()-Y$2))),"")</f>
        <v/>
      </c>
      <c r="Z61" s="152" t="str">
        <f t="array" ref="Z61">IFERROR(INDEX('Расчет грейда'!$I$19:$I$200,SMALL(IF('ТРС общая'!$B61='Расчет грейда'!$W$19:$W$200,ROW('Расчет грейда'!$I$19:$I$200)-18,""),ROW()-(ROW()-Z$2))),"")</f>
        <v/>
      </c>
      <c r="AA61" s="152" t="str">
        <f t="array" ref="AA61">IFERROR(INDEX('Расчет грейда'!$I$19:$I$200,SMALL(IF('ТРС общая'!$B61='Расчет грейда'!$W$19:$W$200,ROW('Расчет грейда'!$I$19:$I$200)-18,""),ROW()-(ROW()-AA$2))),"")</f>
        <v/>
      </c>
      <c r="AB61" s="152" t="str">
        <f t="array" ref="AB61">IFERROR(INDEX('Расчет грейда'!$I$19:$I$200,SMALL(IF('ТРС общая'!$B61='Расчет грейда'!$W$19:$W$200,ROW('Расчет грейда'!$I$19:$I$200)-18,""),ROW()-(ROW()-AB$2))),"")</f>
        <v/>
      </c>
      <c r="AC61" s="152" t="str">
        <f t="array" ref="AC61">IFERROR(INDEX('Расчет грейда'!$I$19:$I$200,SMALL(IF('ТРС общая'!$B61='Расчет грейда'!$W$19:$W$200,ROW('Расчет грейда'!$I$19:$I$200)-18,""),ROW()-(ROW()-AC$2))),"")</f>
        <v/>
      </c>
      <c r="AD61" s="152" t="str">
        <f t="array" ref="AD61">IFERROR(INDEX('Расчет грейда'!$I$19:$I$200,SMALL(IF('ТРС общая'!$B61='Расчет грейда'!$W$19:$W$200,ROW('Расчет грейда'!$I$19:$I$200)-18,""),ROW()-(ROW()-AD$2))),"")</f>
        <v/>
      </c>
      <c r="AE61" s="152" t="str">
        <f t="array" ref="AE61">IFERROR(INDEX('Расчет грейда'!$I$19:$I$200,SMALL(IF('ТРС общая'!$B61='Расчет грейда'!$W$19:$W$200,ROW('Расчет грейда'!$I$19:$I$200)-18,""),ROW()-(ROW()-AE$2))),"")</f>
        <v/>
      </c>
      <c r="AF61" s="152" t="str">
        <f t="array" ref="AF61">IFERROR(INDEX('Расчет грейда'!$I$19:$I$200,SMALL(IF('ТРС общая'!$B61='Расчет грейда'!$W$19:$W$200,ROW('Расчет грейда'!$I$19:$I$200)-18,""),ROW()-(ROW()-AF$2))),"")</f>
        <v/>
      </c>
      <c r="AG61" s="152" t="str">
        <f t="array" ref="AG61">IFERROR(INDEX('Расчет грейда'!$I$19:$I$200,SMALL(IF('ТРС общая'!$B61='Расчет грейда'!$W$19:$W$200,ROW('Расчет грейда'!$I$19:$I$200)-18,""),ROW()-(ROW()-AG$2))),"")</f>
        <v/>
      </c>
      <c r="AH61" s="152" t="str">
        <f t="array" ref="AH61">IFERROR(INDEX('Расчет грейда'!$I$19:$I$200,SMALL(IF('ТРС общая'!$B61='Расчет грейда'!$W$19:$W$200,ROW('Расчет грейда'!$I$19:$I$200)-18,""),ROW()-(ROW()-AH$2))),"")</f>
        <v/>
      </c>
      <c r="AI61" s="152" t="str">
        <f t="array" ref="AI61">IFERROR(INDEX('Расчет грейда'!$I$19:$I$200,SMALL(IF('ТРС общая'!$B61='Расчет грейда'!$W$19:$W$200,ROW('Расчет грейда'!$I$19:$I$200)-18,""),ROW()-(ROW()-AI$2))),"")</f>
        <v/>
      </c>
      <c r="AJ61" s="152" t="str">
        <f t="array" ref="AJ61">IFERROR(INDEX('Расчет грейда'!$I$19:$I$200,SMALL(IF('ТРС общая'!$B61='Расчет грейда'!$W$19:$W$200,ROW('Расчет грейда'!$I$19:$I$200)-18,""),ROW()-(ROW()-AJ$2))),"")</f>
        <v/>
      </c>
      <c r="AK61" s="152" t="str">
        <f t="array" ref="AK61">IFERROR(INDEX('Расчет грейда'!$I$19:$I$200,SMALL(IF('ТРС общая'!$B61='Расчет грейда'!$W$19:$W$200,ROW('Расчет грейда'!$I$19:$I$200)-18,""),ROW()-(ROW()-AK$2))),"")</f>
        <v/>
      </c>
      <c r="AL61" s="152" t="str">
        <f t="array" ref="AL61">IFERROR(INDEX('Расчет грейда'!$I$19:$I$200,SMALL(IF('ТРС общая'!$B61='Расчет грейда'!$W$19:$W$200,ROW('Расчет грейда'!$I$19:$I$200)-18,""),ROW()-(ROW()-AL$2))),"")</f>
        <v/>
      </c>
      <c r="AM61" s="152" t="str">
        <f t="array" ref="AM61">IFERROR(INDEX('Расчет грейда'!$I$19:$I$200,SMALL(IF('ТРС общая'!$B61='Расчет грейда'!$W$19:$W$200,ROW('Расчет грейда'!$I$19:$I$200)-18,""),ROW()-(ROW()-AM$2))),"")</f>
        <v/>
      </c>
      <c r="AN61" s="152" t="str">
        <f t="array" ref="AN61">IFERROR(INDEX('Расчет грейда'!$I$19:$I$200,SMALL(IF('ТРС общая'!$B61='Расчет грейда'!$W$19:$W$200,ROW('Расчет грейда'!$I$19:$I$200)-18,""),ROW()-(ROW()-AN$2))),"")</f>
        <v/>
      </c>
      <c r="AO61" s="152" t="str">
        <f t="array" ref="AO61">IFERROR(INDEX('Расчет грейда'!$I$19:$I$200,SMALL(IF('ТРС общая'!$B61='Расчет грейда'!$W$19:$W$200,ROW('Расчет грейда'!$I$19:$I$200)-18,""),ROW()-(ROW()-AO$2))),"")</f>
        <v/>
      </c>
    </row>
  </sheetData>
  <pageMargins left="0.7" right="0.7" top="0.75" bottom="0.75" header="0.3" footer="0.3"/>
  <pageSetup paperSize="9" scale="10" fitToHeight="0" orientation="landscape" r:id="rId1"/>
  <rowBreaks count="1" manualBreakCount="1">
    <brk id="3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K424"/>
  <sheetViews>
    <sheetView zoomScale="85" zoomScaleNormal="85" workbookViewId="0">
      <selection activeCell="D230" sqref="D230"/>
    </sheetView>
  </sheetViews>
  <sheetFormatPr defaultColWidth="8.6640625" defaultRowHeight="10.5" x14ac:dyDescent="0.25"/>
  <cols>
    <col min="1" max="1" width="18.6640625" style="45" customWidth="1"/>
    <col min="2" max="2" width="7.1640625" style="45" customWidth="1"/>
    <col min="3" max="3" width="37.33203125" style="45" bestFit="1" customWidth="1"/>
    <col min="4" max="18" width="10.83203125" style="45" customWidth="1"/>
    <col min="19" max="19" width="8.6640625" style="45"/>
    <col min="20" max="20" width="33.08203125" style="45" customWidth="1"/>
    <col min="21" max="21" width="8.6640625" style="45"/>
    <col min="22" max="22" width="23.6640625" style="45" customWidth="1"/>
    <col min="23" max="25" width="8.6640625" style="45"/>
    <col min="26" max="26" width="8.6640625" style="45" customWidth="1"/>
    <col min="27" max="16384" width="8.6640625" style="45"/>
  </cols>
  <sheetData>
    <row r="3" spans="1:37" ht="12.5" customHeight="1" x14ac:dyDescent="0.25">
      <c r="D3" s="49" t="s">
        <v>5</v>
      </c>
      <c r="E3" s="49" t="s">
        <v>5</v>
      </c>
      <c r="F3" s="49" t="s">
        <v>5</v>
      </c>
      <c r="G3" s="50" t="s">
        <v>6</v>
      </c>
      <c r="H3" s="50" t="s">
        <v>6</v>
      </c>
      <c r="I3" s="50" t="s">
        <v>6</v>
      </c>
      <c r="J3" s="45" t="s">
        <v>7</v>
      </c>
      <c r="K3" s="45" t="s">
        <v>7</v>
      </c>
      <c r="L3" s="45" t="s">
        <v>7</v>
      </c>
      <c r="M3" s="45" t="s">
        <v>8</v>
      </c>
      <c r="N3" s="45" t="s">
        <v>8</v>
      </c>
      <c r="O3" s="45" t="s">
        <v>8</v>
      </c>
      <c r="P3" s="45" t="s">
        <v>9</v>
      </c>
      <c r="Q3" s="45" t="s">
        <v>9</v>
      </c>
      <c r="R3" s="45" t="s">
        <v>9</v>
      </c>
      <c r="W3" s="49" t="s">
        <v>5</v>
      </c>
      <c r="X3" s="49" t="s">
        <v>5</v>
      </c>
      <c r="Y3" s="49" t="s">
        <v>5</v>
      </c>
      <c r="Z3" s="50" t="s">
        <v>6</v>
      </c>
      <c r="AA3" s="50" t="s">
        <v>6</v>
      </c>
      <c r="AB3" s="50" t="s">
        <v>6</v>
      </c>
      <c r="AC3" s="45" t="s">
        <v>7</v>
      </c>
      <c r="AD3" s="45" t="s">
        <v>7</v>
      </c>
      <c r="AE3" s="45" t="s">
        <v>7</v>
      </c>
      <c r="AF3" s="45" t="s">
        <v>8</v>
      </c>
      <c r="AG3" s="45" t="s">
        <v>8</v>
      </c>
      <c r="AH3" s="45" t="s">
        <v>8</v>
      </c>
      <c r="AI3" s="45" t="s">
        <v>9</v>
      </c>
      <c r="AJ3" s="45" t="s">
        <v>9</v>
      </c>
      <c r="AK3" s="45" t="s">
        <v>9</v>
      </c>
    </row>
    <row r="4" spans="1:37" ht="20.5" customHeight="1" x14ac:dyDescent="0.25">
      <c r="C4" s="51"/>
      <c r="D4" s="52" t="s">
        <v>10</v>
      </c>
      <c r="E4" s="52" t="s">
        <v>11</v>
      </c>
      <c r="F4" s="52" t="s">
        <v>12</v>
      </c>
      <c r="G4" s="52" t="s">
        <v>10</v>
      </c>
      <c r="H4" s="52" t="s">
        <v>11</v>
      </c>
      <c r="I4" s="52" t="s">
        <v>12</v>
      </c>
      <c r="J4" s="52" t="s">
        <v>10</v>
      </c>
      <c r="K4" s="52" t="s">
        <v>11</v>
      </c>
      <c r="L4" s="52" t="s">
        <v>12</v>
      </c>
      <c r="M4" s="52" t="s">
        <v>10</v>
      </c>
      <c r="N4" s="52" t="s">
        <v>11</v>
      </c>
      <c r="O4" s="52" t="s">
        <v>12</v>
      </c>
      <c r="P4" s="52" t="s">
        <v>10</v>
      </c>
      <c r="Q4" s="52" t="s">
        <v>11</v>
      </c>
      <c r="R4" s="52" t="s">
        <v>12</v>
      </c>
      <c r="V4" s="51"/>
      <c r="W4" s="52" t="s">
        <v>10</v>
      </c>
      <c r="X4" s="52" t="s">
        <v>11</v>
      </c>
      <c r="Y4" s="52" t="s">
        <v>12</v>
      </c>
      <c r="Z4" s="52" t="s">
        <v>10</v>
      </c>
      <c r="AA4" s="52" t="s">
        <v>11</v>
      </c>
      <c r="AB4" s="52" t="s">
        <v>12</v>
      </c>
      <c r="AC4" s="52" t="s">
        <v>10</v>
      </c>
      <c r="AD4" s="52" t="s">
        <v>11</v>
      </c>
      <c r="AE4" s="52" t="s">
        <v>12</v>
      </c>
      <c r="AF4" s="52" t="s">
        <v>10</v>
      </c>
      <c r="AG4" s="52" t="s">
        <v>11</v>
      </c>
      <c r="AH4" s="52" t="s">
        <v>12</v>
      </c>
      <c r="AI4" s="52" t="s">
        <v>10</v>
      </c>
      <c r="AJ4" s="52" t="s">
        <v>11</v>
      </c>
      <c r="AK4" s="52" t="s">
        <v>12</v>
      </c>
    </row>
    <row r="5" spans="1:37" ht="62" customHeight="1" x14ac:dyDescent="0.25">
      <c r="C5" s="64" t="s">
        <v>4</v>
      </c>
      <c r="D5" s="53" t="str">
        <f t="shared" ref="D5:R5" si="0">CONCATENATE(D3,D4)</f>
        <v>Т. Ориентированные на задачи1. Коммуникация</v>
      </c>
      <c r="E5" s="53" t="str">
        <f t="shared" si="0"/>
        <v>Т. Ориентированные на задачи2. Обоснование и аргументация</v>
      </c>
      <c r="F5" s="53" t="str">
        <f t="shared" si="0"/>
        <v>Т. Ориентированные на задачи3. Убеждение</v>
      </c>
      <c r="G5" s="53" t="str">
        <f t="shared" si="0"/>
        <v>I. Ориентированные на конкретные процессы1. Коммуникация</v>
      </c>
      <c r="H5" s="53" t="str">
        <f t="shared" si="0"/>
        <v>I. Ориентированные на конкретные процессы2. Обоснование и аргументация</v>
      </c>
      <c r="I5" s="53" t="str">
        <f t="shared" si="0"/>
        <v>I. Ориентированные на конкретные процессы3. Убеждение</v>
      </c>
      <c r="J5" s="53" t="str">
        <f t="shared" si="0"/>
        <v>II. Однородные1. Коммуникация</v>
      </c>
      <c r="K5" s="53" t="str">
        <f t="shared" si="0"/>
        <v>II. Однородные2. Обоснование и аргументация</v>
      </c>
      <c r="L5" s="53" t="str">
        <f t="shared" si="0"/>
        <v>II. Однородные3. Убеждение</v>
      </c>
      <c r="M5" s="53" t="str">
        <f t="shared" si="0"/>
        <v>III. Разнородные1. Коммуникация</v>
      </c>
      <c r="N5" s="53" t="str">
        <f t="shared" si="0"/>
        <v>III. Разнородные2. Обоснование и аргументация</v>
      </c>
      <c r="O5" s="53" t="str">
        <f t="shared" si="0"/>
        <v>III. Разнородные3. Убеждение</v>
      </c>
      <c r="P5" s="53" t="str">
        <f t="shared" si="0"/>
        <v>IV. Всеохватывающие1. Коммуникация</v>
      </c>
      <c r="Q5" s="53" t="str">
        <f t="shared" si="0"/>
        <v>IV. Всеохватывающие2. Обоснование и аргументация</v>
      </c>
      <c r="R5" s="53" t="str">
        <f t="shared" si="0"/>
        <v>IV. Всеохватывающие3. Убеждение</v>
      </c>
      <c r="V5" s="64" t="s">
        <v>4</v>
      </c>
      <c r="W5" s="53" t="str">
        <f t="shared" ref="W5:AK5" si="1">CONCATENATE(W3,W4)</f>
        <v>Т. Ориентированные на задачи1. Коммуникация</v>
      </c>
      <c r="X5" s="53" t="str">
        <f t="shared" si="1"/>
        <v>Т. Ориентированные на задачи2. Обоснование и аргументация</v>
      </c>
      <c r="Y5" s="53" t="str">
        <f t="shared" si="1"/>
        <v>Т. Ориентированные на задачи3. Убеждение</v>
      </c>
      <c r="Z5" s="53" t="str">
        <f t="shared" si="1"/>
        <v>I. Ориентированные на конкретные процессы1. Коммуникация</v>
      </c>
      <c r="AA5" s="53" t="str">
        <f t="shared" si="1"/>
        <v>I. Ориентированные на конкретные процессы2. Обоснование и аргументация</v>
      </c>
      <c r="AB5" s="53" t="str">
        <f t="shared" si="1"/>
        <v>I. Ориентированные на конкретные процессы3. Убеждение</v>
      </c>
      <c r="AC5" s="53" t="str">
        <f t="shared" si="1"/>
        <v>II. Однородные1. Коммуникация</v>
      </c>
      <c r="AD5" s="53" t="str">
        <f t="shared" si="1"/>
        <v>II. Однородные2. Обоснование и аргументация</v>
      </c>
      <c r="AE5" s="53" t="str">
        <f t="shared" si="1"/>
        <v>II. Однородные3. Убеждение</v>
      </c>
      <c r="AF5" s="53" t="str">
        <f t="shared" si="1"/>
        <v>III. Разнородные1. Коммуникация</v>
      </c>
      <c r="AG5" s="53" t="str">
        <f t="shared" si="1"/>
        <v>III. Разнородные2. Обоснование и аргументация</v>
      </c>
      <c r="AH5" s="110" t="str">
        <f t="shared" si="1"/>
        <v>III. Разнородные3. Убеждение</v>
      </c>
      <c r="AI5" s="53" t="str">
        <f t="shared" si="1"/>
        <v>IV. Всеохватывающие1. Коммуникация</v>
      </c>
      <c r="AJ5" s="53" t="str">
        <f t="shared" si="1"/>
        <v>IV. Всеохватывающие2. Обоснование и аргументация</v>
      </c>
      <c r="AK5" s="53" t="str">
        <f t="shared" si="1"/>
        <v>IV. Всеохватывающие3. Убеждение</v>
      </c>
    </row>
    <row r="6" spans="1:37" ht="13" x14ac:dyDescent="0.3">
      <c r="A6" s="54" t="str">
        <f>CONCATENATE(C6,B6)</f>
        <v>А. Элементарные. Базовые.(-)</v>
      </c>
      <c r="B6" s="46" t="s">
        <v>60</v>
      </c>
      <c r="C6" s="45" t="s">
        <v>16</v>
      </c>
      <c r="D6" s="52">
        <v>38</v>
      </c>
      <c r="E6" s="57">
        <v>43</v>
      </c>
      <c r="F6" s="59">
        <v>50</v>
      </c>
      <c r="G6" s="57">
        <v>50</v>
      </c>
      <c r="H6" s="59">
        <v>57</v>
      </c>
      <c r="I6" s="59">
        <v>66</v>
      </c>
      <c r="J6" s="59">
        <v>66</v>
      </c>
      <c r="K6" s="59">
        <v>76</v>
      </c>
      <c r="L6" s="59">
        <v>87</v>
      </c>
      <c r="M6" s="59">
        <v>87</v>
      </c>
      <c r="N6" s="59">
        <v>100</v>
      </c>
      <c r="O6" s="59">
        <v>115</v>
      </c>
      <c r="P6" s="59">
        <v>115</v>
      </c>
      <c r="Q6" s="59">
        <v>132</v>
      </c>
      <c r="R6" s="60">
        <v>152.09523809523799</v>
      </c>
      <c r="T6" s="54" t="str">
        <f>CONCATENATE(V6,U6)</f>
        <v>А. Элементарные. Базовые.(-)</v>
      </c>
      <c r="U6" s="46" t="s">
        <v>60</v>
      </c>
      <c r="V6" s="45" t="s">
        <v>16</v>
      </c>
      <c r="W6" s="48" t="s">
        <v>13</v>
      </c>
      <c r="X6" s="48" t="s">
        <v>14</v>
      </c>
      <c r="Y6" s="48" t="s">
        <v>15</v>
      </c>
      <c r="Z6" s="48" t="s">
        <v>14</v>
      </c>
      <c r="AA6" s="48" t="s">
        <v>15</v>
      </c>
      <c r="AB6" s="48" t="s">
        <v>15</v>
      </c>
      <c r="AC6" s="48" t="s">
        <v>15</v>
      </c>
      <c r="AD6" s="48" t="s">
        <v>15</v>
      </c>
      <c r="AE6" s="48" t="s">
        <v>15</v>
      </c>
      <c r="AF6" s="48" t="s">
        <v>15</v>
      </c>
      <c r="AG6" s="48" t="s">
        <v>15</v>
      </c>
      <c r="AH6" s="48" t="s">
        <v>15</v>
      </c>
      <c r="AI6" s="48" t="s">
        <v>15</v>
      </c>
      <c r="AJ6" s="48" t="s">
        <v>15</v>
      </c>
      <c r="AK6" s="48" t="s">
        <v>15</v>
      </c>
    </row>
    <row r="7" spans="1:37" ht="13" x14ac:dyDescent="0.3">
      <c r="A7" s="54" t="str">
        <f t="shared" ref="A7:A52" si="2">CONCATENATE(C7,B7)</f>
        <v>А. Элементарные. Базовые.</v>
      </c>
      <c r="C7" s="45" t="s">
        <v>16</v>
      </c>
      <c r="D7" s="47">
        <v>43</v>
      </c>
      <c r="E7" s="58">
        <v>50</v>
      </c>
      <c r="F7" s="61">
        <v>57</v>
      </c>
      <c r="G7" s="58">
        <v>57</v>
      </c>
      <c r="H7" s="61">
        <v>66</v>
      </c>
      <c r="I7" s="61">
        <v>76</v>
      </c>
      <c r="J7" s="61">
        <v>76</v>
      </c>
      <c r="K7" s="61">
        <v>87</v>
      </c>
      <c r="L7" s="61">
        <v>100</v>
      </c>
      <c r="M7" s="61">
        <v>100</v>
      </c>
      <c r="N7" s="61">
        <v>115</v>
      </c>
      <c r="O7" s="61">
        <v>132</v>
      </c>
      <c r="P7" s="61">
        <v>132</v>
      </c>
      <c r="Q7" s="61">
        <v>152</v>
      </c>
      <c r="R7" s="61">
        <v>175</v>
      </c>
      <c r="T7" s="54" t="str">
        <f t="shared" ref="T7:T29" si="3">CONCATENATE(V7,U7)</f>
        <v>А. Элементарные. Базовые.</v>
      </c>
      <c r="V7" s="45" t="s">
        <v>16</v>
      </c>
      <c r="W7" s="48" t="s">
        <v>13</v>
      </c>
      <c r="X7" s="48" t="s">
        <v>14</v>
      </c>
      <c r="Y7" s="48" t="s">
        <v>15</v>
      </c>
      <c r="Z7" s="48" t="s">
        <v>14</v>
      </c>
      <c r="AA7" s="48" t="s">
        <v>15</v>
      </c>
      <c r="AB7" s="48" t="s">
        <v>15</v>
      </c>
      <c r="AC7" s="48" t="s">
        <v>15</v>
      </c>
      <c r="AD7" s="48" t="s">
        <v>15</v>
      </c>
      <c r="AE7" s="48" t="s">
        <v>15</v>
      </c>
      <c r="AF7" s="48" t="s">
        <v>15</v>
      </c>
      <c r="AG7" s="48" t="s">
        <v>15</v>
      </c>
      <c r="AH7" s="48" t="s">
        <v>15</v>
      </c>
      <c r="AI7" s="48" t="s">
        <v>15</v>
      </c>
      <c r="AJ7" s="48" t="s">
        <v>15</v>
      </c>
      <c r="AK7" s="48" t="s">
        <v>15</v>
      </c>
    </row>
    <row r="8" spans="1:37" ht="13" x14ac:dyDescent="0.3">
      <c r="A8" s="54" t="str">
        <f t="shared" si="2"/>
        <v>А. Элементарные. Базовые.(+)</v>
      </c>
      <c r="B8" s="46" t="s">
        <v>61</v>
      </c>
      <c r="C8" s="45" t="s">
        <v>16</v>
      </c>
      <c r="D8" s="47">
        <v>50</v>
      </c>
      <c r="E8" s="58">
        <v>57</v>
      </c>
      <c r="F8" s="61">
        <v>66</v>
      </c>
      <c r="G8" s="58">
        <v>66</v>
      </c>
      <c r="H8" s="61">
        <v>76</v>
      </c>
      <c r="I8" s="61">
        <v>87</v>
      </c>
      <c r="J8" s="61">
        <v>87</v>
      </c>
      <c r="K8" s="61">
        <v>100</v>
      </c>
      <c r="L8" s="61">
        <v>115</v>
      </c>
      <c r="M8" s="61">
        <v>115</v>
      </c>
      <c r="N8" s="61">
        <v>132</v>
      </c>
      <c r="O8" s="61">
        <v>152</v>
      </c>
      <c r="P8" s="61">
        <v>152</v>
      </c>
      <c r="Q8" s="61">
        <v>175</v>
      </c>
      <c r="R8" s="61">
        <v>200</v>
      </c>
      <c r="T8" s="54" t="str">
        <f t="shared" si="3"/>
        <v>А. Элементарные. Базовые.(+)</v>
      </c>
      <c r="U8" s="46" t="s">
        <v>61</v>
      </c>
      <c r="V8" s="45" t="s">
        <v>16</v>
      </c>
      <c r="W8" s="48" t="s">
        <v>13</v>
      </c>
      <c r="X8" s="48" t="s">
        <v>14</v>
      </c>
      <c r="Y8" s="48" t="s">
        <v>15</v>
      </c>
      <c r="Z8" s="48" t="s">
        <v>14</v>
      </c>
      <c r="AA8" s="48" t="s">
        <v>15</v>
      </c>
      <c r="AB8" s="48" t="s">
        <v>15</v>
      </c>
      <c r="AC8" s="48" t="s">
        <v>15</v>
      </c>
      <c r="AD8" s="48" t="s">
        <v>15</v>
      </c>
      <c r="AE8" s="48" t="s">
        <v>15</v>
      </c>
      <c r="AF8" s="48" t="s">
        <v>15</v>
      </c>
      <c r="AG8" s="48" t="s">
        <v>15</v>
      </c>
      <c r="AH8" s="48" t="s">
        <v>15</v>
      </c>
      <c r="AI8" s="48" t="s">
        <v>15</v>
      </c>
      <c r="AJ8" s="48" t="s">
        <v>15</v>
      </c>
      <c r="AK8" s="48" t="s">
        <v>15</v>
      </c>
    </row>
    <row r="9" spans="1:37" ht="13" x14ac:dyDescent="0.3">
      <c r="A9" s="54" t="str">
        <f t="shared" si="2"/>
        <v>В. Начальные практические(-)</v>
      </c>
      <c r="B9" s="46" t="s">
        <v>60</v>
      </c>
      <c r="C9" s="45" t="s">
        <v>17</v>
      </c>
      <c r="D9" s="52">
        <v>50</v>
      </c>
      <c r="E9" s="52">
        <v>57</v>
      </c>
      <c r="F9" s="59">
        <v>66</v>
      </c>
      <c r="G9" s="52">
        <v>66</v>
      </c>
      <c r="H9" s="52">
        <v>76</v>
      </c>
      <c r="I9" s="57">
        <v>87</v>
      </c>
      <c r="J9" s="59">
        <v>87</v>
      </c>
      <c r="K9" s="59">
        <v>100</v>
      </c>
      <c r="L9" s="59">
        <v>115</v>
      </c>
      <c r="M9" s="59">
        <v>132</v>
      </c>
      <c r="N9" s="59">
        <v>152</v>
      </c>
      <c r="O9" s="59">
        <v>152</v>
      </c>
      <c r="P9" s="59">
        <v>152</v>
      </c>
      <c r="Q9" s="59">
        <v>175</v>
      </c>
      <c r="R9" s="59">
        <v>200</v>
      </c>
      <c r="T9" s="54" t="str">
        <f t="shared" si="3"/>
        <v>В. Начальные практические(-)</v>
      </c>
      <c r="U9" s="46" t="s">
        <v>60</v>
      </c>
      <c r="V9" s="45" t="s">
        <v>17</v>
      </c>
      <c r="W9" s="48" t="s">
        <v>13</v>
      </c>
      <c r="X9" s="48" t="s">
        <v>13</v>
      </c>
      <c r="Y9" s="48" t="s">
        <v>15</v>
      </c>
      <c r="Z9" s="48" t="s">
        <v>13</v>
      </c>
      <c r="AA9" s="48" t="s">
        <v>13</v>
      </c>
      <c r="AB9" s="48" t="s">
        <v>14</v>
      </c>
      <c r="AC9" s="48" t="s">
        <v>15</v>
      </c>
      <c r="AD9" s="48" t="s">
        <v>15</v>
      </c>
      <c r="AE9" s="48" t="s">
        <v>15</v>
      </c>
      <c r="AF9" s="48" t="s">
        <v>15</v>
      </c>
      <c r="AG9" s="48" t="s">
        <v>15</v>
      </c>
      <c r="AH9" s="48" t="s">
        <v>15</v>
      </c>
      <c r="AI9" s="48" t="s">
        <v>15</v>
      </c>
      <c r="AJ9" s="48" t="s">
        <v>15</v>
      </c>
      <c r="AK9" s="48" t="s">
        <v>15</v>
      </c>
    </row>
    <row r="10" spans="1:37" ht="13" x14ac:dyDescent="0.3">
      <c r="A10" s="54" t="str">
        <f t="shared" si="2"/>
        <v>В. Начальные практические</v>
      </c>
      <c r="C10" s="45" t="s">
        <v>17</v>
      </c>
      <c r="D10" s="47">
        <v>57</v>
      </c>
      <c r="E10" s="47">
        <v>66</v>
      </c>
      <c r="F10" s="61">
        <v>76</v>
      </c>
      <c r="G10" s="47">
        <v>76</v>
      </c>
      <c r="H10" s="47">
        <v>87</v>
      </c>
      <c r="I10" s="58">
        <v>100</v>
      </c>
      <c r="J10" s="61">
        <v>100</v>
      </c>
      <c r="K10" s="61">
        <v>115</v>
      </c>
      <c r="L10" s="61">
        <v>132</v>
      </c>
      <c r="M10" s="61">
        <v>132</v>
      </c>
      <c r="N10" s="61">
        <v>152</v>
      </c>
      <c r="O10" s="61">
        <v>175</v>
      </c>
      <c r="P10" s="61">
        <v>175</v>
      </c>
      <c r="Q10" s="61">
        <v>200</v>
      </c>
      <c r="R10" s="61">
        <v>230</v>
      </c>
      <c r="T10" s="54" t="str">
        <f t="shared" si="3"/>
        <v>В. Начальные практические</v>
      </c>
      <c r="V10" s="45" t="s">
        <v>17</v>
      </c>
      <c r="W10" s="48" t="s">
        <v>13</v>
      </c>
      <c r="X10" s="48" t="s">
        <v>13</v>
      </c>
      <c r="Y10" s="48" t="s">
        <v>15</v>
      </c>
      <c r="Z10" s="48" t="s">
        <v>13</v>
      </c>
      <c r="AA10" s="48" t="s">
        <v>13</v>
      </c>
      <c r="AB10" s="48" t="s">
        <v>14</v>
      </c>
      <c r="AC10" s="48" t="s">
        <v>15</v>
      </c>
      <c r="AD10" s="48" t="s">
        <v>15</v>
      </c>
      <c r="AE10" s="48" t="s">
        <v>15</v>
      </c>
      <c r="AF10" s="48" t="s">
        <v>15</v>
      </c>
      <c r="AG10" s="48" t="s">
        <v>15</v>
      </c>
      <c r="AH10" s="48" t="s">
        <v>15</v>
      </c>
      <c r="AI10" s="48" t="s">
        <v>15</v>
      </c>
      <c r="AJ10" s="48" t="s">
        <v>15</v>
      </c>
      <c r="AK10" s="48" t="s">
        <v>15</v>
      </c>
    </row>
    <row r="11" spans="1:37" ht="13" x14ac:dyDescent="0.3">
      <c r="A11" s="54" t="str">
        <f t="shared" si="2"/>
        <v>В. Начальные практические(+)</v>
      </c>
      <c r="B11" s="46" t="s">
        <v>61</v>
      </c>
      <c r="C11" s="45" t="s">
        <v>17</v>
      </c>
      <c r="D11" s="47">
        <v>66</v>
      </c>
      <c r="E11" s="47">
        <v>76</v>
      </c>
      <c r="F11" s="61">
        <v>87</v>
      </c>
      <c r="G11" s="47">
        <v>87</v>
      </c>
      <c r="H11" s="47">
        <v>100</v>
      </c>
      <c r="I11" s="58">
        <v>115</v>
      </c>
      <c r="J11" s="61">
        <v>115</v>
      </c>
      <c r="K11" s="61">
        <v>132</v>
      </c>
      <c r="L11" s="61">
        <v>152</v>
      </c>
      <c r="M11" s="61">
        <v>152</v>
      </c>
      <c r="N11" s="61">
        <v>175</v>
      </c>
      <c r="O11" s="61">
        <v>200</v>
      </c>
      <c r="P11" s="61">
        <v>200</v>
      </c>
      <c r="Q11" s="61">
        <v>230</v>
      </c>
      <c r="R11" s="61">
        <v>264</v>
      </c>
      <c r="T11" s="54" t="str">
        <f t="shared" si="3"/>
        <v>В. Начальные практические(+)</v>
      </c>
      <c r="U11" s="46" t="s">
        <v>61</v>
      </c>
      <c r="V11" s="45" t="s">
        <v>17</v>
      </c>
      <c r="W11" s="48" t="s">
        <v>13</v>
      </c>
      <c r="X11" s="48" t="s">
        <v>13</v>
      </c>
      <c r="Y11" s="48" t="s">
        <v>15</v>
      </c>
      <c r="Z11" s="48" t="s">
        <v>13</v>
      </c>
      <c r="AA11" s="48" t="s">
        <v>13</v>
      </c>
      <c r="AB11" s="48" t="s">
        <v>14</v>
      </c>
      <c r="AC11" s="48" t="s">
        <v>15</v>
      </c>
      <c r="AD11" s="48" t="s">
        <v>15</v>
      </c>
      <c r="AE11" s="48" t="s">
        <v>15</v>
      </c>
      <c r="AF11" s="48" t="s">
        <v>15</v>
      </c>
      <c r="AG11" s="48" t="s">
        <v>15</v>
      </c>
      <c r="AH11" s="48" t="s">
        <v>15</v>
      </c>
      <c r="AI11" s="48" t="s">
        <v>15</v>
      </c>
      <c r="AJ11" s="48" t="s">
        <v>15</v>
      </c>
      <c r="AK11" s="48" t="s">
        <v>15</v>
      </c>
    </row>
    <row r="12" spans="1:37" ht="13" x14ac:dyDescent="0.3">
      <c r="A12" s="54" t="str">
        <f t="shared" si="2"/>
        <v>С. Общие практические(-)</v>
      </c>
      <c r="B12" s="46" t="s">
        <v>60</v>
      </c>
      <c r="C12" s="45" t="s">
        <v>18</v>
      </c>
      <c r="D12" s="52">
        <v>66</v>
      </c>
      <c r="E12" s="52">
        <v>76</v>
      </c>
      <c r="F12" s="59">
        <v>87</v>
      </c>
      <c r="G12" s="52">
        <v>87</v>
      </c>
      <c r="H12" s="52">
        <v>100</v>
      </c>
      <c r="I12" s="52">
        <v>115</v>
      </c>
      <c r="J12" s="59">
        <v>115</v>
      </c>
      <c r="K12" s="59">
        <v>132</v>
      </c>
      <c r="L12" s="59">
        <v>152</v>
      </c>
      <c r="M12" s="59">
        <v>175</v>
      </c>
      <c r="N12" s="59">
        <v>200</v>
      </c>
      <c r="O12" s="59">
        <v>200</v>
      </c>
      <c r="P12" s="59">
        <v>200</v>
      </c>
      <c r="Q12" s="59">
        <v>230</v>
      </c>
      <c r="R12" s="59">
        <v>264</v>
      </c>
      <c r="T12" s="54" t="str">
        <f t="shared" si="3"/>
        <v>С. Общие практические(-)</v>
      </c>
      <c r="U12" s="46" t="s">
        <v>60</v>
      </c>
      <c r="V12" s="45" t="s">
        <v>18</v>
      </c>
      <c r="W12" s="48" t="s">
        <v>13</v>
      </c>
      <c r="X12" s="48" t="s">
        <v>13</v>
      </c>
      <c r="Y12" s="48" t="s">
        <v>15</v>
      </c>
      <c r="Z12" s="48" t="s">
        <v>13</v>
      </c>
      <c r="AA12" s="48" t="s">
        <v>13</v>
      </c>
      <c r="AB12" s="48" t="s">
        <v>13</v>
      </c>
      <c r="AC12" s="48" t="s">
        <v>15</v>
      </c>
      <c r="AD12" s="48" t="s">
        <v>15</v>
      </c>
      <c r="AE12" s="48" t="s">
        <v>15</v>
      </c>
      <c r="AF12" s="48" t="s">
        <v>15</v>
      </c>
      <c r="AG12" s="48" t="s">
        <v>15</v>
      </c>
      <c r="AH12" s="48" t="s">
        <v>15</v>
      </c>
      <c r="AI12" s="48" t="s">
        <v>15</v>
      </c>
      <c r="AJ12" s="48" t="s">
        <v>15</v>
      </c>
      <c r="AK12" s="48" t="s">
        <v>15</v>
      </c>
    </row>
    <row r="13" spans="1:37" ht="13" x14ac:dyDescent="0.3">
      <c r="A13" s="54" t="str">
        <f t="shared" si="2"/>
        <v>С. Общие практические</v>
      </c>
      <c r="C13" s="45" t="s">
        <v>18</v>
      </c>
      <c r="D13" s="47">
        <v>76</v>
      </c>
      <c r="E13" s="47">
        <v>87</v>
      </c>
      <c r="F13" s="61">
        <v>100</v>
      </c>
      <c r="G13" s="47">
        <v>100</v>
      </c>
      <c r="H13" s="47">
        <v>115</v>
      </c>
      <c r="I13" s="47">
        <v>132</v>
      </c>
      <c r="J13" s="61">
        <v>132</v>
      </c>
      <c r="K13" s="61">
        <v>152</v>
      </c>
      <c r="L13" s="61">
        <v>175</v>
      </c>
      <c r="M13" s="61">
        <v>175</v>
      </c>
      <c r="N13" s="61">
        <v>200</v>
      </c>
      <c r="O13" s="61">
        <v>230</v>
      </c>
      <c r="P13" s="61">
        <v>230</v>
      </c>
      <c r="Q13" s="61">
        <v>264</v>
      </c>
      <c r="R13" s="61">
        <v>304</v>
      </c>
      <c r="T13" s="54" t="str">
        <f t="shared" si="3"/>
        <v>С. Общие практические</v>
      </c>
      <c r="V13" s="45" t="s">
        <v>18</v>
      </c>
      <c r="W13" s="48" t="s">
        <v>13</v>
      </c>
      <c r="X13" s="48" t="s">
        <v>13</v>
      </c>
      <c r="Y13" s="48" t="s">
        <v>15</v>
      </c>
      <c r="Z13" s="48" t="s">
        <v>13</v>
      </c>
      <c r="AA13" s="48" t="s">
        <v>13</v>
      </c>
      <c r="AB13" s="48" t="s">
        <v>13</v>
      </c>
      <c r="AC13" s="48" t="s">
        <v>15</v>
      </c>
      <c r="AD13" s="48" t="s">
        <v>15</v>
      </c>
      <c r="AE13" s="48" t="s">
        <v>15</v>
      </c>
      <c r="AF13" s="48" t="s">
        <v>15</v>
      </c>
      <c r="AG13" s="48" t="s">
        <v>15</v>
      </c>
      <c r="AH13" s="48" t="s">
        <v>15</v>
      </c>
      <c r="AI13" s="48" t="s">
        <v>15</v>
      </c>
      <c r="AJ13" s="48" t="s">
        <v>15</v>
      </c>
      <c r="AK13" s="48" t="s">
        <v>15</v>
      </c>
    </row>
    <row r="14" spans="1:37" ht="13" x14ac:dyDescent="0.3">
      <c r="A14" s="54" t="str">
        <f t="shared" si="2"/>
        <v>С. Общие практические(+)</v>
      </c>
      <c r="B14" s="46" t="s">
        <v>61</v>
      </c>
      <c r="C14" s="45" t="s">
        <v>18</v>
      </c>
      <c r="D14" s="47">
        <v>87</v>
      </c>
      <c r="E14" s="47">
        <v>100</v>
      </c>
      <c r="F14" s="61">
        <v>115</v>
      </c>
      <c r="G14" s="47">
        <v>115</v>
      </c>
      <c r="H14" s="47">
        <v>132</v>
      </c>
      <c r="I14" s="47">
        <v>152</v>
      </c>
      <c r="J14" s="61">
        <v>152</v>
      </c>
      <c r="K14" s="61">
        <v>175</v>
      </c>
      <c r="L14" s="61">
        <v>200</v>
      </c>
      <c r="M14" s="61">
        <v>200</v>
      </c>
      <c r="N14" s="61">
        <v>230</v>
      </c>
      <c r="O14" s="61">
        <v>264</v>
      </c>
      <c r="P14" s="61">
        <v>264</v>
      </c>
      <c r="Q14" s="61">
        <v>304</v>
      </c>
      <c r="R14" s="61">
        <v>350</v>
      </c>
      <c r="S14" s="56"/>
      <c r="T14" s="54" t="str">
        <f t="shared" si="3"/>
        <v>С. Общие практические(+)</v>
      </c>
      <c r="U14" s="46" t="s">
        <v>61</v>
      </c>
      <c r="V14" s="45" t="s">
        <v>18</v>
      </c>
      <c r="W14" s="48" t="s">
        <v>13</v>
      </c>
      <c r="X14" s="48" t="s">
        <v>13</v>
      </c>
      <c r="Y14" s="48" t="s">
        <v>15</v>
      </c>
      <c r="Z14" s="48" t="s">
        <v>13</v>
      </c>
      <c r="AA14" s="48" t="s">
        <v>13</v>
      </c>
      <c r="AB14" s="48" t="s">
        <v>13</v>
      </c>
      <c r="AC14" s="48" t="s">
        <v>15</v>
      </c>
      <c r="AD14" s="48" t="s">
        <v>15</v>
      </c>
      <c r="AE14" s="48" t="s">
        <v>15</v>
      </c>
      <c r="AF14" s="48" t="s">
        <v>15</v>
      </c>
      <c r="AG14" s="48" t="s">
        <v>15</v>
      </c>
      <c r="AH14" s="48" t="s">
        <v>15</v>
      </c>
      <c r="AI14" s="48" t="s">
        <v>15</v>
      </c>
      <c r="AJ14" s="48" t="s">
        <v>15</v>
      </c>
      <c r="AK14" s="48" t="s">
        <v>15</v>
      </c>
    </row>
    <row r="15" spans="1:37" ht="13" x14ac:dyDescent="0.3">
      <c r="A15" s="54" t="str">
        <f t="shared" si="2"/>
        <v>D. Продвинутые практические(-)</v>
      </c>
      <c r="B15" s="46" t="s">
        <v>60</v>
      </c>
      <c r="C15" s="45" t="s">
        <v>19</v>
      </c>
      <c r="D15" s="57">
        <v>87</v>
      </c>
      <c r="E15" s="59">
        <v>100</v>
      </c>
      <c r="F15" s="59">
        <v>115</v>
      </c>
      <c r="G15" s="52">
        <v>115</v>
      </c>
      <c r="H15" s="52">
        <v>132</v>
      </c>
      <c r="I15" s="52">
        <v>152</v>
      </c>
      <c r="J15" s="59">
        <v>152</v>
      </c>
      <c r="K15" s="57">
        <v>175</v>
      </c>
      <c r="L15" s="57">
        <v>200</v>
      </c>
      <c r="M15" s="59">
        <v>230</v>
      </c>
      <c r="N15" s="59">
        <v>264</v>
      </c>
      <c r="O15" s="52">
        <v>264</v>
      </c>
      <c r="P15" s="59">
        <v>264</v>
      </c>
      <c r="Q15" s="59">
        <v>304</v>
      </c>
      <c r="R15" s="52">
        <v>350</v>
      </c>
      <c r="S15" s="56"/>
      <c r="T15" s="54" t="str">
        <f t="shared" si="3"/>
        <v>D. Продвинутые практические(-)</v>
      </c>
      <c r="U15" s="46" t="s">
        <v>60</v>
      </c>
      <c r="V15" s="45" t="s">
        <v>19</v>
      </c>
      <c r="W15" s="48" t="s">
        <v>14</v>
      </c>
      <c r="X15" s="48" t="s">
        <v>15</v>
      </c>
      <c r="Y15" s="48" t="s">
        <v>15</v>
      </c>
      <c r="Z15" s="48" t="s">
        <v>13</v>
      </c>
      <c r="AA15" s="48" t="s">
        <v>13</v>
      </c>
      <c r="AB15" s="48" t="s">
        <v>13</v>
      </c>
      <c r="AC15" s="48" t="s">
        <v>15</v>
      </c>
      <c r="AD15" s="48" t="s">
        <v>14</v>
      </c>
      <c r="AE15" s="48" t="s">
        <v>14</v>
      </c>
      <c r="AF15" s="48" t="s">
        <v>15</v>
      </c>
      <c r="AG15" s="48" t="s">
        <v>15</v>
      </c>
      <c r="AH15" s="48" t="s">
        <v>15</v>
      </c>
      <c r="AI15" s="48" t="s">
        <v>15</v>
      </c>
      <c r="AJ15" s="48" t="s">
        <v>15</v>
      </c>
      <c r="AK15" s="48" t="s">
        <v>15</v>
      </c>
    </row>
    <row r="16" spans="1:37" ht="13" x14ac:dyDescent="0.3">
      <c r="A16" s="54" t="str">
        <f t="shared" si="2"/>
        <v>D. Продвинутые практические</v>
      </c>
      <c r="C16" s="45" t="s">
        <v>19</v>
      </c>
      <c r="D16" s="58">
        <v>100</v>
      </c>
      <c r="E16" s="61">
        <v>115</v>
      </c>
      <c r="F16" s="61">
        <v>132</v>
      </c>
      <c r="G16" s="47">
        <v>132</v>
      </c>
      <c r="H16" s="47">
        <v>152</v>
      </c>
      <c r="I16" s="47">
        <v>175</v>
      </c>
      <c r="J16" s="61">
        <v>175</v>
      </c>
      <c r="K16" s="58">
        <v>200</v>
      </c>
      <c r="L16" s="58">
        <v>230</v>
      </c>
      <c r="M16" s="61">
        <v>230</v>
      </c>
      <c r="N16" s="61">
        <v>264</v>
      </c>
      <c r="O16" s="47">
        <v>304</v>
      </c>
      <c r="P16" s="61">
        <v>304</v>
      </c>
      <c r="Q16" s="61">
        <v>350</v>
      </c>
      <c r="R16" s="47">
        <v>400</v>
      </c>
      <c r="S16" s="56"/>
      <c r="T16" s="54" t="str">
        <f t="shared" si="3"/>
        <v>D. Продвинутые практические</v>
      </c>
      <c r="V16" s="45" t="s">
        <v>19</v>
      </c>
      <c r="W16" s="48" t="s">
        <v>14</v>
      </c>
      <c r="X16" s="48" t="s">
        <v>15</v>
      </c>
      <c r="Y16" s="48" t="s">
        <v>15</v>
      </c>
      <c r="Z16" s="48" t="s">
        <v>13</v>
      </c>
      <c r="AA16" s="48" t="s">
        <v>13</v>
      </c>
      <c r="AB16" s="48" t="s">
        <v>13</v>
      </c>
      <c r="AC16" s="48" t="s">
        <v>15</v>
      </c>
      <c r="AD16" s="48" t="s">
        <v>14</v>
      </c>
      <c r="AE16" s="48" t="s">
        <v>14</v>
      </c>
      <c r="AF16" s="48" t="s">
        <v>15</v>
      </c>
      <c r="AG16" s="48" t="s">
        <v>15</v>
      </c>
      <c r="AH16" s="48" t="s">
        <v>15</v>
      </c>
      <c r="AI16" s="48" t="s">
        <v>15</v>
      </c>
      <c r="AJ16" s="48" t="s">
        <v>15</v>
      </c>
      <c r="AK16" s="48" t="s">
        <v>15</v>
      </c>
    </row>
    <row r="17" spans="1:37" ht="13" x14ac:dyDescent="0.3">
      <c r="A17" s="54" t="str">
        <f t="shared" si="2"/>
        <v>D. Продвинутые практические(+)</v>
      </c>
      <c r="B17" s="46" t="s">
        <v>61</v>
      </c>
      <c r="C17" s="45" t="s">
        <v>19</v>
      </c>
      <c r="D17" s="58">
        <v>115</v>
      </c>
      <c r="E17" s="61">
        <v>132</v>
      </c>
      <c r="F17" s="61">
        <v>152</v>
      </c>
      <c r="G17" s="47">
        <v>152</v>
      </c>
      <c r="H17" s="47">
        <v>175</v>
      </c>
      <c r="I17" s="47">
        <v>200</v>
      </c>
      <c r="J17" s="61">
        <v>200</v>
      </c>
      <c r="K17" s="58">
        <v>230</v>
      </c>
      <c r="L17" s="58">
        <v>264</v>
      </c>
      <c r="M17" s="61">
        <v>264</v>
      </c>
      <c r="N17" s="61">
        <v>304</v>
      </c>
      <c r="O17" s="47">
        <v>350</v>
      </c>
      <c r="P17" s="61">
        <v>350</v>
      </c>
      <c r="Q17" s="61">
        <v>400</v>
      </c>
      <c r="R17" s="47">
        <v>460</v>
      </c>
      <c r="S17" s="56"/>
      <c r="T17" s="54" t="str">
        <f t="shared" si="3"/>
        <v>D. Продвинутые практические(+)</v>
      </c>
      <c r="U17" s="46" t="s">
        <v>61</v>
      </c>
      <c r="V17" s="45" t="s">
        <v>19</v>
      </c>
      <c r="W17" s="48" t="s">
        <v>14</v>
      </c>
      <c r="X17" s="48" t="s">
        <v>15</v>
      </c>
      <c r="Y17" s="48" t="s">
        <v>15</v>
      </c>
      <c r="Z17" s="48" t="s">
        <v>13</v>
      </c>
      <c r="AA17" s="48" t="s">
        <v>13</v>
      </c>
      <c r="AB17" s="48" t="s">
        <v>13</v>
      </c>
      <c r="AC17" s="48" t="s">
        <v>15</v>
      </c>
      <c r="AD17" s="48" t="s">
        <v>14</v>
      </c>
      <c r="AE17" s="48" t="s">
        <v>14</v>
      </c>
      <c r="AF17" s="48" t="s">
        <v>15</v>
      </c>
      <c r="AG17" s="48" t="s">
        <v>15</v>
      </c>
      <c r="AH17" s="48" t="s">
        <v>15</v>
      </c>
      <c r="AI17" s="48" t="s">
        <v>15</v>
      </c>
      <c r="AJ17" s="48" t="s">
        <v>15</v>
      </c>
      <c r="AK17" s="48" t="s">
        <v>15</v>
      </c>
    </row>
    <row r="18" spans="1:37" ht="13" x14ac:dyDescent="0.3">
      <c r="A18" s="54" t="str">
        <f t="shared" si="2"/>
        <v>E. Профессиональные(-)</v>
      </c>
      <c r="B18" s="46" t="s">
        <v>60</v>
      </c>
      <c r="C18" s="45" t="s">
        <v>20</v>
      </c>
      <c r="D18" s="59">
        <v>115</v>
      </c>
      <c r="E18" s="59">
        <v>132</v>
      </c>
      <c r="F18" s="59">
        <v>152</v>
      </c>
      <c r="G18" s="52">
        <v>152</v>
      </c>
      <c r="H18" s="52">
        <v>175</v>
      </c>
      <c r="I18" s="52">
        <v>200</v>
      </c>
      <c r="J18" s="57">
        <v>200</v>
      </c>
      <c r="K18" s="52">
        <v>230</v>
      </c>
      <c r="L18" s="52">
        <v>264</v>
      </c>
      <c r="M18" s="59">
        <v>264</v>
      </c>
      <c r="N18" s="59">
        <v>304</v>
      </c>
      <c r="O18" s="52">
        <v>350</v>
      </c>
      <c r="P18" s="59">
        <v>350</v>
      </c>
      <c r="Q18" s="59">
        <v>400</v>
      </c>
      <c r="R18" s="52">
        <v>460</v>
      </c>
      <c r="T18" s="54" t="str">
        <f t="shared" si="3"/>
        <v>E. Профессиональные(-)</v>
      </c>
      <c r="U18" s="46" t="s">
        <v>60</v>
      </c>
      <c r="V18" s="45" t="s">
        <v>20</v>
      </c>
      <c r="W18" s="48" t="s">
        <v>15</v>
      </c>
      <c r="X18" s="48" t="s">
        <v>15</v>
      </c>
      <c r="Y18" s="48" t="s">
        <v>15</v>
      </c>
      <c r="Z18" s="48" t="s">
        <v>13</v>
      </c>
      <c r="AA18" s="48" t="s">
        <v>13</v>
      </c>
      <c r="AB18" s="48" t="s">
        <v>13</v>
      </c>
      <c r="AC18" s="48" t="s">
        <v>14</v>
      </c>
      <c r="AD18" s="48" t="s">
        <v>13</v>
      </c>
      <c r="AE18" s="48" t="s">
        <v>13</v>
      </c>
      <c r="AF18" s="48" t="s">
        <v>15</v>
      </c>
      <c r="AG18" s="48" t="s">
        <v>15</v>
      </c>
      <c r="AH18" s="48" t="s">
        <v>15</v>
      </c>
      <c r="AI18" s="48" t="s">
        <v>15</v>
      </c>
      <c r="AJ18" s="48" t="s">
        <v>15</v>
      </c>
      <c r="AK18" s="48" t="s">
        <v>15</v>
      </c>
    </row>
    <row r="19" spans="1:37" ht="13" x14ac:dyDescent="0.3">
      <c r="A19" s="54" t="str">
        <f t="shared" si="2"/>
        <v>E. Профессиональные</v>
      </c>
      <c r="C19" s="45" t="s">
        <v>20</v>
      </c>
      <c r="D19" s="61">
        <v>132</v>
      </c>
      <c r="E19" s="61">
        <v>152</v>
      </c>
      <c r="F19" s="61">
        <v>175</v>
      </c>
      <c r="G19" s="47">
        <v>175</v>
      </c>
      <c r="H19" s="47">
        <v>200</v>
      </c>
      <c r="I19" s="47">
        <v>230</v>
      </c>
      <c r="J19" s="58">
        <v>230</v>
      </c>
      <c r="K19" s="47">
        <v>264</v>
      </c>
      <c r="L19" s="47">
        <v>304</v>
      </c>
      <c r="M19" s="61">
        <v>304</v>
      </c>
      <c r="N19" s="61">
        <v>350</v>
      </c>
      <c r="O19" s="47">
        <v>400</v>
      </c>
      <c r="P19" s="61">
        <v>400</v>
      </c>
      <c r="Q19" s="61">
        <v>460</v>
      </c>
      <c r="R19" s="47">
        <v>528</v>
      </c>
      <c r="T19" s="54" t="str">
        <f t="shared" si="3"/>
        <v>E. Профессиональные</v>
      </c>
      <c r="V19" s="45" t="s">
        <v>20</v>
      </c>
      <c r="W19" s="48" t="s">
        <v>15</v>
      </c>
      <c r="X19" s="48" t="s">
        <v>15</v>
      </c>
      <c r="Y19" s="48" t="s">
        <v>15</v>
      </c>
      <c r="Z19" s="48" t="s">
        <v>13</v>
      </c>
      <c r="AA19" s="48" t="s">
        <v>13</v>
      </c>
      <c r="AB19" s="48" t="s">
        <v>13</v>
      </c>
      <c r="AC19" s="48" t="s">
        <v>14</v>
      </c>
      <c r="AD19" s="48" t="s">
        <v>13</v>
      </c>
      <c r="AE19" s="48" t="s">
        <v>13</v>
      </c>
      <c r="AF19" s="48" t="s">
        <v>15</v>
      </c>
      <c r="AG19" s="48" t="s">
        <v>15</v>
      </c>
      <c r="AH19" s="48" t="s">
        <v>15</v>
      </c>
      <c r="AI19" s="48" t="s">
        <v>15</v>
      </c>
      <c r="AJ19" s="48" t="s">
        <v>15</v>
      </c>
      <c r="AK19" s="48" t="s">
        <v>15</v>
      </c>
    </row>
    <row r="20" spans="1:37" ht="13" x14ac:dyDescent="0.3">
      <c r="A20" s="54" t="str">
        <f t="shared" si="2"/>
        <v>E. Профессиональные(+)</v>
      </c>
      <c r="B20" s="46" t="s">
        <v>61</v>
      </c>
      <c r="C20" s="45" t="s">
        <v>20</v>
      </c>
      <c r="D20" s="61">
        <v>152</v>
      </c>
      <c r="E20" s="61">
        <v>175</v>
      </c>
      <c r="F20" s="61">
        <v>200</v>
      </c>
      <c r="G20" s="47">
        <v>200</v>
      </c>
      <c r="H20" s="47">
        <v>230</v>
      </c>
      <c r="I20" s="47">
        <v>264</v>
      </c>
      <c r="J20" s="58">
        <v>264</v>
      </c>
      <c r="K20" s="47">
        <v>304</v>
      </c>
      <c r="L20" s="47">
        <v>350</v>
      </c>
      <c r="M20" s="61">
        <v>350</v>
      </c>
      <c r="N20" s="61">
        <v>400</v>
      </c>
      <c r="O20" s="47">
        <v>460</v>
      </c>
      <c r="P20" s="61">
        <v>460</v>
      </c>
      <c r="Q20" s="61">
        <v>528</v>
      </c>
      <c r="R20" s="47">
        <v>608</v>
      </c>
      <c r="T20" s="54" t="str">
        <f t="shared" si="3"/>
        <v>E. Профессиональные(+)</v>
      </c>
      <c r="U20" s="46" t="s">
        <v>61</v>
      </c>
      <c r="V20" s="45" t="s">
        <v>20</v>
      </c>
      <c r="W20" s="48" t="s">
        <v>15</v>
      </c>
      <c r="X20" s="48" t="s">
        <v>15</v>
      </c>
      <c r="Y20" s="48" t="s">
        <v>15</v>
      </c>
      <c r="Z20" s="48" t="s">
        <v>13</v>
      </c>
      <c r="AA20" s="48" t="s">
        <v>13</v>
      </c>
      <c r="AB20" s="48" t="s">
        <v>13</v>
      </c>
      <c r="AC20" s="48" t="s">
        <v>14</v>
      </c>
      <c r="AD20" s="48" t="s">
        <v>13</v>
      </c>
      <c r="AE20" s="48" t="s">
        <v>13</v>
      </c>
      <c r="AF20" s="48" t="s">
        <v>15</v>
      </c>
      <c r="AG20" s="48" t="s">
        <v>15</v>
      </c>
      <c r="AH20" s="48" t="s">
        <v>15</v>
      </c>
      <c r="AI20" s="48" t="s">
        <v>15</v>
      </c>
      <c r="AJ20" s="48" t="s">
        <v>15</v>
      </c>
      <c r="AK20" s="48" t="s">
        <v>15</v>
      </c>
    </row>
    <row r="21" spans="1:37" ht="13" x14ac:dyDescent="0.3">
      <c r="A21" s="54" t="str">
        <f t="shared" si="2"/>
        <v>F. Зрелые профессиональные(-)</v>
      </c>
      <c r="B21" s="46" t="s">
        <v>60</v>
      </c>
      <c r="C21" s="45" t="s">
        <v>21</v>
      </c>
      <c r="D21" s="59">
        <v>152</v>
      </c>
      <c r="E21" s="59">
        <v>175</v>
      </c>
      <c r="F21" s="59">
        <v>200</v>
      </c>
      <c r="G21" s="52">
        <v>200</v>
      </c>
      <c r="H21" s="52">
        <v>230</v>
      </c>
      <c r="I21" s="52">
        <v>264</v>
      </c>
      <c r="J21" s="57">
        <v>264</v>
      </c>
      <c r="K21" s="52">
        <v>304</v>
      </c>
      <c r="L21" s="52">
        <v>350</v>
      </c>
      <c r="M21" s="59">
        <v>350</v>
      </c>
      <c r="N21" s="57">
        <v>400</v>
      </c>
      <c r="O21" s="52">
        <v>460</v>
      </c>
      <c r="P21" s="59">
        <v>460</v>
      </c>
      <c r="Q21" s="59">
        <v>528</v>
      </c>
      <c r="R21" s="57">
        <v>608</v>
      </c>
      <c r="T21" s="54" t="str">
        <f t="shared" si="3"/>
        <v>F. Зрелые профессиональные(-)</v>
      </c>
      <c r="U21" s="46" t="s">
        <v>60</v>
      </c>
      <c r="V21" s="45" t="s">
        <v>21</v>
      </c>
      <c r="W21" s="48" t="s">
        <v>15</v>
      </c>
      <c r="X21" s="48" t="s">
        <v>15</v>
      </c>
      <c r="Y21" s="48" t="s">
        <v>15</v>
      </c>
      <c r="Z21" s="48" t="s">
        <v>13</v>
      </c>
      <c r="AA21" s="48" t="s">
        <v>13</v>
      </c>
      <c r="AB21" s="48" t="s">
        <v>13</v>
      </c>
      <c r="AC21" s="48" t="s">
        <v>14</v>
      </c>
      <c r="AD21" s="48" t="s">
        <v>13</v>
      </c>
      <c r="AE21" s="48" t="s">
        <v>13</v>
      </c>
      <c r="AF21" s="48" t="s">
        <v>15</v>
      </c>
      <c r="AG21" s="48" t="s">
        <v>14</v>
      </c>
      <c r="AH21" s="48" t="s">
        <v>13</v>
      </c>
      <c r="AI21" s="48" t="s">
        <v>15</v>
      </c>
      <c r="AJ21" s="48" t="s">
        <v>15</v>
      </c>
      <c r="AK21" s="48" t="s">
        <v>14</v>
      </c>
    </row>
    <row r="22" spans="1:37" ht="13" x14ac:dyDescent="0.3">
      <c r="A22" s="54" t="str">
        <f t="shared" si="2"/>
        <v>F. Зрелые профессиональные</v>
      </c>
      <c r="C22" s="45" t="s">
        <v>21</v>
      </c>
      <c r="D22" s="61">
        <v>175</v>
      </c>
      <c r="E22" s="61">
        <v>200</v>
      </c>
      <c r="F22" s="61">
        <v>230</v>
      </c>
      <c r="G22" s="47">
        <v>230</v>
      </c>
      <c r="H22" s="47">
        <v>264</v>
      </c>
      <c r="I22" s="47">
        <v>304</v>
      </c>
      <c r="J22" s="58">
        <v>304</v>
      </c>
      <c r="K22" s="47">
        <v>350</v>
      </c>
      <c r="L22" s="47">
        <v>400</v>
      </c>
      <c r="M22" s="61">
        <v>400</v>
      </c>
      <c r="N22" s="58">
        <v>460</v>
      </c>
      <c r="O22" s="47">
        <v>528</v>
      </c>
      <c r="P22" s="61">
        <v>528</v>
      </c>
      <c r="Q22" s="61">
        <v>608</v>
      </c>
      <c r="R22" s="58">
        <v>700</v>
      </c>
      <c r="T22" s="54" t="str">
        <f t="shared" si="3"/>
        <v>F. Зрелые профессиональные</v>
      </c>
      <c r="V22" s="45" t="s">
        <v>21</v>
      </c>
      <c r="W22" s="48" t="s">
        <v>15</v>
      </c>
      <c r="X22" s="48" t="s">
        <v>15</v>
      </c>
      <c r="Y22" s="48" t="s">
        <v>15</v>
      </c>
      <c r="Z22" s="48" t="s">
        <v>13</v>
      </c>
      <c r="AA22" s="48" t="s">
        <v>13</v>
      </c>
      <c r="AB22" s="48" t="s">
        <v>13</v>
      </c>
      <c r="AC22" s="48" t="s">
        <v>14</v>
      </c>
      <c r="AD22" s="48" t="s">
        <v>13</v>
      </c>
      <c r="AE22" s="48" t="s">
        <v>13</v>
      </c>
      <c r="AF22" s="48" t="s">
        <v>15</v>
      </c>
      <c r="AG22" s="48" t="s">
        <v>14</v>
      </c>
      <c r="AH22" s="48" t="s">
        <v>13</v>
      </c>
      <c r="AI22" s="48" t="s">
        <v>15</v>
      </c>
      <c r="AJ22" s="48" t="s">
        <v>15</v>
      </c>
      <c r="AK22" s="48" t="s">
        <v>14</v>
      </c>
    </row>
    <row r="23" spans="1:37" ht="13" x14ac:dyDescent="0.3">
      <c r="A23" s="54" t="str">
        <f t="shared" si="2"/>
        <v>F. Зрелые профессиональные(+)</v>
      </c>
      <c r="B23" s="46" t="s">
        <v>61</v>
      </c>
      <c r="C23" s="45" t="s">
        <v>21</v>
      </c>
      <c r="D23" s="61">
        <v>200</v>
      </c>
      <c r="E23" s="61">
        <v>230</v>
      </c>
      <c r="F23" s="61">
        <v>264</v>
      </c>
      <c r="G23" s="47">
        <v>264</v>
      </c>
      <c r="H23" s="47">
        <v>304</v>
      </c>
      <c r="I23" s="47">
        <v>350</v>
      </c>
      <c r="J23" s="58">
        <v>350</v>
      </c>
      <c r="K23" s="47">
        <v>400</v>
      </c>
      <c r="L23" s="47">
        <v>460</v>
      </c>
      <c r="M23" s="61">
        <v>460</v>
      </c>
      <c r="N23" s="58">
        <v>528</v>
      </c>
      <c r="O23" s="47">
        <v>608</v>
      </c>
      <c r="P23" s="61">
        <v>608</v>
      </c>
      <c r="Q23" s="61">
        <v>700</v>
      </c>
      <c r="R23" s="58">
        <v>800</v>
      </c>
      <c r="T23" s="54" t="str">
        <f t="shared" si="3"/>
        <v>F. Зрелые профессиональные(+)</v>
      </c>
      <c r="U23" s="46" t="s">
        <v>61</v>
      </c>
      <c r="V23" s="45" t="s">
        <v>21</v>
      </c>
      <c r="W23" s="48" t="s">
        <v>15</v>
      </c>
      <c r="X23" s="48" t="s">
        <v>15</v>
      </c>
      <c r="Y23" s="48" t="s">
        <v>15</v>
      </c>
      <c r="Z23" s="48" t="s">
        <v>13</v>
      </c>
      <c r="AA23" s="48" t="s">
        <v>13</v>
      </c>
      <c r="AB23" s="48" t="s">
        <v>13</v>
      </c>
      <c r="AC23" s="48" t="s">
        <v>14</v>
      </c>
      <c r="AD23" s="48" t="s">
        <v>13</v>
      </c>
      <c r="AE23" s="48" t="s">
        <v>13</v>
      </c>
      <c r="AF23" s="48" t="s">
        <v>15</v>
      </c>
      <c r="AG23" s="48" t="s">
        <v>14</v>
      </c>
      <c r="AH23" s="48" t="s">
        <v>13</v>
      </c>
      <c r="AI23" s="48" t="s">
        <v>15</v>
      </c>
      <c r="AJ23" s="48" t="s">
        <v>15</v>
      </c>
      <c r="AK23" s="48" t="s">
        <v>14</v>
      </c>
    </row>
    <row r="24" spans="1:37" ht="13" x14ac:dyDescent="0.3">
      <c r="A24" s="54" t="str">
        <f t="shared" si="2"/>
        <v>G. Всесторонние(-)</v>
      </c>
      <c r="B24" s="46" t="s">
        <v>60</v>
      </c>
      <c r="C24" s="45" t="s">
        <v>91</v>
      </c>
      <c r="D24" s="59">
        <v>200</v>
      </c>
      <c r="E24" s="59">
        <v>230</v>
      </c>
      <c r="F24" s="59">
        <v>264</v>
      </c>
      <c r="G24" s="52">
        <v>264</v>
      </c>
      <c r="H24" s="52">
        <v>304</v>
      </c>
      <c r="I24" s="52">
        <v>350</v>
      </c>
      <c r="J24" s="57">
        <v>350</v>
      </c>
      <c r="K24" s="52">
        <v>400</v>
      </c>
      <c r="L24" s="52">
        <v>460</v>
      </c>
      <c r="M24" s="59">
        <v>460</v>
      </c>
      <c r="N24" s="57">
        <v>528</v>
      </c>
      <c r="O24" s="52">
        <v>608</v>
      </c>
      <c r="P24" s="59">
        <v>608</v>
      </c>
      <c r="Q24" s="59">
        <v>700</v>
      </c>
      <c r="R24" s="52">
        <v>800</v>
      </c>
      <c r="T24" s="54" t="str">
        <f t="shared" si="3"/>
        <v>G. Всесторонние(-)</v>
      </c>
      <c r="U24" s="46" t="s">
        <v>60</v>
      </c>
      <c r="V24" s="45" t="s">
        <v>91</v>
      </c>
      <c r="W24" s="48" t="s">
        <v>15</v>
      </c>
      <c r="X24" s="48" t="s">
        <v>15</v>
      </c>
      <c r="Y24" s="48" t="s">
        <v>15</v>
      </c>
      <c r="Z24" s="48" t="s">
        <v>13</v>
      </c>
      <c r="AA24" s="48" t="s">
        <v>13</v>
      </c>
      <c r="AB24" s="48" t="s">
        <v>13</v>
      </c>
      <c r="AC24" s="48" t="s">
        <v>14</v>
      </c>
      <c r="AD24" s="48" t="s">
        <v>13</v>
      </c>
      <c r="AE24" s="48" t="s">
        <v>13</v>
      </c>
      <c r="AF24" s="48" t="s">
        <v>15</v>
      </c>
      <c r="AG24" s="48" t="s">
        <v>14</v>
      </c>
      <c r="AH24" s="48" t="s">
        <v>13</v>
      </c>
      <c r="AI24" s="48" t="s">
        <v>15</v>
      </c>
      <c r="AJ24" s="48" t="s">
        <v>15</v>
      </c>
      <c r="AK24" s="48" t="s">
        <v>13</v>
      </c>
    </row>
    <row r="25" spans="1:37" ht="13" x14ac:dyDescent="0.3">
      <c r="A25" s="54" t="str">
        <f t="shared" si="2"/>
        <v>G. Всесторонние</v>
      </c>
      <c r="C25" s="45" t="s">
        <v>91</v>
      </c>
      <c r="D25" s="61">
        <v>230</v>
      </c>
      <c r="E25" s="61">
        <v>264</v>
      </c>
      <c r="F25" s="61">
        <v>304</v>
      </c>
      <c r="G25" s="47">
        <v>304</v>
      </c>
      <c r="H25" s="47">
        <v>350</v>
      </c>
      <c r="I25" s="47">
        <v>400</v>
      </c>
      <c r="J25" s="58">
        <v>400</v>
      </c>
      <c r="K25" s="47">
        <v>460</v>
      </c>
      <c r="L25" s="47">
        <v>528</v>
      </c>
      <c r="M25" s="61">
        <f>L25</f>
        <v>528</v>
      </c>
      <c r="N25" s="58">
        <v>608</v>
      </c>
      <c r="O25" s="47">
        <v>700</v>
      </c>
      <c r="P25" s="61">
        <v>700</v>
      </c>
      <c r="Q25" s="61">
        <v>800</v>
      </c>
      <c r="R25" s="47">
        <v>920</v>
      </c>
      <c r="T25" s="54" t="str">
        <f t="shared" si="3"/>
        <v>G. Всесторонние</v>
      </c>
      <c r="V25" s="45" t="s">
        <v>91</v>
      </c>
      <c r="W25" s="48" t="s">
        <v>15</v>
      </c>
      <c r="X25" s="48" t="s">
        <v>15</v>
      </c>
      <c r="Y25" s="48" t="s">
        <v>15</v>
      </c>
      <c r="Z25" s="48" t="s">
        <v>13</v>
      </c>
      <c r="AA25" s="48" t="s">
        <v>13</v>
      </c>
      <c r="AB25" s="48" t="s">
        <v>13</v>
      </c>
      <c r="AC25" s="48" t="s">
        <v>14</v>
      </c>
      <c r="AD25" s="48" t="s">
        <v>13</v>
      </c>
      <c r="AE25" s="48" t="s">
        <v>13</v>
      </c>
      <c r="AF25" s="48" t="s">
        <v>15</v>
      </c>
      <c r="AG25" s="48" t="s">
        <v>14</v>
      </c>
      <c r="AH25" s="48" t="s">
        <v>13</v>
      </c>
      <c r="AI25" s="48" t="s">
        <v>15</v>
      </c>
      <c r="AJ25" s="48" t="s">
        <v>15</v>
      </c>
      <c r="AK25" s="48" t="s">
        <v>13</v>
      </c>
    </row>
    <row r="26" spans="1:37" ht="13" x14ac:dyDescent="0.3">
      <c r="A26" s="54" t="str">
        <f t="shared" si="2"/>
        <v>G. Всесторонние(+)</v>
      </c>
      <c r="B26" s="46" t="s">
        <v>61</v>
      </c>
      <c r="C26" s="45" t="s">
        <v>91</v>
      </c>
      <c r="D26" s="61">
        <v>264</v>
      </c>
      <c r="E26" s="61">
        <v>304</v>
      </c>
      <c r="F26" s="61">
        <v>350</v>
      </c>
      <c r="G26" s="47">
        <v>350</v>
      </c>
      <c r="H26" s="47">
        <v>400</v>
      </c>
      <c r="I26" s="47">
        <v>460</v>
      </c>
      <c r="J26" s="58">
        <f>J27</f>
        <v>460</v>
      </c>
      <c r="K26" s="47">
        <v>528</v>
      </c>
      <c r="L26" s="47">
        <v>608</v>
      </c>
      <c r="M26" s="61">
        <f>L26</f>
        <v>608</v>
      </c>
      <c r="N26" s="58">
        <f>N27</f>
        <v>700</v>
      </c>
      <c r="O26" s="47">
        <f>O27</f>
        <v>800</v>
      </c>
      <c r="P26" s="61">
        <v>800</v>
      </c>
      <c r="Q26" s="61">
        <v>920</v>
      </c>
      <c r="R26" s="47">
        <v>1056</v>
      </c>
      <c r="T26" s="54" t="str">
        <f t="shared" si="3"/>
        <v>G. Всесторонние(+)</v>
      </c>
      <c r="U26" s="46" t="s">
        <v>61</v>
      </c>
      <c r="V26" s="45" t="s">
        <v>91</v>
      </c>
      <c r="W26" s="48" t="s">
        <v>15</v>
      </c>
      <c r="X26" s="48" t="s">
        <v>15</v>
      </c>
      <c r="Y26" s="48" t="s">
        <v>15</v>
      </c>
      <c r="Z26" s="48" t="s">
        <v>13</v>
      </c>
      <c r="AA26" s="48" t="s">
        <v>13</v>
      </c>
      <c r="AB26" s="48" t="s">
        <v>13</v>
      </c>
      <c r="AC26" s="48" t="str">
        <f>AC27</f>
        <v>Ж</v>
      </c>
      <c r="AD26" s="48" t="s">
        <v>13</v>
      </c>
      <c r="AE26" s="48" t="s">
        <v>13</v>
      </c>
      <c r="AF26" s="48" t="s">
        <v>15</v>
      </c>
      <c r="AG26" s="48" t="s">
        <v>14</v>
      </c>
      <c r="AH26" s="48" t="s">
        <v>13</v>
      </c>
      <c r="AI26" s="48" t="s">
        <v>15</v>
      </c>
      <c r="AJ26" s="48" t="s">
        <v>15</v>
      </c>
      <c r="AK26" s="48" t="s">
        <v>13</v>
      </c>
    </row>
    <row r="27" spans="1:37" ht="13" x14ac:dyDescent="0.3">
      <c r="A27" s="54" t="str">
        <f t="shared" si="2"/>
        <v>H. Уникальные(-)</v>
      </c>
      <c r="B27" s="46" t="s">
        <v>60</v>
      </c>
      <c r="C27" s="45" t="s">
        <v>22</v>
      </c>
      <c r="D27" s="59">
        <v>264</v>
      </c>
      <c r="E27" s="59">
        <v>304</v>
      </c>
      <c r="F27" s="59">
        <v>350</v>
      </c>
      <c r="G27" s="52">
        <v>350</v>
      </c>
      <c r="H27" s="52">
        <v>400</v>
      </c>
      <c r="I27" s="57">
        <f>I26</f>
        <v>460</v>
      </c>
      <c r="J27" s="57">
        <v>460</v>
      </c>
      <c r="K27" s="52">
        <f>K26</f>
        <v>528</v>
      </c>
      <c r="L27" s="52">
        <f>L26</f>
        <v>608</v>
      </c>
      <c r="M27" s="59">
        <f>L27</f>
        <v>608</v>
      </c>
      <c r="N27" s="57">
        <v>700</v>
      </c>
      <c r="O27" s="52">
        <v>800</v>
      </c>
      <c r="P27" s="59">
        <v>800</v>
      </c>
      <c r="Q27" s="59">
        <v>920</v>
      </c>
      <c r="R27" s="59">
        <v>1056</v>
      </c>
      <c r="T27" s="54" t="str">
        <f t="shared" si="3"/>
        <v>H. Уникальные(-)</v>
      </c>
      <c r="U27" s="46" t="s">
        <v>60</v>
      </c>
      <c r="V27" s="45" t="s">
        <v>22</v>
      </c>
      <c r="W27" s="48" t="s">
        <v>15</v>
      </c>
      <c r="X27" s="48" t="s">
        <v>15</v>
      </c>
      <c r="Y27" s="48" t="s">
        <v>15</v>
      </c>
      <c r="Z27" s="48" t="s">
        <v>13</v>
      </c>
      <c r="AA27" s="48" t="s">
        <v>13</v>
      </c>
      <c r="AB27" s="48" t="s">
        <v>14</v>
      </c>
      <c r="AC27" s="48" t="s">
        <v>14</v>
      </c>
      <c r="AD27" s="48" t="s">
        <v>13</v>
      </c>
      <c r="AE27" s="48" t="s">
        <v>13</v>
      </c>
      <c r="AF27" s="48" t="s">
        <v>15</v>
      </c>
      <c r="AG27" s="48" t="s">
        <v>14</v>
      </c>
      <c r="AH27" s="48" t="s">
        <v>13</v>
      </c>
      <c r="AI27" s="48" t="s">
        <v>15</v>
      </c>
      <c r="AJ27" s="48" t="s">
        <v>15</v>
      </c>
      <c r="AK27" s="48" t="s">
        <v>15</v>
      </c>
    </row>
    <row r="28" spans="1:37" ht="13" x14ac:dyDescent="0.3">
      <c r="A28" s="54" t="str">
        <f t="shared" si="2"/>
        <v>H. Уникальные</v>
      </c>
      <c r="C28" s="45" t="s">
        <v>22</v>
      </c>
      <c r="D28" s="61">
        <v>304</v>
      </c>
      <c r="E28" s="61">
        <v>350</v>
      </c>
      <c r="F28" s="61">
        <v>400</v>
      </c>
      <c r="G28" s="47">
        <v>400</v>
      </c>
      <c r="H28" s="47">
        <v>460</v>
      </c>
      <c r="I28" s="58">
        <v>528</v>
      </c>
      <c r="J28" s="58">
        <f>I28</f>
        <v>528</v>
      </c>
      <c r="K28" s="47">
        <f>J29</f>
        <v>608</v>
      </c>
      <c r="L28" s="47">
        <f>K29</f>
        <v>700</v>
      </c>
      <c r="M28" s="61">
        <v>700</v>
      </c>
      <c r="N28" s="58">
        <v>800</v>
      </c>
      <c r="O28" s="47">
        <v>920</v>
      </c>
      <c r="P28" s="61">
        <v>920</v>
      </c>
      <c r="Q28" s="61">
        <v>1056</v>
      </c>
      <c r="R28" s="61">
        <v>1216</v>
      </c>
      <c r="T28" s="54" t="str">
        <f t="shared" si="3"/>
        <v>H. Уникальные</v>
      </c>
      <c r="V28" s="45" t="s">
        <v>22</v>
      </c>
      <c r="W28" s="48" t="s">
        <v>15</v>
      </c>
      <c r="X28" s="48" t="s">
        <v>15</v>
      </c>
      <c r="Y28" s="48" t="s">
        <v>15</v>
      </c>
      <c r="Z28" s="48" t="s">
        <v>13</v>
      </c>
      <c r="AA28" s="48" t="s">
        <v>13</v>
      </c>
      <c r="AB28" s="48" t="s">
        <v>14</v>
      </c>
      <c r="AC28" s="48" t="str">
        <f>AB28</f>
        <v>Ж</v>
      </c>
      <c r="AD28" s="48" t="s">
        <v>13</v>
      </c>
      <c r="AE28" s="48" t="s">
        <v>13</v>
      </c>
      <c r="AF28" s="48" t="s">
        <v>15</v>
      </c>
      <c r="AG28" s="48" t="s">
        <v>14</v>
      </c>
      <c r="AH28" s="48" t="s">
        <v>13</v>
      </c>
      <c r="AI28" s="48" t="s">
        <v>15</v>
      </c>
      <c r="AJ28" s="48" t="s">
        <v>15</v>
      </c>
      <c r="AK28" s="48" t="s">
        <v>15</v>
      </c>
    </row>
    <row r="29" spans="1:37" ht="13" x14ac:dyDescent="0.3">
      <c r="A29" s="54" t="str">
        <f t="shared" si="2"/>
        <v>H. Уникальные(+)</v>
      </c>
      <c r="B29" s="46" t="s">
        <v>61</v>
      </c>
      <c r="C29" s="45" t="s">
        <v>22</v>
      </c>
      <c r="D29" s="61">
        <v>350</v>
      </c>
      <c r="E29" s="61">
        <v>400</v>
      </c>
      <c r="F29" s="61">
        <v>460</v>
      </c>
      <c r="G29" s="47">
        <v>460</v>
      </c>
      <c r="H29" s="47">
        <v>528</v>
      </c>
      <c r="I29" s="58">
        <v>608</v>
      </c>
      <c r="J29" s="58">
        <f>I29</f>
        <v>608</v>
      </c>
      <c r="K29" s="47">
        <v>700</v>
      </c>
      <c r="L29" s="47">
        <v>800</v>
      </c>
      <c r="M29" s="61">
        <f>L29</f>
        <v>800</v>
      </c>
      <c r="N29" s="58">
        <v>920</v>
      </c>
      <c r="O29" s="47">
        <v>1056</v>
      </c>
      <c r="P29" s="61">
        <v>1056</v>
      </c>
      <c r="Q29" s="61">
        <v>1216</v>
      </c>
      <c r="R29" s="61">
        <v>1400</v>
      </c>
      <c r="T29" s="54" t="str">
        <f t="shared" si="3"/>
        <v>H. Уникальные(+)</v>
      </c>
      <c r="U29" s="46" t="s">
        <v>61</v>
      </c>
      <c r="V29" s="45" t="s">
        <v>22</v>
      </c>
      <c r="W29" s="48" t="s">
        <v>15</v>
      </c>
      <c r="X29" s="48" t="s">
        <v>15</v>
      </c>
      <c r="Y29" s="48" t="s">
        <v>15</v>
      </c>
      <c r="Z29" s="48" t="s">
        <v>13</v>
      </c>
      <c r="AA29" s="48" t="s">
        <v>13</v>
      </c>
      <c r="AB29" s="48" t="s">
        <v>14</v>
      </c>
      <c r="AC29" s="48" t="str">
        <f>AB29</f>
        <v>Ж</v>
      </c>
      <c r="AD29" s="48" t="s">
        <v>13</v>
      </c>
      <c r="AE29" s="48" t="s">
        <v>13</v>
      </c>
      <c r="AF29" s="48" t="s">
        <v>15</v>
      </c>
      <c r="AG29" s="48" t="s">
        <v>14</v>
      </c>
      <c r="AH29" s="48" t="s">
        <v>13</v>
      </c>
      <c r="AI29" s="48" t="s">
        <v>15</v>
      </c>
      <c r="AJ29" s="48" t="s">
        <v>15</v>
      </c>
      <c r="AK29" s="48" t="s">
        <v>15</v>
      </c>
    </row>
    <row r="30" spans="1:37" x14ac:dyDescent="0.25">
      <c r="A30" s="45" t="str">
        <f t="shared" si="2"/>
        <v/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</row>
    <row r="31" spans="1:37" x14ac:dyDescent="0.25">
      <c r="A31" s="45" t="str">
        <f t="shared" si="2"/>
        <v/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</row>
    <row r="32" spans="1:37" x14ac:dyDescent="0.25">
      <c r="A32" s="45" t="str">
        <f t="shared" si="2"/>
        <v/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</row>
    <row r="33" spans="1:23" x14ac:dyDescent="0.25">
      <c r="A33" s="45" t="str">
        <f t="shared" si="2"/>
        <v/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</row>
    <row r="34" spans="1:23" x14ac:dyDescent="0.25">
      <c r="A34" s="45" t="str">
        <f t="shared" si="2"/>
        <v/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</row>
    <row r="35" spans="1:23" x14ac:dyDescent="0.25">
      <c r="A35" s="45" t="str">
        <f t="shared" si="2"/>
        <v/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</row>
    <row r="36" spans="1:23" ht="62.5" x14ac:dyDescent="0.25">
      <c r="A36" s="45" t="str">
        <f t="shared" si="2"/>
        <v>Решение вопросов</v>
      </c>
      <c r="C36" s="64" t="s">
        <v>24</v>
      </c>
      <c r="D36" s="63" t="s">
        <v>31</v>
      </c>
      <c r="E36" s="63" t="s">
        <v>32</v>
      </c>
      <c r="F36" s="63" t="s">
        <v>33</v>
      </c>
      <c r="G36" s="63" t="s">
        <v>34</v>
      </c>
      <c r="H36" s="63" t="s">
        <v>35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V36" s="45" t="b">
        <f>W36=T25</f>
        <v>1</v>
      </c>
      <c r="W36" s="45" t="s">
        <v>91</v>
      </c>
    </row>
    <row r="37" spans="1:23" ht="15.5" x14ac:dyDescent="0.35">
      <c r="A37" s="54" t="str">
        <f t="shared" si="2"/>
        <v>A.Строго "по шаблону"</v>
      </c>
      <c r="C37" s="62" t="s">
        <v>25</v>
      </c>
      <c r="D37" s="4">
        <v>0.1</v>
      </c>
      <c r="E37" s="5">
        <v>0.14000000000000001</v>
      </c>
      <c r="F37" s="6">
        <v>0.19</v>
      </c>
      <c r="G37" s="6">
        <v>0.25</v>
      </c>
      <c r="H37" s="6">
        <v>0.33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</row>
    <row r="38" spans="1:23" ht="15.5" x14ac:dyDescent="0.35">
      <c r="A38" s="54" t="str">
        <f t="shared" si="2"/>
        <v>A.Строго "по шаблону"(+)</v>
      </c>
      <c r="B38" s="46" t="s">
        <v>61</v>
      </c>
      <c r="C38" s="62" t="s">
        <v>25</v>
      </c>
      <c r="D38" s="4">
        <v>0.12</v>
      </c>
      <c r="E38" s="6">
        <v>0.16</v>
      </c>
      <c r="F38" s="6">
        <v>0.22</v>
      </c>
      <c r="G38" s="6">
        <v>0.28999999999999998</v>
      </c>
      <c r="H38" s="6">
        <v>0.38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</row>
    <row r="39" spans="1:23" ht="15.5" x14ac:dyDescent="0.35">
      <c r="A39" s="54" t="str">
        <f t="shared" si="2"/>
        <v>В. "По шаблону"</v>
      </c>
      <c r="C39" s="62" t="s">
        <v>26</v>
      </c>
      <c r="D39" s="7">
        <v>0.12</v>
      </c>
      <c r="E39" s="4">
        <v>0.16</v>
      </c>
      <c r="F39" s="6">
        <v>0.22</v>
      </c>
      <c r="G39" s="6">
        <v>0.28999999999999998</v>
      </c>
      <c r="H39" s="6">
        <v>0.38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</row>
    <row r="40" spans="1:23" ht="15.5" x14ac:dyDescent="0.35">
      <c r="A40" s="54" t="str">
        <f t="shared" si="2"/>
        <v>В. "По шаблону"(+)</v>
      </c>
      <c r="B40" s="46" t="s">
        <v>61</v>
      </c>
      <c r="C40" s="62" t="s">
        <v>26</v>
      </c>
      <c r="D40" s="4">
        <v>0.14000000000000001</v>
      </c>
      <c r="E40" s="4">
        <v>0.19</v>
      </c>
      <c r="F40" s="6">
        <v>0.25</v>
      </c>
      <c r="G40" s="6">
        <v>0.33</v>
      </c>
      <c r="H40" s="6">
        <v>0.43</v>
      </c>
      <c r="I40" s="47"/>
      <c r="J40" s="47"/>
      <c r="K40" s="47"/>
      <c r="L40" s="47"/>
      <c r="M40" s="47"/>
      <c r="N40" s="47"/>
      <c r="O40" s="47"/>
      <c r="P40" s="47"/>
      <c r="Q40" s="47"/>
      <c r="R40" s="47"/>
    </row>
    <row r="41" spans="1:23" ht="15.5" x14ac:dyDescent="0.35">
      <c r="A41" s="54" t="str">
        <f t="shared" si="2"/>
        <v>С. Процедурная</v>
      </c>
      <c r="C41" s="62" t="s">
        <v>27</v>
      </c>
      <c r="D41" s="6">
        <v>0.14000000000000001</v>
      </c>
      <c r="E41" s="4">
        <v>0.19</v>
      </c>
      <c r="F41" s="4">
        <v>0.25</v>
      </c>
      <c r="G41" s="6">
        <v>0.33</v>
      </c>
      <c r="H41" s="6">
        <v>0.43</v>
      </c>
      <c r="I41" s="47"/>
      <c r="J41" s="47"/>
      <c r="K41" s="47"/>
      <c r="L41" s="47"/>
      <c r="M41" s="47"/>
      <c r="N41" s="47"/>
      <c r="O41" s="47"/>
      <c r="P41" s="47"/>
      <c r="Q41" s="47"/>
      <c r="R41" s="47"/>
    </row>
    <row r="42" spans="1:23" ht="15.5" x14ac:dyDescent="0.35">
      <c r="A42" s="54" t="str">
        <f t="shared" si="2"/>
        <v>С. Процедурная(+)</v>
      </c>
      <c r="B42" s="46" t="s">
        <v>61</v>
      </c>
      <c r="C42" s="62" t="s">
        <v>27</v>
      </c>
      <c r="D42" s="6">
        <v>0.16</v>
      </c>
      <c r="E42" s="4">
        <v>0.22</v>
      </c>
      <c r="F42" s="4">
        <v>0.28999999999999998</v>
      </c>
      <c r="G42" s="6">
        <v>0.38</v>
      </c>
      <c r="H42" s="6">
        <v>0.5</v>
      </c>
      <c r="I42" s="47"/>
      <c r="J42" s="47"/>
      <c r="K42" s="47"/>
      <c r="L42" s="47"/>
      <c r="M42" s="47"/>
      <c r="N42" s="47"/>
      <c r="O42" s="47"/>
      <c r="P42" s="47"/>
      <c r="Q42" s="47"/>
      <c r="R42" s="47"/>
    </row>
    <row r="43" spans="1:23" ht="15.5" x14ac:dyDescent="0.35">
      <c r="A43" s="54" t="str">
        <f t="shared" si="2"/>
        <v>D. Нормативная</v>
      </c>
      <c r="C43" s="62" t="s">
        <v>28</v>
      </c>
      <c r="D43" s="6">
        <v>0.16</v>
      </c>
      <c r="E43" s="6">
        <v>0.22</v>
      </c>
      <c r="F43" s="4">
        <v>0.28999999999999998</v>
      </c>
      <c r="G43" s="4">
        <v>0.38</v>
      </c>
      <c r="H43" s="6">
        <v>0.5</v>
      </c>
      <c r="I43" s="1"/>
      <c r="J43" s="1"/>
      <c r="K43" s="1"/>
      <c r="L43" s="1"/>
      <c r="M43" s="1"/>
      <c r="N43" s="1"/>
      <c r="O43" s="1"/>
    </row>
    <row r="44" spans="1:23" ht="15.5" x14ac:dyDescent="0.35">
      <c r="A44" s="54" t="str">
        <f t="shared" si="2"/>
        <v>D. Нормативная(+)</v>
      </c>
      <c r="B44" s="46" t="s">
        <v>61</v>
      </c>
      <c r="C44" s="62" t="s">
        <v>28</v>
      </c>
      <c r="D44" s="6">
        <v>0.19</v>
      </c>
      <c r="E44" s="5">
        <v>0.25</v>
      </c>
      <c r="F44" s="4">
        <v>0.33</v>
      </c>
      <c r="G44" s="5">
        <v>0.43</v>
      </c>
      <c r="H44" s="6">
        <v>0.56999999999999995</v>
      </c>
    </row>
    <row r="45" spans="1:23" ht="15.5" x14ac:dyDescent="0.35">
      <c r="A45" s="54" t="str">
        <f t="shared" si="2"/>
        <v>E. Ясно определенная</v>
      </c>
      <c r="C45" s="62" t="s">
        <v>29</v>
      </c>
      <c r="D45" s="8">
        <v>0.19</v>
      </c>
      <c r="E45" s="6">
        <v>0.25</v>
      </c>
      <c r="F45" s="4">
        <v>0.33</v>
      </c>
      <c r="G45" s="4">
        <v>0.43</v>
      </c>
      <c r="H45" s="5">
        <v>0.56999999999999995</v>
      </c>
    </row>
    <row r="46" spans="1:23" ht="15.5" x14ac:dyDescent="0.35">
      <c r="A46" s="54" t="str">
        <f t="shared" si="2"/>
        <v>E. Ясно определенная(+)</v>
      </c>
      <c r="B46" s="46" t="s">
        <v>61</v>
      </c>
      <c r="C46" s="62" t="s">
        <v>29</v>
      </c>
      <c r="D46" s="6">
        <v>0.22</v>
      </c>
      <c r="E46" s="6">
        <v>0.28999999999999998</v>
      </c>
      <c r="F46" s="4">
        <v>0.38</v>
      </c>
      <c r="G46" s="4">
        <v>0.5</v>
      </c>
      <c r="H46" s="5">
        <v>0.66</v>
      </c>
    </row>
    <row r="47" spans="1:23" ht="15.5" x14ac:dyDescent="0.35">
      <c r="A47" s="54" t="str">
        <f t="shared" si="2"/>
        <v>F. Широко определенная</v>
      </c>
      <c r="C47" s="62" t="s">
        <v>30</v>
      </c>
      <c r="D47" s="6">
        <v>0.22</v>
      </c>
      <c r="E47" s="6">
        <v>0.28999999999999998</v>
      </c>
      <c r="F47" s="6">
        <v>0.38</v>
      </c>
      <c r="G47" s="4">
        <v>0.5</v>
      </c>
      <c r="H47" s="6">
        <v>0.66</v>
      </c>
    </row>
    <row r="48" spans="1:23" ht="15.5" x14ac:dyDescent="0.35">
      <c r="A48" s="54" t="str">
        <f t="shared" si="2"/>
        <v>F. Широко определенная(+)</v>
      </c>
      <c r="B48" s="46" t="s">
        <v>61</v>
      </c>
      <c r="C48" s="62" t="s">
        <v>30</v>
      </c>
      <c r="D48" s="6">
        <v>0.25</v>
      </c>
      <c r="E48" s="6">
        <v>0.33</v>
      </c>
      <c r="F48" s="5">
        <v>0.43</v>
      </c>
      <c r="G48" s="4">
        <v>0.56999999999999995</v>
      </c>
      <c r="H48" s="6">
        <v>0.76</v>
      </c>
    </row>
    <row r="49" spans="1:18" ht="15.5" x14ac:dyDescent="0.35">
      <c r="A49" s="54" t="str">
        <f t="shared" si="2"/>
        <v xml:space="preserve">G. В целом определенная </v>
      </c>
      <c r="C49" s="62" t="s">
        <v>82</v>
      </c>
      <c r="D49" s="6">
        <v>0.25</v>
      </c>
      <c r="E49" s="6">
        <v>0.33</v>
      </c>
      <c r="F49" s="6">
        <v>0.43</v>
      </c>
      <c r="G49" s="4">
        <v>0.56999999999999995</v>
      </c>
      <c r="H49" s="6">
        <v>0.76</v>
      </c>
    </row>
    <row r="50" spans="1:18" ht="15.5" x14ac:dyDescent="0.35">
      <c r="A50" s="54" t="str">
        <f t="shared" si="2"/>
        <v>G. В целом определенная (+)</v>
      </c>
      <c r="B50" s="46" t="s">
        <v>61</v>
      </c>
      <c r="C50" s="62" t="s">
        <v>82</v>
      </c>
      <c r="D50" s="6">
        <v>0.28999999999999998</v>
      </c>
      <c r="E50" s="6">
        <v>0.38</v>
      </c>
      <c r="F50" s="6">
        <v>0.5</v>
      </c>
      <c r="G50" s="4">
        <v>0.66</v>
      </c>
      <c r="H50" s="6">
        <v>0.87</v>
      </c>
    </row>
    <row r="51" spans="1:18" ht="15.5" x14ac:dyDescent="0.35">
      <c r="A51" s="54" t="str">
        <f t="shared" si="2"/>
        <v>H. Абстрактно определенная</v>
      </c>
      <c r="C51" s="62" t="s">
        <v>83</v>
      </c>
      <c r="D51" s="6">
        <v>0.28999999999999998</v>
      </c>
      <c r="E51" s="6">
        <v>0.38</v>
      </c>
      <c r="F51" s="6">
        <v>0.5</v>
      </c>
      <c r="G51" s="5">
        <v>0.66</v>
      </c>
      <c r="H51" s="4">
        <v>0.87</v>
      </c>
    </row>
    <row r="52" spans="1:18" ht="15.5" x14ac:dyDescent="0.35">
      <c r="A52" s="54" t="str">
        <f t="shared" si="2"/>
        <v>H. Абстрактно определенная(+)</v>
      </c>
      <c r="B52" s="46" t="s">
        <v>61</v>
      </c>
      <c r="C52" s="62" t="s">
        <v>83</v>
      </c>
      <c r="D52" s="6">
        <v>0.33</v>
      </c>
      <c r="E52" s="6">
        <v>0.43</v>
      </c>
      <c r="F52" s="6">
        <v>0.56999999999999995</v>
      </c>
      <c r="G52" s="5">
        <v>0.76</v>
      </c>
      <c r="H52" s="4">
        <v>0.87</v>
      </c>
    </row>
    <row r="53" spans="1:18" ht="15.5" x14ac:dyDescent="0.35">
      <c r="C53" s="2"/>
      <c r="D53" s="2"/>
      <c r="E53" s="2"/>
      <c r="F53" s="2"/>
      <c r="G53" s="2"/>
      <c r="H53" s="2"/>
    </row>
    <row r="54" spans="1:18" ht="15.5" x14ac:dyDescent="0.35">
      <c r="C54" s="2"/>
      <c r="D54" s="2"/>
      <c r="E54" s="2"/>
      <c r="F54" s="2"/>
      <c r="G54" s="2"/>
      <c r="H54" s="2"/>
    </row>
    <row r="55" spans="1:18" ht="36.5" customHeight="1" x14ac:dyDescent="0.25">
      <c r="C55" s="64" t="s">
        <v>24</v>
      </c>
      <c r="D55" s="63" t="s">
        <v>31</v>
      </c>
      <c r="E55" s="63" t="s">
        <v>32</v>
      </c>
      <c r="F55" s="63" t="s">
        <v>33</v>
      </c>
      <c r="G55" s="63" t="s">
        <v>34</v>
      </c>
      <c r="H55" s="63" t="s">
        <v>35</v>
      </c>
      <c r="I55" s="47"/>
      <c r="J55" s="47"/>
      <c r="K55" s="47"/>
      <c r="L55" s="47"/>
      <c r="M55" s="47"/>
      <c r="N55" s="47"/>
      <c r="O55" s="47"/>
      <c r="P55" s="47"/>
      <c r="Q55" s="47"/>
      <c r="R55" s="47"/>
    </row>
    <row r="56" spans="1:18" ht="36.5" customHeight="1" x14ac:dyDescent="0.35">
      <c r="C56" s="65" t="s">
        <v>25</v>
      </c>
      <c r="D56" s="4" t="s">
        <v>66</v>
      </c>
      <c r="E56" s="5" t="s">
        <v>67</v>
      </c>
      <c r="F56" s="6" t="s">
        <v>68</v>
      </c>
      <c r="G56" s="6" t="s">
        <v>69</v>
      </c>
      <c r="H56" s="6" t="s">
        <v>70</v>
      </c>
      <c r="I56" s="47"/>
      <c r="J56" s="47"/>
      <c r="K56" s="47"/>
      <c r="L56" s="47"/>
      <c r="M56" s="47"/>
      <c r="N56" s="47"/>
      <c r="O56" s="47"/>
      <c r="P56" s="47"/>
      <c r="Q56" s="47"/>
      <c r="R56" s="47"/>
    </row>
    <row r="57" spans="1:18" ht="36.5" customHeight="1" x14ac:dyDescent="0.35">
      <c r="B57" s="46"/>
      <c r="C57" s="65" t="s">
        <v>26</v>
      </c>
      <c r="D57" s="4" t="s">
        <v>71</v>
      </c>
      <c r="E57" s="6" t="s">
        <v>72</v>
      </c>
      <c r="F57" s="6" t="s">
        <v>73</v>
      </c>
      <c r="G57" s="6" t="s">
        <v>74</v>
      </c>
      <c r="H57" s="6" t="s">
        <v>75</v>
      </c>
      <c r="I57" s="47"/>
      <c r="J57" s="47"/>
      <c r="K57" s="47"/>
      <c r="L57" s="47"/>
      <c r="M57" s="47"/>
      <c r="N57" s="47"/>
      <c r="O57" s="47"/>
      <c r="P57" s="47"/>
      <c r="Q57" s="47"/>
      <c r="R57" s="47"/>
    </row>
    <row r="58" spans="1:18" ht="36.5" customHeight="1" x14ac:dyDescent="0.35">
      <c r="C58" s="65" t="s">
        <v>27</v>
      </c>
      <c r="D58" s="7" t="s">
        <v>67</v>
      </c>
      <c r="E58" s="4" t="s">
        <v>68</v>
      </c>
      <c r="F58" s="6" t="s">
        <v>69</v>
      </c>
      <c r="G58" s="6" t="s">
        <v>70</v>
      </c>
      <c r="H58" s="6" t="s">
        <v>76</v>
      </c>
      <c r="I58" s="47"/>
      <c r="J58" s="47"/>
      <c r="K58" s="47"/>
      <c r="L58" s="47"/>
      <c r="M58" s="47"/>
      <c r="N58" s="47"/>
      <c r="O58" s="47"/>
      <c r="P58" s="47"/>
      <c r="Q58" s="47"/>
      <c r="R58" s="47"/>
    </row>
    <row r="59" spans="1:18" ht="36.5" customHeight="1" x14ac:dyDescent="0.35">
      <c r="B59" s="46"/>
      <c r="C59" s="65" t="s">
        <v>28</v>
      </c>
      <c r="D59" s="4" t="s">
        <v>72</v>
      </c>
      <c r="E59" s="4" t="s">
        <v>73</v>
      </c>
      <c r="F59" s="6" t="s">
        <v>74</v>
      </c>
      <c r="G59" s="6" t="s">
        <v>75</v>
      </c>
      <c r="H59" s="6" t="s">
        <v>77</v>
      </c>
      <c r="I59" s="47"/>
      <c r="J59" s="47"/>
      <c r="K59" s="47"/>
      <c r="L59" s="47"/>
      <c r="M59" s="47"/>
      <c r="N59" s="47"/>
      <c r="O59" s="47"/>
      <c r="P59" s="47"/>
      <c r="Q59" s="47"/>
      <c r="R59" s="47"/>
    </row>
    <row r="60" spans="1:18" ht="36.5" customHeight="1" x14ac:dyDescent="0.35">
      <c r="C60" s="65" t="s">
        <v>29</v>
      </c>
      <c r="D60" s="6" t="s">
        <v>68</v>
      </c>
      <c r="E60" s="4" t="s">
        <v>69</v>
      </c>
      <c r="F60" s="4" t="s">
        <v>70</v>
      </c>
      <c r="G60" s="6" t="s">
        <v>76</v>
      </c>
      <c r="H60" s="6" t="s">
        <v>78</v>
      </c>
      <c r="I60" s="47"/>
      <c r="J60" s="47"/>
      <c r="K60" s="47"/>
      <c r="L60" s="47"/>
      <c r="M60" s="47"/>
      <c r="N60" s="47"/>
      <c r="O60" s="47"/>
      <c r="P60" s="47"/>
      <c r="Q60" s="47"/>
      <c r="R60" s="47"/>
    </row>
    <row r="61" spans="1:18" ht="36.5" customHeight="1" x14ac:dyDescent="0.35">
      <c r="B61" s="46"/>
      <c r="C61" s="65" t="s">
        <v>30</v>
      </c>
      <c r="D61" s="6" t="s">
        <v>73</v>
      </c>
      <c r="E61" s="4" t="s">
        <v>74</v>
      </c>
      <c r="F61" s="4" t="s">
        <v>75</v>
      </c>
      <c r="G61" s="6" t="s">
        <v>77</v>
      </c>
      <c r="H61" s="6" t="s">
        <v>79</v>
      </c>
      <c r="I61" s="47"/>
      <c r="J61" s="47"/>
      <c r="K61" s="47"/>
      <c r="L61" s="47"/>
      <c r="M61" s="47"/>
      <c r="N61" s="47"/>
      <c r="O61" s="47"/>
      <c r="P61" s="47"/>
      <c r="Q61" s="47"/>
      <c r="R61" s="47"/>
    </row>
    <row r="62" spans="1:18" ht="36.5" customHeight="1" x14ac:dyDescent="0.35">
      <c r="C62" s="65" t="s">
        <v>82</v>
      </c>
      <c r="D62" s="6" t="s">
        <v>69</v>
      </c>
      <c r="E62" s="6" t="s">
        <v>70</v>
      </c>
      <c r="F62" s="4" t="s">
        <v>76</v>
      </c>
      <c r="G62" s="4" t="s">
        <v>78</v>
      </c>
      <c r="H62" s="6" t="s">
        <v>79</v>
      </c>
      <c r="I62" s="1"/>
      <c r="J62" s="1"/>
      <c r="K62" s="1"/>
      <c r="L62" s="1"/>
      <c r="M62" s="1"/>
      <c r="N62" s="1"/>
      <c r="O62" s="1"/>
    </row>
    <row r="63" spans="1:18" ht="36.5" customHeight="1" x14ac:dyDescent="0.35">
      <c r="B63" s="46"/>
      <c r="C63" s="65" t="s">
        <v>83</v>
      </c>
      <c r="D63" s="6" t="s">
        <v>74</v>
      </c>
      <c r="E63" s="6" t="s">
        <v>75</v>
      </c>
      <c r="F63" s="6" t="s">
        <v>77</v>
      </c>
      <c r="G63" s="5" t="s">
        <v>79</v>
      </c>
      <c r="H63" s="4" t="s">
        <v>79</v>
      </c>
    </row>
    <row r="64" spans="1:18" x14ac:dyDescent="0.25">
      <c r="E64" s="66"/>
      <c r="F64" s="66"/>
    </row>
    <row r="65" spans="1:8" x14ac:dyDescent="0.25">
      <c r="E65" s="66"/>
      <c r="F65" s="66"/>
    </row>
    <row r="66" spans="1:8" x14ac:dyDescent="0.25">
      <c r="E66" s="66"/>
      <c r="F66" s="66"/>
    </row>
    <row r="67" spans="1:8" ht="23.5" x14ac:dyDescent="0.55000000000000004">
      <c r="B67" s="10"/>
      <c r="C67" s="55" t="s">
        <v>24</v>
      </c>
      <c r="D67" s="67" t="s">
        <v>31</v>
      </c>
      <c r="E67" s="68" t="s">
        <v>32</v>
      </c>
      <c r="F67" s="68" t="s">
        <v>33</v>
      </c>
      <c r="G67" s="68" t="s">
        <v>34</v>
      </c>
      <c r="H67" s="68" t="s">
        <v>35</v>
      </c>
    </row>
    <row r="68" spans="1:8" ht="13" x14ac:dyDescent="0.3">
      <c r="A68" s="54" t="str">
        <f t="shared" ref="A68:A83" si="4">CONCATENATE(C68,B68)</f>
        <v>A.Строго "по шаблону"</v>
      </c>
      <c r="C68" s="62" t="s">
        <v>25</v>
      </c>
      <c r="D68" s="48" t="s">
        <v>13</v>
      </c>
      <c r="E68" s="48" t="s">
        <v>14</v>
      </c>
      <c r="F68" s="48" t="s">
        <v>15</v>
      </c>
      <c r="G68" s="48" t="s">
        <v>15</v>
      </c>
      <c r="H68" s="48" t="s">
        <v>15</v>
      </c>
    </row>
    <row r="69" spans="1:8" ht="13" x14ac:dyDescent="0.3">
      <c r="A69" s="54" t="str">
        <f t="shared" si="4"/>
        <v>A.Строго "по шаблону"(+)</v>
      </c>
      <c r="B69" s="46" t="s">
        <v>61</v>
      </c>
      <c r="C69" s="62" t="s">
        <v>25</v>
      </c>
      <c r="D69" s="48" t="s">
        <v>13</v>
      </c>
      <c r="E69" s="48" t="s">
        <v>15</v>
      </c>
      <c r="F69" s="48" t="s">
        <v>15</v>
      </c>
      <c r="G69" s="48" t="s">
        <v>15</v>
      </c>
      <c r="H69" s="48" t="s">
        <v>15</v>
      </c>
    </row>
    <row r="70" spans="1:8" ht="13" x14ac:dyDescent="0.3">
      <c r="A70" s="54" t="str">
        <f t="shared" si="4"/>
        <v>В. "По шаблону"</v>
      </c>
      <c r="C70" s="62" t="s">
        <v>26</v>
      </c>
      <c r="D70" s="48" t="s">
        <v>14</v>
      </c>
      <c r="E70" s="48" t="s">
        <v>13</v>
      </c>
      <c r="F70" s="48" t="s">
        <v>15</v>
      </c>
      <c r="G70" s="48" t="s">
        <v>15</v>
      </c>
      <c r="H70" s="48" t="s">
        <v>15</v>
      </c>
    </row>
    <row r="71" spans="1:8" ht="13" x14ac:dyDescent="0.3">
      <c r="A71" s="54" t="str">
        <f t="shared" si="4"/>
        <v>В. "По шаблону"(+)</v>
      </c>
      <c r="B71" s="46" t="s">
        <v>61</v>
      </c>
      <c r="C71" s="62" t="s">
        <v>26</v>
      </c>
      <c r="D71" s="48" t="s">
        <v>13</v>
      </c>
      <c r="E71" s="48" t="s">
        <v>13</v>
      </c>
      <c r="F71" s="48" t="s">
        <v>15</v>
      </c>
      <c r="G71" s="48" t="s">
        <v>15</v>
      </c>
      <c r="H71" s="48" t="s">
        <v>15</v>
      </c>
    </row>
    <row r="72" spans="1:8" ht="13" x14ac:dyDescent="0.3">
      <c r="A72" s="54" t="str">
        <f t="shared" si="4"/>
        <v>С. Процедурная</v>
      </c>
      <c r="C72" s="62" t="s">
        <v>27</v>
      </c>
      <c r="D72" s="48" t="s">
        <v>15</v>
      </c>
      <c r="E72" s="48" t="s">
        <v>13</v>
      </c>
      <c r="F72" s="48" t="s">
        <v>13</v>
      </c>
      <c r="G72" s="48" t="s">
        <v>15</v>
      </c>
      <c r="H72" s="48" t="s">
        <v>15</v>
      </c>
    </row>
    <row r="73" spans="1:8" ht="13" x14ac:dyDescent="0.3">
      <c r="A73" s="54" t="str">
        <f t="shared" si="4"/>
        <v>С. Процедурная(+)</v>
      </c>
      <c r="B73" s="46" t="s">
        <v>61</v>
      </c>
      <c r="C73" s="62" t="s">
        <v>27</v>
      </c>
      <c r="D73" s="48" t="s">
        <v>15</v>
      </c>
      <c r="E73" s="48" t="s">
        <v>13</v>
      </c>
      <c r="F73" s="48" t="s">
        <v>13</v>
      </c>
      <c r="G73" s="48" t="s">
        <v>15</v>
      </c>
      <c r="H73" s="48" t="s">
        <v>15</v>
      </c>
    </row>
    <row r="74" spans="1:8" ht="13" x14ac:dyDescent="0.3">
      <c r="A74" s="54" t="str">
        <f t="shared" si="4"/>
        <v>D. Нормативная</v>
      </c>
      <c r="C74" s="62" t="s">
        <v>28</v>
      </c>
      <c r="D74" s="48" t="s">
        <v>15</v>
      </c>
      <c r="E74" s="48" t="s">
        <v>15</v>
      </c>
      <c r="F74" s="48" t="s">
        <v>13</v>
      </c>
      <c r="G74" s="48" t="s">
        <v>13</v>
      </c>
      <c r="H74" s="48" t="s">
        <v>15</v>
      </c>
    </row>
    <row r="75" spans="1:8" ht="13" x14ac:dyDescent="0.3">
      <c r="A75" s="54" t="str">
        <f t="shared" si="4"/>
        <v>D. Нормативная(+)</v>
      </c>
      <c r="B75" s="46" t="s">
        <v>61</v>
      </c>
      <c r="C75" s="62" t="s">
        <v>28</v>
      </c>
      <c r="D75" s="48" t="s">
        <v>15</v>
      </c>
      <c r="E75" s="48" t="s">
        <v>14</v>
      </c>
      <c r="F75" s="48" t="s">
        <v>13</v>
      </c>
      <c r="G75" s="48" t="s">
        <v>14</v>
      </c>
      <c r="H75" s="48" t="s">
        <v>15</v>
      </c>
    </row>
    <row r="76" spans="1:8" ht="13" x14ac:dyDescent="0.3">
      <c r="A76" s="54" t="str">
        <f t="shared" si="4"/>
        <v>E. Ясно определенная</v>
      </c>
      <c r="C76" s="62" t="s">
        <v>29</v>
      </c>
      <c r="D76" s="48" t="s">
        <v>15</v>
      </c>
      <c r="E76" s="48" t="s">
        <v>15</v>
      </c>
      <c r="F76" s="48" t="s">
        <v>13</v>
      </c>
      <c r="G76" s="48" t="s">
        <v>13</v>
      </c>
      <c r="H76" s="48" t="s">
        <v>14</v>
      </c>
    </row>
    <row r="77" spans="1:8" ht="13" x14ac:dyDescent="0.3">
      <c r="A77" s="54" t="str">
        <f t="shared" si="4"/>
        <v>E. Ясно определенная(+)</v>
      </c>
      <c r="B77" s="46" t="s">
        <v>61</v>
      </c>
      <c r="C77" s="62" t="s">
        <v>29</v>
      </c>
      <c r="D77" s="48" t="s">
        <v>15</v>
      </c>
      <c r="E77" s="48" t="s">
        <v>15</v>
      </c>
      <c r="F77" s="48" t="s">
        <v>13</v>
      </c>
      <c r="G77" s="48" t="s">
        <v>13</v>
      </c>
      <c r="H77" s="48" t="s">
        <v>14</v>
      </c>
    </row>
    <row r="78" spans="1:8" ht="13" x14ac:dyDescent="0.3">
      <c r="A78" s="54" t="str">
        <f t="shared" si="4"/>
        <v>F. Широко определенная</v>
      </c>
      <c r="C78" s="62" t="s">
        <v>30</v>
      </c>
      <c r="D78" s="48" t="s">
        <v>15</v>
      </c>
      <c r="E78" s="48" t="s">
        <v>15</v>
      </c>
      <c r="F78" s="48" t="s">
        <v>15</v>
      </c>
      <c r="G78" s="48" t="s">
        <v>13</v>
      </c>
      <c r="H78" s="48" t="s">
        <v>15</v>
      </c>
    </row>
    <row r="79" spans="1:8" ht="13" x14ac:dyDescent="0.3">
      <c r="A79" s="54" t="str">
        <f t="shared" si="4"/>
        <v>F. Широко определенная(+)</v>
      </c>
      <c r="B79" s="46" t="s">
        <v>61</v>
      </c>
      <c r="C79" s="62" t="s">
        <v>30</v>
      </c>
      <c r="D79" s="48" t="s">
        <v>15</v>
      </c>
      <c r="E79" s="48" t="s">
        <v>15</v>
      </c>
      <c r="F79" s="48" t="s">
        <v>14</v>
      </c>
      <c r="G79" s="48" t="s">
        <v>13</v>
      </c>
      <c r="H79" s="48" t="s">
        <v>15</v>
      </c>
    </row>
    <row r="80" spans="1:8" ht="13" x14ac:dyDescent="0.3">
      <c r="A80" s="54" t="str">
        <f t="shared" si="4"/>
        <v xml:space="preserve">G. В целом определенная </v>
      </c>
      <c r="C80" s="62" t="s">
        <v>82</v>
      </c>
      <c r="D80" s="48" t="s">
        <v>15</v>
      </c>
      <c r="E80" s="48" t="s">
        <v>15</v>
      </c>
      <c r="F80" s="48" t="s">
        <v>15</v>
      </c>
      <c r="G80" s="48" t="s">
        <v>13</v>
      </c>
      <c r="H80" s="48" t="s">
        <v>15</v>
      </c>
    </row>
    <row r="81" spans="1:8" ht="13" x14ac:dyDescent="0.3">
      <c r="A81" s="54" t="str">
        <f t="shared" si="4"/>
        <v>G. В целом определенная (+)</v>
      </c>
      <c r="B81" s="46" t="s">
        <v>61</v>
      </c>
      <c r="C81" s="62" t="s">
        <v>82</v>
      </c>
      <c r="D81" s="48" t="s">
        <v>15</v>
      </c>
      <c r="E81" s="48" t="s">
        <v>15</v>
      </c>
      <c r="F81" s="48" t="s">
        <v>15</v>
      </c>
      <c r="G81" s="48" t="s">
        <v>13</v>
      </c>
      <c r="H81" s="48" t="s">
        <v>15</v>
      </c>
    </row>
    <row r="82" spans="1:8" ht="13" x14ac:dyDescent="0.3">
      <c r="A82" s="54" t="str">
        <f t="shared" si="4"/>
        <v>H. Абстрактно определенная</v>
      </c>
      <c r="C82" s="62" t="s">
        <v>83</v>
      </c>
      <c r="D82" s="48" t="s">
        <v>15</v>
      </c>
      <c r="E82" s="48" t="s">
        <v>15</v>
      </c>
      <c r="F82" s="48" t="s">
        <v>15</v>
      </c>
      <c r="G82" s="48" t="s">
        <v>14</v>
      </c>
      <c r="H82" s="48" t="s">
        <v>13</v>
      </c>
    </row>
    <row r="83" spans="1:8" ht="13" x14ac:dyDescent="0.3">
      <c r="A83" s="54" t="str">
        <f t="shared" si="4"/>
        <v>H. Абстрактно определенная(+)</v>
      </c>
      <c r="B83" s="46" t="s">
        <v>61</v>
      </c>
      <c r="C83" s="62" t="s">
        <v>83</v>
      </c>
      <c r="D83" s="48" t="s">
        <v>15</v>
      </c>
      <c r="E83" s="48" t="s">
        <v>15</v>
      </c>
      <c r="F83" s="48" t="s">
        <v>15</v>
      </c>
      <c r="G83" s="48" t="s">
        <v>14</v>
      </c>
      <c r="H83" s="48" t="s">
        <v>13</v>
      </c>
    </row>
    <row r="84" spans="1:8" x14ac:dyDescent="0.25">
      <c r="E84" s="66"/>
      <c r="F84" s="66"/>
    </row>
    <row r="85" spans="1:8" x14ac:dyDescent="0.25">
      <c r="E85" s="66"/>
      <c r="F85" s="66"/>
    </row>
    <row r="86" spans="1:8" x14ac:dyDescent="0.25">
      <c r="E86" s="66"/>
      <c r="F86" s="66"/>
    </row>
    <row r="87" spans="1:8" x14ac:dyDescent="0.25">
      <c r="E87" s="66"/>
      <c r="F87" s="66"/>
    </row>
    <row r="88" spans="1:8" x14ac:dyDescent="0.25">
      <c r="E88" s="66"/>
      <c r="F88" s="66"/>
    </row>
    <row r="89" spans="1:8" x14ac:dyDescent="0.25">
      <c r="E89" s="66"/>
      <c r="F89" s="66"/>
    </row>
    <row r="90" spans="1:8" x14ac:dyDescent="0.25">
      <c r="E90" s="66"/>
      <c r="F90" s="66"/>
    </row>
    <row r="91" spans="1:8" x14ac:dyDescent="0.25">
      <c r="E91" s="66"/>
      <c r="F91" s="66"/>
    </row>
    <row r="92" spans="1:8" x14ac:dyDescent="0.25">
      <c r="E92" s="66"/>
      <c r="F92" s="66"/>
    </row>
    <row r="93" spans="1:8" x14ac:dyDescent="0.25">
      <c r="E93" s="66"/>
      <c r="F93" s="66"/>
    </row>
    <row r="94" spans="1:8" x14ac:dyDescent="0.25">
      <c r="E94" s="66"/>
      <c r="F94" s="66"/>
    </row>
    <row r="95" spans="1:8" x14ac:dyDescent="0.25">
      <c r="E95" s="66"/>
      <c r="F95" s="66"/>
    </row>
    <row r="96" spans="1:8" x14ac:dyDescent="0.25">
      <c r="E96" s="66"/>
      <c r="F96" s="66"/>
    </row>
    <row r="97" spans="3:30" x14ac:dyDescent="0.25">
      <c r="E97" s="66"/>
      <c r="F97" s="66"/>
    </row>
    <row r="98" spans="3:30" x14ac:dyDescent="0.25">
      <c r="E98" s="66"/>
      <c r="F98" s="66"/>
    </row>
    <row r="99" spans="3:30" x14ac:dyDescent="0.25">
      <c r="E99" s="66"/>
      <c r="F99" s="66"/>
    </row>
    <row r="100" spans="3:30" x14ac:dyDescent="0.25">
      <c r="E100" s="66"/>
      <c r="F100" s="66"/>
    </row>
    <row r="101" spans="3:30" x14ac:dyDescent="0.25">
      <c r="E101" s="66"/>
      <c r="F101" s="66"/>
    </row>
    <row r="102" spans="3:30" x14ac:dyDescent="0.25">
      <c r="E102" s="66"/>
      <c r="F102" s="66"/>
    </row>
    <row r="105" spans="3:30" ht="23.5" x14ac:dyDescent="0.55000000000000004">
      <c r="D105" s="69" t="s">
        <v>24</v>
      </c>
      <c r="E105" s="66"/>
    </row>
    <row r="107" spans="3:30" x14ac:dyDescent="0.25">
      <c r="D107" s="54">
        <v>38</v>
      </c>
      <c r="E107" s="54">
        <v>43</v>
      </c>
      <c r="F107" s="54">
        <v>50</v>
      </c>
      <c r="G107" s="54">
        <v>57</v>
      </c>
      <c r="H107" s="54">
        <v>66</v>
      </c>
      <c r="I107" s="54">
        <v>76</v>
      </c>
      <c r="J107" s="54">
        <v>87</v>
      </c>
      <c r="K107" s="54">
        <v>100</v>
      </c>
      <c r="L107" s="54">
        <v>115</v>
      </c>
      <c r="M107" s="54">
        <v>132</v>
      </c>
      <c r="N107" s="54">
        <v>152</v>
      </c>
      <c r="O107" s="54">
        <v>175</v>
      </c>
      <c r="P107" s="54">
        <v>200</v>
      </c>
      <c r="Q107" s="54">
        <v>230</v>
      </c>
      <c r="R107" s="54">
        <v>264</v>
      </c>
      <c r="S107" s="54">
        <v>304</v>
      </c>
      <c r="T107" s="54">
        <v>350</v>
      </c>
      <c r="U107" s="54">
        <v>400</v>
      </c>
      <c r="V107" s="54">
        <v>460</v>
      </c>
      <c r="W107" s="54">
        <v>528</v>
      </c>
      <c r="X107" s="54">
        <v>608</v>
      </c>
      <c r="Y107" s="54">
        <v>700</v>
      </c>
      <c r="Z107" s="54">
        <v>800</v>
      </c>
      <c r="AA107" s="54">
        <v>920</v>
      </c>
      <c r="AB107" s="54">
        <v>1056</v>
      </c>
      <c r="AC107" s="54">
        <v>1216</v>
      </c>
      <c r="AD107" s="54">
        <v>1400</v>
      </c>
    </row>
    <row r="108" spans="3:30" x14ac:dyDescent="0.25">
      <c r="C108" s="73">
        <v>0.87</v>
      </c>
      <c r="D108" s="102">
        <v>33</v>
      </c>
      <c r="E108" s="102">
        <v>38</v>
      </c>
      <c r="F108" s="102">
        <v>43</v>
      </c>
      <c r="G108" s="102">
        <v>50</v>
      </c>
      <c r="H108" s="102">
        <v>57</v>
      </c>
      <c r="I108" s="102">
        <v>66</v>
      </c>
      <c r="J108" s="102">
        <v>76</v>
      </c>
      <c r="K108" s="102">
        <v>87</v>
      </c>
      <c r="L108" s="102">
        <v>100</v>
      </c>
      <c r="M108" s="102">
        <v>115</v>
      </c>
      <c r="N108" s="102">
        <v>132</v>
      </c>
      <c r="O108" s="102">
        <v>152</v>
      </c>
      <c r="P108" s="102">
        <v>175</v>
      </c>
      <c r="Q108" s="102">
        <v>200</v>
      </c>
      <c r="R108" s="102">
        <v>230</v>
      </c>
      <c r="S108" s="102">
        <v>264</v>
      </c>
      <c r="T108" s="102">
        <v>304</v>
      </c>
      <c r="U108" s="102">
        <v>350</v>
      </c>
      <c r="V108" s="102">
        <v>400</v>
      </c>
      <c r="W108" s="102">
        <v>460</v>
      </c>
      <c r="X108" s="102">
        <v>528</v>
      </c>
      <c r="Y108" s="102">
        <v>608</v>
      </c>
      <c r="Z108" s="102">
        <v>700</v>
      </c>
      <c r="AA108" s="102">
        <v>800</v>
      </c>
      <c r="AB108" s="102">
        <v>920</v>
      </c>
      <c r="AC108" s="103">
        <v>1056</v>
      </c>
      <c r="AD108" s="103">
        <v>1216</v>
      </c>
    </row>
    <row r="109" spans="3:30" x14ac:dyDescent="0.25">
      <c r="C109" s="73">
        <v>0.76</v>
      </c>
      <c r="D109" s="102">
        <v>29</v>
      </c>
      <c r="E109" s="102">
        <v>33</v>
      </c>
      <c r="F109" s="102">
        <v>38</v>
      </c>
      <c r="G109" s="102">
        <v>43</v>
      </c>
      <c r="H109" s="102">
        <v>50</v>
      </c>
      <c r="I109" s="102">
        <v>57</v>
      </c>
      <c r="J109" s="102">
        <v>66</v>
      </c>
      <c r="K109" s="102">
        <v>76</v>
      </c>
      <c r="L109" s="102">
        <v>87</v>
      </c>
      <c r="M109" s="102">
        <v>100</v>
      </c>
      <c r="N109" s="102">
        <v>115</v>
      </c>
      <c r="O109" s="102">
        <v>132</v>
      </c>
      <c r="P109" s="102">
        <v>152</v>
      </c>
      <c r="Q109" s="102">
        <v>175</v>
      </c>
      <c r="R109" s="102">
        <v>200</v>
      </c>
      <c r="S109" s="102">
        <v>230</v>
      </c>
      <c r="T109" s="102">
        <v>264</v>
      </c>
      <c r="U109" s="102">
        <v>304</v>
      </c>
      <c r="V109" s="102">
        <v>350</v>
      </c>
      <c r="W109" s="102">
        <v>400</v>
      </c>
      <c r="X109" s="102">
        <v>460</v>
      </c>
      <c r="Y109" s="103">
        <v>528</v>
      </c>
      <c r="Z109" s="103">
        <v>608</v>
      </c>
      <c r="AA109" s="70">
        <v>700</v>
      </c>
      <c r="AB109" s="70">
        <v>800</v>
      </c>
      <c r="AC109" s="70">
        <v>920</v>
      </c>
      <c r="AD109" s="70">
        <v>1056</v>
      </c>
    </row>
    <row r="110" spans="3:30" x14ac:dyDescent="0.25">
      <c r="C110" s="73">
        <v>0.66</v>
      </c>
      <c r="D110" s="102">
        <v>25</v>
      </c>
      <c r="E110" s="102">
        <v>29</v>
      </c>
      <c r="F110" s="102">
        <v>33</v>
      </c>
      <c r="G110" s="102">
        <v>38</v>
      </c>
      <c r="H110" s="102">
        <v>43</v>
      </c>
      <c r="I110" s="102">
        <v>50</v>
      </c>
      <c r="J110" s="102">
        <v>57</v>
      </c>
      <c r="K110" s="102">
        <v>66</v>
      </c>
      <c r="L110" s="102">
        <v>76</v>
      </c>
      <c r="M110" s="102">
        <v>87</v>
      </c>
      <c r="N110" s="102">
        <v>100</v>
      </c>
      <c r="O110" s="102">
        <v>115</v>
      </c>
      <c r="P110" s="102">
        <v>132</v>
      </c>
      <c r="Q110" s="102">
        <v>152</v>
      </c>
      <c r="R110" s="102">
        <v>175</v>
      </c>
      <c r="S110" s="102">
        <v>200</v>
      </c>
      <c r="T110" s="102">
        <v>230</v>
      </c>
      <c r="U110" s="102">
        <v>264</v>
      </c>
      <c r="V110" s="102">
        <v>304</v>
      </c>
      <c r="W110" s="102">
        <v>350</v>
      </c>
      <c r="X110" s="103">
        <v>400</v>
      </c>
      <c r="Y110" s="70">
        <v>460</v>
      </c>
      <c r="Z110" s="70">
        <v>528</v>
      </c>
      <c r="AA110" s="70">
        <v>608</v>
      </c>
      <c r="AB110" s="70">
        <v>700</v>
      </c>
      <c r="AC110" s="70">
        <v>800</v>
      </c>
      <c r="AD110" s="70">
        <v>920</v>
      </c>
    </row>
    <row r="111" spans="3:30" x14ac:dyDescent="0.25">
      <c r="C111" s="73">
        <v>0.56999999999999995</v>
      </c>
      <c r="D111" s="102">
        <v>22</v>
      </c>
      <c r="E111" s="102">
        <v>25</v>
      </c>
      <c r="F111" s="102">
        <v>29</v>
      </c>
      <c r="G111" s="102">
        <v>33</v>
      </c>
      <c r="H111" s="102">
        <v>38</v>
      </c>
      <c r="I111" s="102">
        <v>43</v>
      </c>
      <c r="J111" s="102">
        <v>50</v>
      </c>
      <c r="K111" s="102">
        <v>57</v>
      </c>
      <c r="L111" s="102">
        <v>66</v>
      </c>
      <c r="M111" s="102">
        <v>76</v>
      </c>
      <c r="N111" s="102">
        <v>87</v>
      </c>
      <c r="O111" s="102">
        <v>100</v>
      </c>
      <c r="P111" s="102">
        <v>115</v>
      </c>
      <c r="Q111" s="102">
        <v>132</v>
      </c>
      <c r="R111" s="102">
        <v>152</v>
      </c>
      <c r="S111" s="102">
        <v>175</v>
      </c>
      <c r="T111" s="102">
        <v>200</v>
      </c>
      <c r="U111" s="103">
        <v>230</v>
      </c>
      <c r="V111" s="70">
        <v>264</v>
      </c>
      <c r="W111" s="70">
        <v>304</v>
      </c>
      <c r="X111" s="70">
        <v>350</v>
      </c>
      <c r="Y111" s="70">
        <v>400</v>
      </c>
      <c r="Z111" s="70">
        <v>460</v>
      </c>
      <c r="AA111" s="70">
        <v>528</v>
      </c>
      <c r="AB111" s="70">
        <v>608</v>
      </c>
      <c r="AC111" s="103">
        <v>700</v>
      </c>
      <c r="AD111" s="103">
        <v>800</v>
      </c>
    </row>
    <row r="112" spans="3:30" x14ac:dyDescent="0.25">
      <c r="C112" s="73">
        <v>0.5</v>
      </c>
      <c r="D112" s="102">
        <v>19</v>
      </c>
      <c r="E112" s="102">
        <v>22</v>
      </c>
      <c r="F112" s="102">
        <v>25</v>
      </c>
      <c r="G112" s="102">
        <v>29</v>
      </c>
      <c r="H112" s="102">
        <v>33</v>
      </c>
      <c r="I112" s="102">
        <v>38</v>
      </c>
      <c r="J112" s="102">
        <v>43</v>
      </c>
      <c r="K112" s="102">
        <v>50</v>
      </c>
      <c r="L112" s="102">
        <v>57</v>
      </c>
      <c r="M112" s="102">
        <v>66</v>
      </c>
      <c r="N112" s="102">
        <v>76</v>
      </c>
      <c r="O112" s="102">
        <v>87</v>
      </c>
      <c r="P112" s="102">
        <v>100</v>
      </c>
      <c r="Q112" s="102">
        <v>115</v>
      </c>
      <c r="R112" s="102">
        <v>132</v>
      </c>
      <c r="S112" s="103">
        <v>152</v>
      </c>
      <c r="T112" s="70">
        <v>175</v>
      </c>
      <c r="U112" s="70">
        <v>200</v>
      </c>
      <c r="V112" s="70">
        <v>230</v>
      </c>
      <c r="W112" s="70">
        <v>264</v>
      </c>
      <c r="X112" s="70">
        <v>304</v>
      </c>
      <c r="Y112" s="103">
        <v>350</v>
      </c>
      <c r="Z112" s="102">
        <v>400</v>
      </c>
      <c r="AA112" s="102">
        <v>460</v>
      </c>
      <c r="AB112" s="102">
        <v>528</v>
      </c>
      <c r="AC112" s="102">
        <v>608</v>
      </c>
      <c r="AD112" s="102">
        <v>700</v>
      </c>
    </row>
    <row r="113" spans="3:30" x14ac:dyDescent="0.25">
      <c r="C113" s="73">
        <v>0.43</v>
      </c>
      <c r="D113" s="102">
        <v>16</v>
      </c>
      <c r="E113" s="102">
        <v>19</v>
      </c>
      <c r="F113" s="102">
        <v>22</v>
      </c>
      <c r="G113" s="102">
        <v>25</v>
      </c>
      <c r="H113" s="102">
        <v>29</v>
      </c>
      <c r="I113" s="102">
        <v>33</v>
      </c>
      <c r="J113" s="102">
        <v>38</v>
      </c>
      <c r="K113" s="102">
        <v>43</v>
      </c>
      <c r="L113" s="102">
        <v>50</v>
      </c>
      <c r="M113" s="102">
        <v>57</v>
      </c>
      <c r="N113" s="102">
        <v>66</v>
      </c>
      <c r="O113" s="102">
        <v>76</v>
      </c>
      <c r="P113" s="102">
        <v>87</v>
      </c>
      <c r="Q113" s="103">
        <v>100</v>
      </c>
      <c r="R113" s="70">
        <v>115</v>
      </c>
      <c r="S113" s="70">
        <v>132</v>
      </c>
      <c r="T113" s="70">
        <v>152</v>
      </c>
      <c r="U113" s="70">
        <v>175</v>
      </c>
      <c r="V113" s="70">
        <v>200</v>
      </c>
      <c r="W113" s="103">
        <v>230</v>
      </c>
      <c r="X113" s="102">
        <v>264</v>
      </c>
      <c r="Y113" s="102">
        <v>304</v>
      </c>
      <c r="Z113" s="102">
        <v>350</v>
      </c>
      <c r="AA113" s="102">
        <v>400</v>
      </c>
      <c r="AB113" s="102">
        <v>460</v>
      </c>
      <c r="AC113" s="102">
        <v>528</v>
      </c>
      <c r="AD113" s="102">
        <v>608</v>
      </c>
    </row>
    <row r="114" spans="3:30" x14ac:dyDescent="0.25">
      <c r="C114" s="73">
        <v>0.38</v>
      </c>
      <c r="D114" s="102">
        <v>14</v>
      </c>
      <c r="E114" s="102">
        <v>16</v>
      </c>
      <c r="F114" s="102">
        <v>19</v>
      </c>
      <c r="G114" s="102">
        <v>22</v>
      </c>
      <c r="H114" s="102">
        <v>25</v>
      </c>
      <c r="I114" s="102">
        <v>29</v>
      </c>
      <c r="J114" s="102">
        <v>33</v>
      </c>
      <c r="K114" s="102">
        <v>38</v>
      </c>
      <c r="L114" s="102">
        <v>43</v>
      </c>
      <c r="M114" s="102">
        <v>50</v>
      </c>
      <c r="N114" s="102">
        <v>57</v>
      </c>
      <c r="O114" s="102">
        <v>66</v>
      </c>
      <c r="P114" s="103">
        <v>76</v>
      </c>
      <c r="Q114" s="70">
        <v>87</v>
      </c>
      <c r="R114" s="70">
        <v>100</v>
      </c>
      <c r="S114" s="70">
        <v>115</v>
      </c>
      <c r="T114" s="70">
        <v>132</v>
      </c>
      <c r="U114" s="103">
        <v>152</v>
      </c>
      <c r="V114" s="102">
        <v>175</v>
      </c>
      <c r="W114" s="102">
        <v>200</v>
      </c>
      <c r="X114" s="102">
        <v>230</v>
      </c>
      <c r="Y114" s="102">
        <v>264</v>
      </c>
      <c r="Z114" s="102">
        <v>304</v>
      </c>
      <c r="AA114" s="102">
        <v>350</v>
      </c>
      <c r="AB114" s="102">
        <v>400</v>
      </c>
      <c r="AC114" s="102">
        <v>460</v>
      </c>
      <c r="AD114" s="102">
        <v>528</v>
      </c>
    </row>
    <row r="115" spans="3:30" x14ac:dyDescent="0.25">
      <c r="C115" s="73">
        <v>0.33</v>
      </c>
      <c r="D115" s="102">
        <v>12</v>
      </c>
      <c r="E115" s="102">
        <v>14</v>
      </c>
      <c r="F115" s="102">
        <v>16</v>
      </c>
      <c r="G115" s="102">
        <v>19</v>
      </c>
      <c r="H115" s="102">
        <v>22</v>
      </c>
      <c r="I115" s="102">
        <v>25</v>
      </c>
      <c r="J115" s="102">
        <v>29</v>
      </c>
      <c r="K115" s="102">
        <v>33</v>
      </c>
      <c r="L115" s="102">
        <v>38</v>
      </c>
      <c r="M115" s="102">
        <v>43</v>
      </c>
      <c r="N115" s="103">
        <v>50</v>
      </c>
      <c r="O115" s="70">
        <v>57</v>
      </c>
      <c r="P115" s="70">
        <v>66</v>
      </c>
      <c r="Q115" s="70">
        <v>76</v>
      </c>
      <c r="R115" s="70">
        <v>87</v>
      </c>
      <c r="S115" s="70">
        <v>100</v>
      </c>
      <c r="T115" s="103">
        <v>115</v>
      </c>
      <c r="U115" s="102">
        <v>132</v>
      </c>
      <c r="V115" s="102">
        <v>152</v>
      </c>
      <c r="W115" s="102">
        <v>175</v>
      </c>
      <c r="X115" s="102">
        <v>200</v>
      </c>
      <c r="Y115" s="102">
        <v>230</v>
      </c>
      <c r="Z115" s="102">
        <v>264</v>
      </c>
      <c r="AA115" s="102">
        <v>304</v>
      </c>
      <c r="AB115" s="102">
        <v>350</v>
      </c>
      <c r="AC115" s="102">
        <v>400</v>
      </c>
      <c r="AD115" s="102">
        <v>460</v>
      </c>
    </row>
    <row r="116" spans="3:30" x14ac:dyDescent="0.25">
      <c r="C116" s="73">
        <v>0.28999999999999998</v>
      </c>
      <c r="D116" s="102">
        <v>10</v>
      </c>
      <c r="E116" s="102">
        <v>12</v>
      </c>
      <c r="F116" s="102">
        <v>14</v>
      </c>
      <c r="G116" s="102">
        <v>16</v>
      </c>
      <c r="H116" s="102">
        <v>19</v>
      </c>
      <c r="I116" s="102">
        <v>22</v>
      </c>
      <c r="J116" s="102">
        <v>25</v>
      </c>
      <c r="K116" s="102">
        <v>29</v>
      </c>
      <c r="L116" s="103">
        <v>33</v>
      </c>
      <c r="M116" s="70">
        <v>38</v>
      </c>
      <c r="N116" s="70">
        <v>43</v>
      </c>
      <c r="O116" s="70">
        <v>50</v>
      </c>
      <c r="P116" s="70">
        <v>57</v>
      </c>
      <c r="Q116" s="103">
        <v>66</v>
      </c>
      <c r="R116" s="102">
        <v>76</v>
      </c>
      <c r="S116" s="102">
        <v>87</v>
      </c>
      <c r="T116" s="102">
        <v>100</v>
      </c>
      <c r="U116" s="102">
        <v>115</v>
      </c>
      <c r="V116" s="102">
        <v>132</v>
      </c>
      <c r="W116" s="102">
        <v>152</v>
      </c>
      <c r="X116" s="102">
        <v>175</v>
      </c>
      <c r="Y116" s="102">
        <v>200</v>
      </c>
      <c r="Z116" s="102">
        <v>230</v>
      </c>
      <c r="AA116" s="102">
        <v>264</v>
      </c>
      <c r="AB116" s="102">
        <v>304</v>
      </c>
      <c r="AC116" s="102">
        <v>350</v>
      </c>
      <c r="AD116" s="102">
        <v>400</v>
      </c>
    </row>
    <row r="117" spans="3:30" x14ac:dyDescent="0.25">
      <c r="C117" s="73">
        <v>0.25</v>
      </c>
      <c r="D117" s="102">
        <v>9</v>
      </c>
      <c r="E117" s="102">
        <v>10</v>
      </c>
      <c r="F117" s="102">
        <v>12</v>
      </c>
      <c r="G117" s="102">
        <v>14</v>
      </c>
      <c r="H117" s="102">
        <v>16</v>
      </c>
      <c r="I117" s="102">
        <v>19</v>
      </c>
      <c r="J117" s="102">
        <v>22</v>
      </c>
      <c r="K117" s="103">
        <v>25</v>
      </c>
      <c r="L117" s="70">
        <v>29</v>
      </c>
      <c r="M117" s="70">
        <v>33</v>
      </c>
      <c r="N117" s="70">
        <v>38</v>
      </c>
      <c r="O117" s="103">
        <v>43</v>
      </c>
      <c r="P117" s="102">
        <v>50</v>
      </c>
      <c r="Q117" s="102">
        <v>57</v>
      </c>
      <c r="R117" s="102">
        <v>66</v>
      </c>
      <c r="S117" s="102">
        <v>76</v>
      </c>
      <c r="T117" s="102">
        <v>87</v>
      </c>
      <c r="U117" s="102">
        <v>100</v>
      </c>
      <c r="V117" s="102">
        <v>115</v>
      </c>
      <c r="W117" s="102">
        <v>132</v>
      </c>
      <c r="X117" s="102">
        <v>152</v>
      </c>
      <c r="Y117" s="102">
        <v>175</v>
      </c>
      <c r="Z117" s="102">
        <v>200</v>
      </c>
      <c r="AA117" s="102">
        <v>230</v>
      </c>
      <c r="AB117" s="102">
        <v>264</v>
      </c>
      <c r="AC117" s="102">
        <v>304</v>
      </c>
      <c r="AD117" s="102">
        <v>350</v>
      </c>
    </row>
    <row r="118" spans="3:30" x14ac:dyDescent="0.25">
      <c r="C118" s="73">
        <v>0.22</v>
      </c>
      <c r="D118" s="102">
        <v>8</v>
      </c>
      <c r="E118" s="102">
        <v>9</v>
      </c>
      <c r="F118" s="102">
        <v>10</v>
      </c>
      <c r="G118" s="102">
        <v>12</v>
      </c>
      <c r="H118" s="102">
        <v>14</v>
      </c>
      <c r="I118" s="102">
        <v>16</v>
      </c>
      <c r="J118" s="103">
        <v>19</v>
      </c>
      <c r="K118" s="70">
        <v>22</v>
      </c>
      <c r="L118" s="70">
        <v>25</v>
      </c>
      <c r="M118" s="70">
        <v>29</v>
      </c>
      <c r="N118" s="103">
        <v>33</v>
      </c>
      <c r="O118" s="102">
        <v>38</v>
      </c>
      <c r="P118" s="102">
        <v>43</v>
      </c>
      <c r="Q118" s="102">
        <v>50</v>
      </c>
      <c r="R118" s="102">
        <v>57</v>
      </c>
      <c r="S118" s="102">
        <v>66</v>
      </c>
      <c r="T118" s="102">
        <v>76</v>
      </c>
      <c r="U118" s="102">
        <v>87</v>
      </c>
      <c r="V118" s="102">
        <v>100</v>
      </c>
      <c r="W118" s="102">
        <v>115</v>
      </c>
      <c r="X118" s="102">
        <v>132</v>
      </c>
      <c r="Y118" s="102">
        <v>152</v>
      </c>
      <c r="Z118" s="102">
        <v>175</v>
      </c>
      <c r="AA118" s="102">
        <v>200</v>
      </c>
      <c r="AB118" s="102">
        <v>230</v>
      </c>
      <c r="AC118" s="102">
        <v>264</v>
      </c>
      <c r="AD118" s="102">
        <v>304</v>
      </c>
    </row>
    <row r="119" spans="3:30" x14ac:dyDescent="0.25">
      <c r="C119" s="73">
        <v>0.19</v>
      </c>
      <c r="D119" s="102">
        <v>7</v>
      </c>
      <c r="E119" s="102">
        <v>8</v>
      </c>
      <c r="F119" s="102">
        <v>9</v>
      </c>
      <c r="G119" s="102">
        <v>10</v>
      </c>
      <c r="H119" s="102">
        <v>12</v>
      </c>
      <c r="I119" s="103">
        <v>14</v>
      </c>
      <c r="J119" s="70">
        <v>16</v>
      </c>
      <c r="K119" s="70">
        <v>19</v>
      </c>
      <c r="L119" s="70">
        <v>22</v>
      </c>
      <c r="M119" s="103">
        <v>25</v>
      </c>
      <c r="N119" s="102">
        <v>29</v>
      </c>
      <c r="O119" s="102">
        <v>33</v>
      </c>
      <c r="P119" s="102">
        <v>38</v>
      </c>
      <c r="Q119" s="102">
        <v>43</v>
      </c>
      <c r="R119" s="102">
        <v>50</v>
      </c>
      <c r="S119" s="102">
        <v>57</v>
      </c>
      <c r="T119" s="102">
        <v>66</v>
      </c>
      <c r="U119" s="102">
        <v>76</v>
      </c>
      <c r="V119" s="102">
        <v>87</v>
      </c>
      <c r="W119" s="102">
        <v>100</v>
      </c>
      <c r="X119" s="102">
        <v>115</v>
      </c>
      <c r="Y119" s="102">
        <v>132</v>
      </c>
      <c r="Z119" s="102">
        <v>152</v>
      </c>
      <c r="AA119" s="102">
        <v>175</v>
      </c>
      <c r="AB119" s="102">
        <v>200</v>
      </c>
      <c r="AC119" s="102">
        <v>230</v>
      </c>
      <c r="AD119" s="102">
        <v>264</v>
      </c>
    </row>
    <row r="120" spans="3:30" x14ac:dyDescent="0.25">
      <c r="C120" s="73">
        <v>0.16</v>
      </c>
      <c r="D120" s="102">
        <v>6</v>
      </c>
      <c r="E120" s="102">
        <v>7</v>
      </c>
      <c r="F120" s="102">
        <v>8</v>
      </c>
      <c r="G120" s="103">
        <v>9</v>
      </c>
      <c r="H120" s="70">
        <v>10</v>
      </c>
      <c r="I120" s="70">
        <v>12</v>
      </c>
      <c r="J120" s="70">
        <v>14</v>
      </c>
      <c r="K120" s="70">
        <v>16</v>
      </c>
      <c r="L120" s="103">
        <v>19</v>
      </c>
      <c r="M120" s="102">
        <v>22</v>
      </c>
      <c r="N120" s="102">
        <v>25</v>
      </c>
      <c r="O120" s="102">
        <v>29</v>
      </c>
      <c r="P120" s="102">
        <v>33</v>
      </c>
      <c r="Q120" s="102">
        <v>38</v>
      </c>
      <c r="R120" s="102">
        <v>43</v>
      </c>
      <c r="S120" s="102">
        <v>50</v>
      </c>
      <c r="T120" s="102">
        <v>57</v>
      </c>
      <c r="U120" s="102">
        <v>66</v>
      </c>
      <c r="V120" s="102">
        <v>76</v>
      </c>
      <c r="W120" s="102">
        <v>87</v>
      </c>
      <c r="X120" s="102">
        <v>100</v>
      </c>
      <c r="Y120" s="102">
        <v>115</v>
      </c>
      <c r="Z120" s="102">
        <v>132</v>
      </c>
      <c r="AA120" s="102">
        <v>152</v>
      </c>
      <c r="AB120" s="102">
        <v>175</v>
      </c>
      <c r="AC120" s="102">
        <v>200</v>
      </c>
      <c r="AD120" s="102">
        <v>230</v>
      </c>
    </row>
    <row r="121" spans="3:30" x14ac:dyDescent="0.25">
      <c r="C121" s="73">
        <v>0.14000000000000001</v>
      </c>
      <c r="D121" s="102">
        <v>5</v>
      </c>
      <c r="E121" s="103">
        <v>6</v>
      </c>
      <c r="F121" s="70">
        <v>7</v>
      </c>
      <c r="G121" s="70">
        <v>8</v>
      </c>
      <c r="H121" s="70">
        <v>9</v>
      </c>
      <c r="I121" s="70">
        <v>10</v>
      </c>
      <c r="J121" s="103">
        <v>12</v>
      </c>
      <c r="K121" s="102">
        <v>14</v>
      </c>
      <c r="L121" s="102">
        <v>16</v>
      </c>
      <c r="M121" s="102">
        <v>19</v>
      </c>
      <c r="N121" s="102">
        <v>22</v>
      </c>
      <c r="O121" s="102">
        <v>25</v>
      </c>
      <c r="P121" s="102">
        <v>29</v>
      </c>
      <c r="Q121" s="102">
        <v>33</v>
      </c>
      <c r="R121" s="102">
        <v>38</v>
      </c>
      <c r="S121" s="102">
        <v>43</v>
      </c>
      <c r="T121" s="102">
        <v>50</v>
      </c>
      <c r="U121" s="102">
        <v>57</v>
      </c>
      <c r="V121" s="102">
        <v>66</v>
      </c>
      <c r="W121" s="102">
        <v>76</v>
      </c>
      <c r="X121" s="102">
        <v>87</v>
      </c>
      <c r="Y121" s="102">
        <v>100</v>
      </c>
      <c r="Z121" s="102">
        <v>115</v>
      </c>
      <c r="AA121" s="102">
        <v>132</v>
      </c>
      <c r="AB121" s="102">
        <v>152</v>
      </c>
      <c r="AC121" s="102">
        <v>175</v>
      </c>
      <c r="AD121" s="102">
        <v>200</v>
      </c>
    </row>
    <row r="122" spans="3:30" x14ac:dyDescent="0.25">
      <c r="C122" s="73">
        <v>0.12</v>
      </c>
      <c r="D122" s="103">
        <v>5</v>
      </c>
      <c r="E122" s="70">
        <v>5</v>
      </c>
      <c r="F122" s="70">
        <v>6</v>
      </c>
      <c r="G122" s="70">
        <v>7</v>
      </c>
      <c r="H122" s="103">
        <v>8</v>
      </c>
      <c r="I122" s="102">
        <v>9</v>
      </c>
      <c r="J122" s="102">
        <v>10</v>
      </c>
      <c r="K122" s="102">
        <v>12</v>
      </c>
      <c r="L122" s="102">
        <v>14</v>
      </c>
      <c r="M122" s="102">
        <v>16</v>
      </c>
      <c r="N122" s="102">
        <v>19</v>
      </c>
      <c r="O122" s="102">
        <v>22</v>
      </c>
      <c r="P122" s="102">
        <v>25</v>
      </c>
      <c r="Q122" s="102">
        <v>29</v>
      </c>
      <c r="R122" s="102">
        <v>33</v>
      </c>
      <c r="S122" s="102">
        <v>38</v>
      </c>
      <c r="T122" s="102">
        <v>43</v>
      </c>
      <c r="U122" s="102">
        <v>50</v>
      </c>
      <c r="V122" s="102">
        <v>57</v>
      </c>
      <c r="W122" s="102">
        <v>66</v>
      </c>
      <c r="X122" s="102">
        <v>76</v>
      </c>
      <c r="Y122" s="102">
        <v>87</v>
      </c>
      <c r="Z122" s="102">
        <v>100</v>
      </c>
      <c r="AA122" s="102">
        <v>115</v>
      </c>
      <c r="AB122" s="102">
        <v>132</v>
      </c>
      <c r="AC122" s="102">
        <v>152</v>
      </c>
      <c r="AD122" s="102">
        <v>175</v>
      </c>
    </row>
    <row r="123" spans="3:30" x14ac:dyDescent="0.25">
      <c r="C123" s="73">
        <v>0.1</v>
      </c>
      <c r="D123" s="70">
        <v>4</v>
      </c>
      <c r="E123" s="70">
        <v>4</v>
      </c>
      <c r="F123" s="103">
        <v>5</v>
      </c>
      <c r="G123" s="102">
        <v>6</v>
      </c>
      <c r="H123" s="102">
        <v>7</v>
      </c>
      <c r="I123" s="102">
        <v>8</v>
      </c>
      <c r="J123" s="102">
        <v>9</v>
      </c>
      <c r="K123" s="102">
        <v>10</v>
      </c>
      <c r="L123" s="102">
        <v>12</v>
      </c>
      <c r="M123" s="102">
        <v>14</v>
      </c>
      <c r="N123" s="102">
        <v>16</v>
      </c>
      <c r="O123" s="102">
        <v>19</v>
      </c>
      <c r="P123" s="102">
        <v>22</v>
      </c>
      <c r="Q123" s="102">
        <v>25</v>
      </c>
      <c r="R123" s="102">
        <v>29</v>
      </c>
      <c r="S123" s="102">
        <v>33</v>
      </c>
      <c r="T123" s="102">
        <v>38</v>
      </c>
      <c r="U123" s="102">
        <v>43</v>
      </c>
      <c r="V123" s="102">
        <v>50</v>
      </c>
      <c r="W123" s="102">
        <v>57</v>
      </c>
      <c r="X123" s="102">
        <v>66</v>
      </c>
      <c r="Y123" s="102">
        <v>76</v>
      </c>
      <c r="Z123" s="102">
        <v>87</v>
      </c>
      <c r="AA123" s="102">
        <v>100</v>
      </c>
      <c r="AB123" s="102">
        <v>115</v>
      </c>
      <c r="AC123" s="102">
        <v>132</v>
      </c>
      <c r="AD123" s="102">
        <v>152</v>
      </c>
    </row>
    <row r="128" spans="3:30" ht="23.5" x14ac:dyDescent="0.55000000000000004">
      <c r="D128" s="69" t="s">
        <v>24</v>
      </c>
    </row>
    <row r="129" spans="2:30" ht="11" customHeight="1" x14ac:dyDescent="0.25">
      <c r="B129" s="195"/>
      <c r="D129" s="54">
        <v>38</v>
      </c>
      <c r="E129" s="54">
        <v>43</v>
      </c>
      <c r="F129" s="54">
        <v>50</v>
      </c>
      <c r="G129" s="54">
        <v>57</v>
      </c>
      <c r="H129" s="54">
        <v>66</v>
      </c>
      <c r="I129" s="54">
        <v>76</v>
      </c>
      <c r="J129" s="54">
        <v>87</v>
      </c>
      <c r="K129" s="54">
        <v>100</v>
      </c>
      <c r="L129" s="54">
        <v>115</v>
      </c>
      <c r="M129" s="54">
        <v>132</v>
      </c>
      <c r="N129" s="54">
        <v>152</v>
      </c>
      <c r="O129" s="54">
        <v>175</v>
      </c>
      <c r="P129" s="54">
        <v>200</v>
      </c>
      <c r="Q129" s="54">
        <v>230</v>
      </c>
      <c r="R129" s="54">
        <v>264</v>
      </c>
      <c r="S129" s="54">
        <v>304</v>
      </c>
      <c r="T129" s="54">
        <v>350</v>
      </c>
      <c r="U129" s="54">
        <v>400</v>
      </c>
      <c r="V129" s="54">
        <v>460</v>
      </c>
      <c r="W129" s="54">
        <v>528</v>
      </c>
      <c r="X129" s="54">
        <v>608</v>
      </c>
      <c r="Y129" s="54">
        <v>700</v>
      </c>
      <c r="Z129" s="54">
        <v>800</v>
      </c>
      <c r="AA129" s="54">
        <v>920</v>
      </c>
      <c r="AB129" s="54">
        <v>1056</v>
      </c>
      <c r="AC129" s="54">
        <v>1216</v>
      </c>
      <c r="AD129" s="54">
        <v>1400</v>
      </c>
    </row>
    <row r="130" spans="2:30" ht="11" customHeight="1" x14ac:dyDescent="0.3">
      <c r="B130" s="195"/>
      <c r="C130" s="73">
        <v>0.87</v>
      </c>
      <c r="D130" s="48" t="s">
        <v>15</v>
      </c>
      <c r="E130" s="48" t="s">
        <v>15</v>
      </c>
      <c r="F130" s="48" t="s">
        <v>15</v>
      </c>
      <c r="G130" s="48" t="s">
        <v>15</v>
      </c>
      <c r="H130" s="48" t="s">
        <v>15</v>
      </c>
      <c r="I130" s="48" t="s">
        <v>15</v>
      </c>
      <c r="J130" s="48" t="s">
        <v>15</v>
      </c>
      <c r="K130" s="48" t="s">
        <v>15</v>
      </c>
      <c r="L130" s="48" t="s">
        <v>15</v>
      </c>
      <c r="M130" s="48" t="s">
        <v>15</v>
      </c>
      <c r="N130" s="48" t="s">
        <v>15</v>
      </c>
      <c r="O130" s="48" t="s">
        <v>15</v>
      </c>
      <c r="P130" s="48" t="s">
        <v>15</v>
      </c>
      <c r="Q130" s="48" t="s">
        <v>15</v>
      </c>
      <c r="R130" s="48" t="s">
        <v>15</v>
      </c>
      <c r="S130" s="48" t="s">
        <v>15</v>
      </c>
      <c r="T130" s="48" t="s">
        <v>15</v>
      </c>
      <c r="U130" s="48" t="s">
        <v>15</v>
      </c>
      <c r="V130" s="48" t="s">
        <v>15</v>
      </c>
      <c r="W130" s="48" t="s">
        <v>15</v>
      </c>
      <c r="X130" s="48" t="s">
        <v>15</v>
      </c>
      <c r="Y130" s="48" t="s">
        <v>15</v>
      </c>
      <c r="Z130" s="48" t="s">
        <v>15</v>
      </c>
      <c r="AA130" s="48" t="s">
        <v>15</v>
      </c>
      <c r="AB130" s="48" t="s">
        <v>15</v>
      </c>
      <c r="AC130" s="48" t="s">
        <v>14</v>
      </c>
      <c r="AD130" s="48" t="s">
        <v>14</v>
      </c>
    </row>
    <row r="131" spans="2:30" ht="11" customHeight="1" x14ac:dyDescent="0.3">
      <c r="B131" s="195"/>
      <c r="C131" s="73">
        <v>0.76</v>
      </c>
      <c r="D131" s="48" t="s">
        <v>15</v>
      </c>
      <c r="E131" s="48" t="s">
        <v>15</v>
      </c>
      <c r="F131" s="48" t="s">
        <v>15</v>
      </c>
      <c r="G131" s="48" t="s">
        <v>15</v>
      </c>
      <c r="H131" s="48" t="s">
        <v>15</v>
      </c>
      <c r="I131" s="48" t="s">
        <v>15</v>
      </c>
      <c r="J131" s="48" t="s">
        <v>15</v>
      </c>
      <c r="K131" s="48" t="s">
        <v>15</v>
      </c>
      <c r="L131" s="48" t="s">
        <v>15</v>
      </c>
      <c r="M131" s="48" t="s">
        <v>15</v>
      </c>
      <c r="N131" s="48" t="s">
        <v>15</v>
      </c>
      <c r="O131" s="48" t="s">
        <v>15</v>
      </c>
      <c r="P131" s="48" t="s">
        <v>15</v>
      </c>
      <c r="Q131" s="48" t="s">
        <v>15</v>
      </c>
      <c r="R131" s="48" t="s">
        <v>15</v>
      </c>
      <c r="S131" s="48" t="s">
        <v>15</v>
      </c>
      <c r="T131" s="48" t="s">
        <v>15</v>
      </c>
      <c r="U131" s="48" t="s">
        <v>15</v>
      </c>
      <c r="V131" s="48" t="s">
        <v>15</v>
      </c>
      <c r="W131" s="48" t="s">
        <v>15</v>
      </c>
      <c r="X131" s="48" t="s">
        <v>15</v>
      </c>
      <c r="Y131" s="48" t="s">
        <v>14</v>
      </c>
      <c r="Z131" s="48" t="s">
        <v>14</v>
      </c>
      <c r="AA131" s="48" t="s">
        <v>13</v>
      </c>
      <c r="AB131" s="48" t="s">
        <v>13</v>
      </c>
      <c r="AC131" s="48" t="s">
        <v>13</v>
      </c>
      <c r="AD131" s="48" t="s">
        <v>13</v>
      </c>
    </row>
    <row r="132" spans="2:30" ht="11" customHeight="1" x14ac:dyDescent="0.3">
      <c r="B132" s="195"/>
      <c r="C132" s="73">
        <v>0.66</v>
      </c>
      <c r="D132" s="48" t="s">
        <v>15</v>
      </c>
      <c r="E132" s="48" t="s">
        <v>15</v>
      </c>
      <c r="F132" s="48" t="s">
        <v>15</v>
      </c>
      <c r="G132" s="48" t="s">
        <v>15</v>
      </c>
      <c r="H132" s="48" t="s">
        <v>15</v>
      </c>
      <c r="I132" s="48" t="s">
        <v>15</v>
      </c>
      <c r="J132" s="48" t="s">
        <v>15</v>
      </c>
      <c r="K132" s="48" t="s">
        <v>15</v>
      </c>
      <c r="L132" s="48" t="s">
        <v>15</v>
      </c>
      <c r="M132" s="48" t="s">
        <v>15</v>
      </c>
      <c r="N132" s="48" t="s">
        <v>15</v>
      </c>
      <c r="O132" s="48" t="s">
        <v>15</v>
      </c>
      <c r="P132" s="48" t="s">
        <v>15</v>
      </c>
      <c r="Q132" s="48" t="s">
        <v>15</v>
      </c>
      <c r="R132" s="48" t="s">
        <v>15</v>
      </c>
      <c r="S132" s="48" t="s">
        <v>15</v>
      </c>
      <c r="T132" s="48" t="s">
        <v>15</v>
      </c>
      <c r="U132" s="48" t="s">
        <v>15</v>
      </c>
      <c r="V132" s="48" t="s">
        <v>15</v>
      </c>
      <c r="W132" s="48" t="s">
        <v>15</v>
      </c>
      <c r="X132" s="48" t="s">
        <v>14</v>
      </c>
      <c r="Y132" s="48" t="s">
        <v>13</v>
      </c>
      <c r="Z132" s="48" t="s">
        <v>13</v>
      </c>
      <c r="AA132" s="48" t="s">
        <v>13</v>
      </c>
      <c r="AB132" s="48" t="s">
        <v>13</v>
      </c>
      <c r="AC132" s="48" t="s">
        <v>13</v>
      </c>
      <c r="AD132" s="48" t="s">
        <v>13</v>
      </c>
    </row>
    <row r="133" spans="2:30" ht="11" customHeight="1" x14ac:dyDescent="0.3">
      <c r="B133" s="195"/>
      <c r="C133" s="73">
        <v>0.56999999999999995</v>
      </c>
      <c r="D133" s="48" t="s">
        <v>15</v>
      </c>
      <c r="E133" s="48" t="s">
        <v>15</v>
      </c>
      <c r="F133" s="48" t="s">
        <v>15</v>
      </c>
      <c r="G133" s="48" t="s">
        <v>15</v>
      </c>
      <c r="H133" s="48" t="s">
        <v>15</v>
      </c>
      <c r="I133" s="48" t="s">
        <v>15</v>
      </c>
      <c r="J133" s="48" t="s">
        <v>15</v>
      </c>
      <c r="K133" s="48" t="s">
        <v>15</v>
      </c>
      <c r="L133" s="48" t="s">
        <v>15</v>
      </c>
      <c r="M133" s="48" t="s">
        <v>15</v>
      </c>
      <c r="N133" s="48" t="s">
        <v>15</v>
      </c>
      <c r="O133" s="48" t="s">
        <v>15</v>
      </c>
      <c r="P133" s="48" t="s">
        <v>15</v>
      </c>
      <c r="Q133" s="48" t="s">
        <v>15</v>
      </c>
      <c r="R133" s="48" t="s">
        <v>15</v>
      </c>
      <c r="S133" s="48" t="s">
        <v>15</v>
      </c>
      <c r="T133" s="48" t="s">
        <v>15</v>
      </c>
      <c r="U133" s="48" t="s">
        <v>14</v>
      </c>
      <c r="V133" s="48" t="s">
        <v>13</v>
      </c>
      <c r="W133" s="48" t="s">
        <v>13</v>
      </c>
      <c r="X133" s="48" t="s">
        <v>13</v>
      </c>
      <c r="Y133" s="48" t="s">
        <v>13</v>
      </c>
      <c r="Z133" s="48" t="s">
        <v>13</v>
      </c>
      <c r="AA133" s="48" t="s">
        <v>13</v>
      </c>
      <c r="AB133" s="48" t="s">
        <v>13</v>
      </c>
      <c r="AC133" s="48" t="s">
        <v>14</v>
      </c>
      <c r="AD133" s="48" t="s">
        <v>14</v>
      </c>
    </row>
    <row r="134" spans="2:30" ht="11" customHeight="1" x14ac:dyDescent="0.3">
      <c r="B134" s="195"/>
      <c r="C134" s="73">
        <v>0.5</v>
      </c>
      <c r="D134" s="48" t="s">
        <v>15</v>
      </c>
      <c r="E134" s="48" t="s">
        <v>15</v>
      </c>
      <c r="F134" s="48" t="s">
        <v>15</v>
      </c>
      <c r="G134" s="48" t="s">
        <v>15</v>
      </c>
      <c r="H134" s="48" t="s">
        <v>15</v>
      </c>
      <c r="I134" s="48" t="s">
        <v>15</v>
      </c>
      <c r="J134" s="48" t="s">
        <v>15</v>
      </c>
      <c r="K134" s="48" t="s">
        <v>15</v>
      </c>
      <c r="L134" s="48" t="s">
        <v>15</v>
      </c>
      <c r="M134" s="48" t="s">
        <v>15</v>
      </c>
      <c r="N134" s="48" t="s">
        <v>15</v>
      </c>
      <c r="O134" s="48" t="s">
        <v>15</v>
      </c>
      <c r="P134" s="48" t="s">
        <v>15</v>
      </c>
      <c r="Q134" s="48" t="s">
        <v>15</v>
      </c>
      <c r="R134" s="48" t="s">
        <v>15</v>
      </c>
      <c r="S134" s="48" t="s">
        <v>14</v>
      </c>
      <c r="T134" s="48" t="s">
        <v>13</v>
      </c>
      <c r="U134" s="48" t="s">
        <v>13</v>
      </c>
      <c r="V134" s="48" t="s">
        <v>13</v>
      </c>
      <c r="W134" s="48" t="s">
        <v>13</v>
      </c>
      <c r="X134" s="48" t="s">
        <v>13</v>
      </c>
      <c r="Y134" s="48" t="s">
        <v>14</v>
      </c>
      <c r="Z134" s="48" t="s">
        <v>15</v>
      </c>
      <c r="AA134" s="48" t="s">
        <v>15</v>
      </c>
      <c r="AB134" s="48" t="s">
        <v>15</v>
      </c>
      <c r="AC134" s="48" t="s">
        <v>15</v>
      </c>
      <c r="AD134" s="48" t="s">
        <v>15</v>
      </c>
    </row>
    <row r="135" spans="2:30" ht="11" customHeight="1" x14ac:dyDescent="0.3">
      <c r="B135" s="195"/>
      <c r="C135" s="73">
        <v>0.43</v>
      </c>
      <c r="D135" s="48" t="s">
        <v>15</v>
      </c>
      <c r="E135" s="48" t="s">
        <v>15</v>
      </c>
      <c r="F135" s="48" t="s">
        <v>15</v>
      </c>
      <c r="G135" s="48" t="s">
        <v>15</v>
      </c>
      <c r="H135" s="48" t="s">
        <v>15</v>
      </c>
      <c r="I135" s="48" t="s">
        <v>15</v>
      </c>
      <c r="J135" s="48" t="s">
        <v>15</v>
      </c>
      <c r="K135" s="48" t="s">
        <v>15</v>
      </c>
      <c r="L135" s="48" t="s">
        <v>15</v>
      </c>
      <c r="M135" s="48" t="s">
        <v>15</v>
      </c>
      <c r="N135" s="48" t="s">
        <v>15</v>
      </c>
      <c r="O135" s="48" t="s">
        <v>15</v>
      </c>
      <c r="P135" s="48" t="s">
        <v>15</v>
      </c>
      <c r="Q135" s="48" t="s">
        <v>14</v>
      </c>
      <c r="R135" s="48" t="s">
        <v>13</v>
      </c>
      <c r="S135" s="48" t="s">
        <v>13</v>
      </c>
      <c r="T135" s="48" t="s">
        <v>13</v>
      </c>
      <c r="U135" s="48" t="s">
        <v>13</v>
      </c>
      <c r="V135" s="48" t="s">
        <v>13</v>
      </c>
      <c r="W135" s="48" t="s">
        <v>14</v>
      </c>
      <c r="X135" s="48" t="s">
        <v>15</v>
      </c>
      <c r="Y135" s="48" t="s">
        <v>15</v>
      </c>
      <c r="Z135" s="48" t="s">
        <v>15</v>
      </c>
      <c r="AA135" s="48" t="s">
        <v>15</v>
      </c>
      <c r="AB135" s="48" t="s">
        <v>15</v>
      </c>
      <c r="AC135" s="48" t="s">
        <v>15</v>
      </c>
      <c r="AD135" s="48" t="s">
        <v>15</v>
      </c>
    </row>
    <row r="136" spans="2:30" ht="11" customHeight="1" x14ac:dyDescent="0.3">
      <c r="B136" s="195"/>
      <c r="C136" s="73">
        <v>0.38</v>
      </c>
      <c r="D136" s="48" t="s">
        <v>15</v>
      </c>
      <c r="E136" s="48" t="s">
        <v>15</v>
      </c>
      <c r="F136" s="48" t="s">
        <v>15</v>
      </c>
      <c r="G136" s="48" t="s">
        <v>15</v>
      </c>
      <c r="H136" s="48" t="s">
        <v>15</v>
      </c>
      <c r="I136" s="48" t="s">
        <v>15</v>
      </c>
      <c r="J136" s="48" t="s">
        <v>15</v>
      </c>
      <c r="K136" s="48" t="s">
        <v>15</v>
      </c>
      <c r="L136" s="48" t="s">
        <v>15</v>
      </c>
      <c r="M136" s="48" t="s">
        <v>15</v>
      </c>
      <c r="N136" s="48" t="s">
        <v>15</v>
      </c>
      <c r="O136" s="48" t="s">
        <v>15</v>
      </c>
      <c r="P136" s="48" t="s">
        <v>14</v>
      </c>
      <c r="Q136" s="48" t="s">
        <v>13</v>
      </c>
      <c r="R136" s="48" t="s">
        <v>13</v>
      </c>
      <c r="S136" s="48" t="s">
        <v>13</v>
      </c>
      <c r="T136" s="48" t="s">
        <v>13</v>
      </c>
      <c r="U136" s="48" t="s">
        <v>14</v>
      </c>
      <c r="V136" s="48" t="s">
        <v>15</v>
      </c>
      <c r="W136" s="48" t="s">
        <v>15</v>
      </c>
      <c r="X136" s="48" t="s">
        <v>15</v>
      </c>
      <c r="Y136" s="48" t="s">
        <v>15</v>
      </c>
      <c r="Z136" s="48" t="s">
        <v>15</v>
      </c>
      <c r="AA136" s="48" t="s">
        <v>15</v>
      </c>
      <c r="AB136" s="48" t="s">
        <v>15</v>
      </c>
      <c r="AC136" s="48" t="s">
        <v>15</v>
      </c>
      <c r="AD136" s="48" t="s">
        <v>15</v>
      </c>
    </row>
    <row r="137" spans="2:30" ht="11" customHeight="1" x14ac:dyDescent="0.3">
      <c r="B137" s="195"/>
      <c r="C137" s="73">
        <v>0.33</v>
      </c>
      <c r="D137" s="48" t="s">
        <v>15</v>
      </c>
      <c r="E137" s="48" t="s">
        <v>15</v>
      </c>
      <c r="F137" s="48" t="s">
        <v>15</v>
      </c>
      <c r="G137" s="48" t="s">
        <v>15</v>
      </c>
      <c r="H137" s="48" t="s">
        <v>15</v>
      </c>
      <c r="I137" s="48" t="s">
        <v>15</v>
      </c>
      <c r="J137" s="48" t="s">
        <v>15</v>
      </c>
      <c r="K137" s="48" t="s">
        <v>15</v>
      </c>
      <c r="L137" s="48" t="s">
        <v>15</v>
      </c>
      <c r="M137" s="48" t="s">
        <v>15</v>
      </c>
      <c r="N137" s="48" t="s">
        <v>14</v>
      </c>
      <c r="O137" s="48" t="s">
        <v>13</v>
      </c>
      <c r="P137" s="48" t="s">
        <v>13</v>
      </c>
      <c r="Q137" s="48" t="s">
        <v>13</v>
      </c>
      <c r="R137" s="48" t="s">
        <v>13</v>
      </c>
      <c r="S137" s="48" t="s">
        <v>13</v>
      </c>
      <c r="T137" s="48" t="s">
        <v>14</v>
      </c>
      <c r="U137" s="48" t="s">
        <v>15</v>
      </c>
      <c r="V137" s="48" t="s">
        <v>15</v>
      </c>
      <c r="W137" s="48" t="s">
        <v>15</v>
      </c>
      <c r="X137" s="48" t="s">
        <v>15</v>
      </c>
      <c r="Y137" s="48" t="s">
        <v>15</v>
      </c>
      <c r="Z137" s="48" t="s">
        <v>15</v>
      </c>
      <c r="AA137" s="48" t="s">
        <v>15</v>
      </c>
      <c r="AB137" s="48" t="s">
        <v>15</v>
      </c>
      <c r="AC137" s="48" t="s">
        <v>15</v>
      </c>
      <c r="AD137" s="48" t="s">
        <v>15</v>
      </c>
    </row>
    <row r="138" spans="2:30" ht="11" customHeight="1" x14ac:dyDescent="0.3">
      <c r="B138" s="195"/>
      <c r="C138" s="73">
        <v>0.28999999999999998</v>
      </c>
      <c r="D138" s="48" t="s">
        <v>15</v>
      </c>
      <c r="E138" s="48" t="s">
        <v>15</v>
      </c>
      <c r="F138" s="48" t="s">
        <v>15</v>
      </c>
      <c r="G138" s="48" t="s">
        <v>15</v>
      </c>
      <c r="H138" s="48" t="s">
        <v>15</v>
      </c>
      <c r="I138" s="48" t="s">
        <v>15</v>
      </c>
      <c r="J138" s="48" t="s">
        <v>15</v>
      </c>
      <c r="K138" s="48" t="s">
        <v>15</v>
      </c>
      <c r="L138" s="48" t="s">
        <v>14</v>
      </c>
      <c r="M138" s="48" t="s">
        <v>13</v>
      </c>
      <c r="N138" s="48" t="s">
        <v>13</v>
      </c>
      <c r="O138" s="48" t="s">
        <v>13</v>
      </c>
      <c r="P138" s="48" t="s">
        <v>13</v>
      </c>
      <c r="Q138" s="48" t="s">
        <v>14</v>
      </c>
      <c r="R138" s="48" t="s">
        <v>15</v>
      </c>
      <c r="S138" s="48" t="s">
        <v>15</v>
      </c>
      <c r="T138" s="48" t="s">
        <v>15</v>
      </c>
      <c r="U138" s="48" t="s">
        <v>15</v>
      </c>
      <c r="V138" s="48" t="s">
        <v>15</v>
      </c>
      <c r="W138" s="48" t="s">
        <v>15</v>
      </c>
      <c r="X138" s="48" t="s">
        <v>15</v>
      </c>
      <c r="Y138" s="48" t="s">
        <v>15</v>
      </c>
      <c r="Z138" s="48" t="s">
        <v>15</v>
      </c>
      <c r="AA138" s="48" t="s">
        <v>15</v>
      </c>
      <c r="AB138" s="48" t="s">
        <v>15</v>
      </c>
      <c r="AC138" s="48" t="s">
        <v>15</v>
      </c>
      <c r="AD138" s="48" t="s">
        <v>15</v>
      </c>
    </row>
    <row r="139" spans="2:30" ht="11" customHeight="1" x14ac:dyDescent="0.3">
      <c r="B139" s="195"/>
      <c r="C139" s="73">
        <v>0.25</v>
      </c>
      <c r="D139" s="48" t="s">
        <v>15</v>
      </c>
      <c r="E139" s="48" t="s">
        <v>15</v>
      </c>
      <c r="F139" s="48" t="s">
        <v>15</v>
      </c>
      <c r="G139" s="48" t="s">
        <v>15</v>
      </c>
      <c r="H139" s="48" t="s">
        <v>15</v>
      </c>
      <c r="I139" s="48" t="s">
        <v>15</v>
      </c>
      <c r="J139" s="48" t="s">
        <v>15</v>
      </c>
      <c r="K139" s="48" t="s">
        <v>14</v>
      </c>
      <c r="L139" s="48" t="s">
        <v>13</v>
      </c>
      <c r="M139" s="48" t="s">
        <v>13</v>
      </c>
      <c r="N139" s="48" t="s">
        <v>13</v>
      </c>
      <c r="O139" s="48" t="s">
        <v>14</v>
      </c>
      <c r="P139" s="48" t="s">
        <v>15</v>
      </c>
      <c r="Q139" s="48" t="s">
        <v>15</v>
      </c>
      <c r="R139" s="48" t="s">
        <v>15</v>
      </c>
      <c r="S139" s="48" t="s">
        <v>15</v>
      </c>
      <c r="T139" s="48" t="s">
        <v>15</v>
      </c>
      <c r="U139" s="48" t="s">
        <v>15</v>
      </c>
      <c r="V139" s="48" t="s">
        <v>15</v>
      </c>
      <c r="W139" s="48" t="s">
        <v>15</v>
      </c>
      <c r="X139" s="48" t="s">
        <v>15</v>
      </c>
      <c r="Y139" s="48" t="s">
        <v>15</v>
      </c>
      <c r="Z139" s="48" t="s">
        <v>15</v>
      </c>
      <c r="AA139" s="48" t="s">
        <v>15</v>
      </c>
      <c r="AB139" s="48" t="s">
        <v>15</v>
      </c>
      <c r="AC139" s="48" t="s">
        <v>15</v>
      </c>
      <c r="AD139" s="48" t="s">
        <v>15</v>
      </c>
    </row>
    <row r="140" spans="2:30" ht="11" customHeight="1" x14ac:dyDescent="0.3">
      <c r="B140" s="195"/>
      <c r="C140" s="73">
        <v>0.22</v>
      </c>
      <c r="D140" s="48" t="s">
        <v>15</v>
      </c>
      <c r="E140" s="48" t="s">
        <v>15</v>
      </c>
      <c r="F140" s="48" t="s">
        <v>15</v>
      </c>
      <c r="G140" s="48" t="s">
        <v>15</v>
      </c>
      <c r="H140" s="48" t="s">
        <v>15</v>
      </c>
      <c r="I140" s="48" t="s">
        <v>15</v>
      </c>
      <c r="J140" s="48" t="s">
        <v>14</v>
      </c>
      <c r="K140" s="48" t="s">
        <v>13</v>
      </c>
      <c r="L140" s="48" t="s">
        <v>13</v>
      </c>
      <c r="M140" s="48" t="s">
        <v>13</v>
      </c>
      <c r="N140" s="48" t="s">
        <v>14</v>
      </c>
      <c r="O140" s="48" t="s">
        <v>15</v>
      </c>
      <c r="P140" s="48" t="s">
        <v>15</v>
      </c>
      <c r="Q140" s="48" t="s">
        <v>15</v>
      </c>
      <c r="R140" s="48" t="s">
        <v>15</v>
      </c>
      <c r="S140" s="48" t="s">
        <v>15</v>
      </c>
      <c r="T140" s="48" t="s">
        <v>15</v>
      </c>
      <c r="U140" s="48" t="s">
        <v>15</v>
      </c>
      <c r="V140" s="48" t="s">
        <v>15</v>
      </c>
      <c r="W140" s="48" t="s">
        <v>15</v>
      </c>
      <c r="X140" s="48" t="s">
        <v>15</v>
      </c>
      <c r="Y140" s="48" t="s">
        <v>15</v>
      </c>
      <c r="Z140" s="48" t="s">
        <v>15</v>
      </c>
      <c r="AA140" s="48" t="s">
        <v>15</v>
      </c>
      <c r="AB140" s="48" t="s">
        <v>15</v>
      </c>
      <c r="AC140" s="48" t="s">
        <v>15</v>
      </c>
      <c r="AD140" s="48" t="s">
        <v>15</v>
      </c>
    </row>
    <row r="141" spans="2:30" ht="11" customHeight="1" x14ac:dyDescent="0.3">
      <c r="B141" s="195"/>
      <c r="C141" s="73">
        <v>0.19</v>
      </c>
      <c r="D141" s="48" t="s">
        <v>15</v>
      </c>
      <c r="E141" s="48" t="s">
        <v>15</v>
      </c>
      <c r="F141" s="48" t="s">
        <v>15</v>
      </c>
      <c r="G141" s="48" t="s">
        <v>15</v>
      </c>
      <c r="H141" s="48" t="s">
        <v>15</v>
      </c>
      <c r="I141" s="48" t="s">
        <v>14</v>
      </c>
      <c r="J141" s="48" t="s">
        <v>13</v>
      </c>
      <c r="K141" s="48" t="s">
        <v>13</v>
      </c>
      <c r="L141" s="48" t="s">
        <v>13</v>
      </c>
      <c r="M141" s="48" t="s">
        <v>14</v>
      </c>
      <c r="N141" s="48" t="s">
        <v>15</v>
      </c>
      <c r="O141" s="48" t="s">
        <v>15</v>
      </c>
      <c r="P141" s="48" t="s">
        <v>15</v>
      </c>
      <c r="Q141" s="48" t="s">
        <v>15</v>
      </c>
      <c r="R141" s="48" t="s">
        <v>15</v>
      </c>
      <c r="S141" s="48" t="s">
        <v>15</v>
      </c>
      <c r="T141" s="48" t="s">
        <v>15</v>
      </c>
      <c r="U141" s="48" t="s">
        <v>15</v>
      </c>
      <c r="V141" s="48" t="s">
        <v>15</v>
      </c>
      <c r="W141" s="48" t="s">
        <v>15</v>
      </c>
      <c r="X141" s="48" t="s">
        <v>15</v>
      </c>
      <c r="Y141" s="48" t="s">
        <v>15</v>
      </c>
      <c r="Z141" s="48" t="s">
        <v>15</v>
      </c>
      <c r="AA141" s="48" t="s">
        <v>15</v>
      </c>
      <c r="AB141" s="48" t="s">
        <v>15</v>
      </c>
      <c r="AC141" s="48" t="s">
        <v>15</v>
      </c>
      <c r="AD141" s="48" t="s">
        <v>15</v>
      </c>
    </row>
    <row r="142" spans="2:30" ht="11" customHeight="1" x14ac:dyDescent="0.3">
      <c r="B142" s="195"/>
      <c r="C142" s="73">
        <v>0.16</v>
      </c>
      <c r="D142" s="48" t="s">
        <v>15</v>
      </c>
      <c r="E142" s="48" t="s">
        <v>15</v>
      </c>
      <c r="F142" s="48" t="s">
        <v>15</v>
      </c>
      <c r="G142" s="48" t="s">
        <v>14</v>
      </c>
      <c r="H142" s="48" t="s">
        <v>13</v>
      </c>
      <c r="I142" s="48" t="s">
        <v>13</v>
      </c>
      <c r="J142" s="48" t="s">
        <v>13</v>
      </c>
      <c r="K142" s="48" t="s">
        <v>13</v>
      </c>
      <c r="L142" s="48" t="s">
        <v>14</v>
      </c>
      <c r="M142" s="48" t="s">
        <v>15</v>
      </c>
      <c r="N142" s="48" t="s">
        <v>15</v>
      </c>
      <c r="O142" s="48" t="s">
        <v>15</v>
      </c>
      <c r="P142" s="48" t="s">
        <v>15</v>
      </c>
      <c r="Q142" s="48" t="s">
        <v>15</v>
      </c>
      <c r="R142" s="48" t="s">
        <v>15</v>
      </c>
      <c r="S142" s="48" t="s">
        <v>15</v>
      </c>
      <c r="T142" s="48" t="s">
        <v>15</v>
      </c>
      <c r="U142" s="48" t="s">
        <v>15</v>
      </c>
      <c r="V142" s="48" t="s">
        <v>15</v>
      </c>
      <c r="W142" s="48" t="s">
        <v>15</v>
      </c>
      <c r="X142" s="48" t="s">
        <v>15</v>
      </c>
      <c r="Y142" s="48" t="s">
        <v>15</v>
      </c>
      <c r="Z142" s="48" t="s">
        <v>15</v>
      </c>
      <c r="AA142" s="48" t="s">
        <v>15</v>
      </c>
      <c r="AB142" s="48" t="s">
        <v>15</v>
      </c>
      <c r="AC142" s="48" t="s">
        <v>15</v>
      </c>
      <c r="AD142" s="48" t="s">
        <v>15</v>
      </c>
    </row>
    <row r="143" spans="2:30" ht="11" customHeight="1" x14ac:dyDescent="0.3">
      <c r="B143" s="195"/>
      <c r="C143" s="73">
        <v>0.14000000000000001</v>
      </c>
      <c r="D143" s="48" t="s">
        <v>15</v>
      </c>
      <c r="E143" s="48" t="s">
        <v>14</v>
      </c>
      <c r="F143" s="48" t="s">
        <v>13</v>
      </c>
      <c r="G143" s="48" t="s">
        <v>13</v>
      </c>
      <c r="H143" s="48" t="s">
        <v>13</v>
      </c>
      <c r="I143" s="48" t="s">
        <v>13</v>
      </c>
      <c r="J143" s="48" t="s">
        <v>14</v>
      </c>
      <c r="K143" s="48" t="s">
        <v>15</v>
      </c>
      <c r="L143" s="48" t="s">
        <v>15</v>
      </c>
      <c r="M143" s="48" t="s">
        <v>15</v>
      </c>
      <c r="N143" s="48" t="s">
        <v>15</v>
      </c>
      <c r="O143" s="48" t="s">
        <v>15</v>
      </c>
      <c r="P143" s="48" t="s">
        <v>15</v>
      </c>
      <c r="Q143" s="48" t="s">
        <v>15</v>
      </c>
      <c r="R143" s="48" t="s">
        <v>15</v>
      </c>
      <c r="S143" s="48" t="s">
        <v>15</v>
      </c>
      <c r="T143" s="48" t="s">
        <v>15</v>
      </c>
      <c r="U143" s="48" t="s">
        <v>15</v>
      </c>
      <c r="V143" s="48" t="s">
        <v>15</v>
      </c>
      <c r="W143" s="48" t="s">
        <v>15</v>
      </c>
      <c r="X143" s="48" t="s">
        <v>15</v>
      </c>
      <c r="Y143" s="48" t="s">
        <v>15</v>
      </c>
      <c r="Z143" s="48" t="s">
        <v>15</v>
      </c>
      <c r="AA143" s="48" t="s">
        <v>15</v>
      </c>
      <c r="AB143" s="48" t="s">
        <v>15</v>
      </c>
      <c r="AC143" s="48" t="s">
        <v>15</v>
      </c>
      <c r="AD143" s="48" t="s">
        <v>15</v>
      </c>
    </row>
    <row r="144" spans="2:30" ht="11" customHeight="1" x14ac:dyDescent="0.3">
      <c r="B144" s="195"/>
      <c r="C144" s="73">
        <v>0.12</v>
      </c>
      <c r="D144" s="48" t="s">
        <v>14</v>
      </c>
      <c r="E144" s="48" t="s">
        <v>13</v>
      </c>
      <c r="F144" s="48" t="s">
        <v>13</v>
      </c>
      <c r="G144" s="48" t="s">
        <v>13</v>
      </c>
      <c r="H144" s="48" t="s">
        <v>14</v>
      </c>
      <c r="I144" s="48" t="s">
        <v>15</v>
      </c>
      <c r="J144" s="48" t="s">
        <v>15</v>
      </c>
      <c r="K144" s="48" t="s">
        <v>15</v>
      </c>
      <c r="L144" s="48" t="s">
        <v>15</v>
      </c>
      <c r="M144" s="48" t="s">
        <v>15</v>
      </c>
      <c r="N144" s="48" t="s">
        <v>15</v>
      </c>
      <c r="O144" s="48" t="s">
        <v>15</v>
      </c>
      <c r="P144" s="48" t="s">
        <v>15</v>
      </c>
      <c r="Q144" s="48" t="s">
        <v>15</v>
      </c>
      <c r="R144" s="48" t="s">
        <v>15</v>
      </c>
      <c r="S144" s="48" t="s">
        <v>15</v>
      </c>
      <c r="T144" s="48" t="s">
        <v>15</v>
      </c>
      <c r="U144" s="48" t="s">
        <v>15</v>
      </c>
      <c r="V144" s="48" t="s">
        <v>15</v>
      </c>
      <c r="W144" s="48" t="s">
        <v>15</v>
      </c>
      <c r="X144" s="48" t="s">
        <v>15</v>
      </c>
      <c r="Y144" s="48" t="s">
        <v>15</v>
      </c>
      <c r="Z144" s="48" t="s">
        <v>15</v>
      </c>
      <c r="AA144" s="48" t="s">
        <v>15</v>
      </c>
      <c r="AB144" s="48" t="s">
        <v>15</v>
      </c>
      <c r="AC144" s="48" t="s">
        <v>15</v>
      </c>
      <c r="AD144" s="48" t="s">
        <v>15</v>
      </c>
    </row>
    <row r="145" spans="1:30" ht="11" customHeight="1" x14ac:dyDescent="0.3">
      <c r="B145" s="195"/>
      <c r="C145" s="73">
        <v>0.1</v>
      </c>
      <c r="D145" s="48" t="s">
        <v>13</v>
      </c>
      <c r="E145" s="48" t="s">
        <v>13</v>
      </c>
      <c r="F145" s="48" t="s">
        <v>14</v>
      </c>
      <c r="G145" s="48" t="s">
        <v>15</v>
      </c>
      <c r="H145" s="48" t="s">
        <v>15</v>
      </c>
      <c r="I145" s="48" t="s">
        <v>15</v>
      </c>
      <c r="J145" s="48" t="s">
        <v>15</v>
      </c>
      <c r="K145" s="48" t="s">
        <v>15</v>
      </c>
      <c r="L145" s="48" t="s">
        <v>15</v>
      </c>
      <c r="M145" s="48" t="s">
        <v>15</v>
      </c>
      <c r="N145" s="48" t="s">
        <v>15</v>
      </c>
      <c r="O145" s="48" t="s">
        <v>15</v>
      </c>
      <c r="P145" s="48" t="s">
        <v>15</v>
      </c>
      <c r="Q145" s="48" t="s">
        <v>15</v>
      </c>
      <c r="R145" s="48" t="s">
        <v>15</v>
      </c>
      <c r="S145" s="48" t="s">
        <v>15</v>
      </c>
      <c r="T145" s="48" t="s">
        <v>15</v>
      </c>
      <c r="U145" s="48" t="s">
        <v>15</v>
      </c>
      <c r="V145" s="48" t="s">
        <v>15</v>
      </c>
      <c r="W145" s="48" t="s">
        <v>15</v>
      </c>
      <c r="X145" s="48" t="s">
        <v>15</v>
      </c>
      <c r="Y145" s="48" t="s">
        <v>15</v>
      </c>
      <c r="Z145" s="48" t="s">
        <v>15</v>
      </c>
      <c r="AA145" s="48" t="s">
        <v>15</v>
      </c>
      <c r="AB145" s="48" t="s">
        <v>15</v>
      </c>
      <c r="AC145" s="48" t="s">
        <v>15</v>
      </c>
      <c r="AD145" s="48" t="s">
        <v>15</v>
      </c>
    </row>
    <row r="146" spans="1:30" ht="11" customHeight="1" x14ac:dyDescent="0.25">
      <c r="C146" s="71"/>
    </row>
    <row r="147" spans="1:30" ht="11" customHeight="1" x14ac:dyDescent="0.25">
      <c r="C147" s="71"/>
    </row>
    <row r="148" spans="1:30" ht="11" customHeight="1" x14ac:dyDescent="0.25">
      <c r="C148" s="71"/>
    </row>
    <row r="149" spans="1:30" ht="11" customHeight="1" x14ac:dyDescent="0.4">
      <c r="C149" s="71"/>
      <c r="D149" s="72"/>
    </row>
    <row r="154" spans="1:30" ht="23.5" x14ac:dyDescent="0.55000000000000004">
      <c r="D154" s="69" t="s">
        <v>58</v>
      </c>
    </row>
    <row r="155" spans="1:30" ht="15.5" x14ac:dyDescent="0.35">
      <c r="C155" s="1"/>
      <c r="D155" s="74" t="s">
        <v>81</v>
      </c>
      <c r="E155" s="74" t="s">
        <v>81</v>
      </c>
      <c r="F155" s="74" t="s">
        <v>81</v>
      </c>
      <c r="G155" s="74" t="s">
        <v>81</v>
      </c>
      <c r="H155" s="74" t="s">
        <v>81</v>
      </c>
      <c r="I155" s="74" t="s">
        <v>81</v>
      </c>
      <c r="J155" s="74" t="s">
        <v>40</v>
      </c>
      <c r="K155" s="74" t="s">
        <v>40</v>
      </c>
      <c r="L155" s="74" t="s">
        <v>40</v>
      </c>
      <c r="M155" s="74" t="s">
        <v>40</v>
      </c>
      <c r="N155" s="74" t="s">
        <v>41</v>
      </c>
      <c r="O155" s="74" t="s">
        <v>41</v>
      </c>
      <c r="P155" s="74" t="s">
        <v>41</v>
      </c>
      <c r="Q155" s="74" t="s">
        <v>41</v>
      </c>
      <c r="R155" s="74" t="s">
        <v>42</v>
      </c>
      <c r="S155" s="74" t="s">
        <v>42</v>
      </c>
      <c r="T155" s="74" t="s">
        <v>42</v>
      </c>
      <c r="U155" s="74" t="s">
        <v>42</v>
      </c>
      <c r="V155" s="74" t="s">
        <v>43</v>
      </c>
      <c r="W155" s="74" t="s">
        <v>43</v>
      </c>
      <c r="X155" s="74" t="s">
        <v>43</v>
      </c>
      <c r="Y155" s="74" t="s">
        <v>43</v>
      </c>
    </row>
    <row r="156" spans="1:30" ht="15.5" x14ac:dyDescent="0.35">
      <c r="C156" s="1"/>
      <c r="D156" s="75" t="s">
        <v>47</v>
      </c>
      <c r="E156" s="75" t="s">
        <v>48</v>
      </c>
      <c r="F156" s="75" t="s">
        <v>49</v>
      </c>
      <c r="G156" s="75" t="s">
        <v>50</v>
      </c>
      <c r="H156" s="75" t="s">
        <v>51</v>
      </c>
      <c r="I156" s="75" t="s">
        <v>52</v>
      </c>
      <c r="J156" s="75" t="s">
        <v>44</v>
      </c>
      <c r="K156" s="75" t="s">
        <v>45</v>
      </c>
      <c r="L156" s="75" t="s">
        <v>46</v>
      </c>
      <c r="M156" s="75" t="s">
        <v>57</v>
      </c>
      <c r="N156" s="75" t="s">
        <v>44</v>
      </c>
      <c r="O156" s="75" t="s">
        <v>45</v>
      </c>
      <c r="P156" s="75" t="s">
        <v>46</v>
      </c>
      <c r="Q156" s="75" t="s">
        <v>57</v>
      </c>
      <c r="R156" s="75" t="s">
        <v>44</v>
      </c>
      <c r="S156" s="75" t="s">
        <v>45</v>
      </c>
      <c r="T156" s="75" t="s">
        <v>46</v>
      </c>
      <c r="U156" s="75" t="s">
        <v>57</v>
      </c>
      <c r="V156" s="75" t="s">
        <v>44</v>
      </c>
      <c r="W156" s="75" t="s">
        <v>45</v>
      </c>
      <c r="X156" s="75" t="s">
        <v>46</v>
      </c>
      <c r="Y156" s="75" t="s">
        <v>57</v>
      </c>
    </row>
    <row r="157" spans="1:30" ht="15.5" x14ac:dyDescent="0.35">
      <c r="C157" s="1"/>
      <c r="D157" s="78" t="str">
        <f>CONCATENATE(D155,D156)</f>
        <v>Неопределено количественноI. Вспомогательное</v>
      </c>
      <c r="E157" s="78" t="str">
        <f t="shared" ref="E157:Y157" si="5">CONCATENATE(E155,E156)</f>
        <v>Неопределено количественноII. Поддерживающее</v>
      </c>
      <c r="F157" s="78" t="str">
        <f t="shared" si="5"/>
        <v>Неопределено количественноIII. Операционное</v>
      </c>
      <c r="G157" s="78" t="str">
        <f t="shared" si="5"/>
        <v>Неопределено количественноIV. Аналитическое</v>
      </c>
      <c r="H157" s="78" t="str">
        <f t="shared" si="5"/>
        <v>Неопределено количественноV. Направляющее</v>
      </c>
      <c r="I157" s="78" t="str">
        <f t="shared" si="5"/>
        <v>Неопределено количественноVI. Воздействующее</v>
      </c>
      <c r="J157" s="78" t="str">
        <f t="shared" si="5"/>
        <v>Очень незначительнаяR. Незначительное</v>
      </c>
      <c r="K157" s="78" t="str">
        <f t="shared" si="5"/>
        <v>Очень незначительнаяС. Содействующее</v>
      </c>
      <c r="L157" s="78" t="str">
        <f t="shared" si="5"/>
        <v>Очень незначительнаяS. Совместное</v>
      </c>
      <c r="M157" s="78" t="str">
        <f t="shared" si="5"/>
        <v>Очень незначительнаяP. Основное</v>
      </c>
      <c r="N157" s="78" t="str">
        <f t="shared" si="5"/>
        <v>НезначительнаяR. Незначительное</v>
      </c>
      <c r="O157" s="78" t="str">
        <f t="shared" si="5"/>
        <v>НезначительнаяС. Содействующее</v>
      </c>
      <c r="P157" s="78" t="str">
        <f t="shared" si="5"/>
        <v>НезначительнаяS. Совместное</v>
      </c>
      <c r="Q157" s="78" t="str">
        <f t="shared" si="5"/>
        <v>НезначительнаяP. Основное</v>
      </c>
      <c r="R157" s="78" t="str">
        <f t="shared" si="5"/>
        <v>СредняяR. Незначительное</v>
      </c>
      <c r="S157" s="78" t="str">
        <f t="shared" si="5"/>
        <v>СредняяС. Содействующее</v>
      </c>
      <c r="T157" s="78" t="str">
        <f t="shared" si="5"/>
        <v>СредняяS. Совместное</v>
      </c>
      <c r="U157" s="78" t="str">
        <f t="shared" si="5"/>
        <v>СредняяP. Основное</v>
      </c>
      <c r="V157" s="78" t="str">
        <f t="shared" si="5"/>
        <v>БольшаяR. Незначительное</v>
      </c>
      <c r="W157" s="78" t="str">
        <f t="shared" si="5"/>
        <v>БольшаяС. Содействующее</v>
      </c>
      <c r="X157" s="78" t="str">
        <f t="shared" si="5"/>
        <v>БольшаяS. Совместное</v>
      </c>
      <c r="Y157" s="78" t="str">
        <f t="shared" si="5"/>
        <v>БольшаяP. Основное</v>
      </c>
    </row>
    <row r="158" spans="1:30" x14ac:dyDescent="0.25">
      <c r="A158" s="54" t="str">
        <f t="shared" ref="A158:A181" si="6">CONCATENATE(C158,B158)</f>
        <v>А. Строго контролируемая(-)</v>
      </c>
      <c r="B158" s="46" t="s">
        <v>60</v>
      </c>
      <c r="C158" s="74" t="s">
        <v>36</v>
      </c>
      <c r="D158" s="75">
        <v>8</v>
      </c>
      <c r="E158" s="75">
        <v>10</v>
      </c>
      <c r="F158" s="109">
        <v>14</v>
      </c>
      <c r="G158" s="108">
        <v>19</v>
      </c>
      <c r="H158" s="106">
        <v>25</v>
      </c>
      <c r="I158" s="106">
        <v>33</v>
      </c>
      <c r="J158" s="75">
        <v>10</v>
      </c>
      <c r="K158" s="75">
        <v>14</v>
      </c>
      <c r="L158" s="75">
        <v>19</v>
      </c>
      <c r="M158" s="75">
        <v>25</v>
      </c>
      <c r="N158" s="75">
        <v>14</v>
      </c>
      <c r="O158" s="75">
        <v>19</v>
      </c>
      <c r="P158" s="75">
        <v>25</v>
      </c>
      <c r="Q158" s="75">
        <v>33</v>
      </c>
      <c r="R158" s="75">
        <v>19</v>
      </c>
      <c r="S158" s="75">
        <v>25</v>
      </c>
      <c r="T158" s="75">
        <v>33</v>
      </c>
      <c r="U158" s="75">
        <v>43</v>
      </c>
      <c r="V158" s="75">
        <v>25</v>
      </c>
      <c r="W158" s="75">
        <v>33</v>
      </c>
      <c r="X158" s="75">
        <v>43</v>
      </c>
      <c r="Y158" s="75">
        <v>57</v>
      </c>
    </row>
    <row r="159" spans="1:30" x14ac:dyDescent="0.25">
      <c r="A159" s="54" t="str">
        <f t="shared" si="6"/>
        <v>А. Строго контролируемая</v>
      </c>
      <c r="C159" s="74" t="s">
        <v>36</v>
      </c>
      <c r="D159" s="76">
        <v>9</v>
      </c>
      <c r="E159" s="76">
        <v>12</v>
      </c>
      <c r="F159" s="105">
        <v>16</v>
      </c>
      <c r="G159" s="106">
        <v>22</v>
      </c>
      <c r="H159" s="106">
        <v>29</v>
      </c>
      <c r="I159" s="106">
        <v>38</v>
      </c>
      <c r="J159" s="76">
        <v>12</v>
      </c>
      <c r="K159" s="76">
        <v>16</v>
      </c>
      <c r="L159" s="76">
        <v>22</v>
      </c>
      <c r="M159" s="76">
        <v>29</v>
      </c>
      <c r="N159" s="76">
        <v>16</v>
      </c>
      <c r="O159" s="76">
        <v>22</v>
      </c>
      <c r="P159" s="76">
        <v>29</v>
      </c>
      <c r="Q159" s="76">
        <v>38</v>
      </c>
      <c r="R159" s="76">
        <v>22</v>
      </c>
      <c r="S159" s="76">
        <v>29</v>
      </c>
      <c r="T159" s="76">
        <v>38</v>
      </c>
      <c r="U159" s="76">
        <v>50</v>
      </c>
      <c r="V159" s="76">
        <v>29</v>
      </c>
      <c r="W159" s="76">
        <v>38</v>
      </c>
      <c r="X159" s="76">
        <v>50</v>
      </c>
      <c r="Y159" s="76">
        <v>66</v>
      </c>
    </row>
    <row r="160" spans="1:30" x14ac:dyDescent="0.25">
      <c r="A160" s="54" t="str">
        <f t="shared" si="6"/>
        <v>А. Строго контролируемая(+)</v>
      </c>
      <c r="B160" s="46" t="s">
        <v>61</v>
      </c>
      <c r="C160" s="74" t="s">
        <v>36</v>
      </c>
      <c r="D160" s="109">
        <v>10</v>
      </c>
      <c r="E160" s="75">
        <v>14</v>
      </c>
      <c r="F160" s="109">
        <v>19</v>
      </c>
      <c r="G160" s="106">
        <v>25</v>
      </c>
      <c r="H160" s="106">
        <v>33</v>
      </c>
      <c r="I160" s="106">
        <v>10</v>
      </c>
      <c r="J160" s="75">
        <v>14</v>
      </c>
      <c r="K160" s="75">
        <v>19</v>
      </c>
      <c r="L160" s="75">
        <v>25</v>
      </c>
      <c r="M160" s="75">
        <v>14</v>
      </c>
      <c r="N160" s="75">
        <v>19</v>
      </c>
      <c r="O160" s="75">
        <v>25</v>
      </c>
      <c r="P160" s="75">
        <v>33</v>
      </c>
      <c r="Q160" s="75">
        <v>19</v>
      </c>
      <c r="R160" s="75">
        <v>25</v>
      </c>
      <c r="S160" s="75">
        <v>33</v>
      </c>
      <c r="T160" s="75">
        <v>43</v>
      </c>
      <c r="U160" s="75">
        <v>25</v>
      </c>
      <c r="V160" s="75">
        <v>33</v>
      </c>
      <c r="W160" s="75">
        <v>43</v>
      </c>
      <c r="X160" s="75">
        <v>57</v>
      </c>
      <c r="Y160" s="76">
        <v>76</v>
      </c>
    </row>
    <row r="161" spans="1:25" x14ac:dyDescent="0.25">
      <c r="A161" s="54" t="str">
        <f t="shared" si="6"/>
        <v>В. Контролируемая(-)</v>
      </c>
      <c r="B161" s="46" t="s">
        <v>60</v>
      </c>
      <c r="C161" s="74" t="s">
        <v>37</v>
      </c>
      <c r="D161" s="105">
        <v>12</v>
      </c>
      <c r="E161" s="76">
        <v>16</v>
      </c>
      <c r="F161" s="76">
        <v>22</v>
      </c>
      <c r="G161" s="105">
        <v>29</v>
      </c>
      <c r="H161" s="106">
        <v>38</v>
      </c>
      <c r="I161" s="106">
        <v>50</v>
      </c>
      <c r="J161" s="76">
        <v>16</v>
      </c>
      <c r="K161" s="76">
        <v>22</v>
      </c>
      <c r="L161" s="76">
        <v>29</v>
      </c>
      <c r="M161" s="76">
        <v>38</v>
      </c>
      <c r="N161" s="76">
        <v>22</v>
      </c>
      <c r="O161" s="76">
        <v>29</v>
      </c>
      <c r="P161" s="76">
        <v>38</v>
      </c>
      <c r="Q161" s="76">
        <v>50</v>
      </c>
      <c r="R161" s="76">
        <v>29</v>
      </c>
      <c r="S161" s="76">
        <v>38</v>
      </c>
      <c r="T161" s="76">
        <v>50</v>
      </c>
      <c r="U161" s="76">
        <v>66</v>
      </c>
      <c r="V161" s="76">
        <v>38</v>
      </c>
      <c r="W161" s="76">
        <v>50</v>
      </c>
      <c r="X161" s="76">
        <v>66</v>
      </c>
      <c r="Y161" s="76">
        <v>87</v>
      </c>
    </row>
    <row r="162" spans="1:25" x14ac:dyDescent="0.25">
      <c r="A162" s="54" t="str">
        <f t="shared" si="6"/>
        <v>В. Контролируемая</v>
      </c>
      <c r="C162" s="74" t="s">
        <v>37</v>
      </c>
      <c r="D162" s="105">
        <v>14</v>
      </c>
      <c r="E162" s="76">
        <v>19</v>
      </c>
      <c r="F162" s="76">
        <v>25</v>
      </c>
      <c r="G162" s="105">
        <v>33</v>
      </c>
      <c r="H162" s="106">
        <v>43</v>
      </c>
      <c r="I162" s="106">
        <v>57</v>
      </c>
      <c r="J162" s="76">
        <v>19</v>
      </c>
      <c r="K162" s="76">
        <v>25</v>
      </c>
      <c r="L162" s="76">
        <v>33</v>
      </c>
      <c r="M162" s="76">
        <v>43</v>
      </c>
      <c r="N162" s="76">
        <v>25</v>
      </c>
      <c r="O162" s="76">
        <v>33</v>
      </c>
      <c r="P162" s="76">
        <v>43</v>
      </c>
      <c r="Q162" s="76">
        <v>57</v>
      </c>
      <c r="R162" s="76">
        <v>33</v>
      </c>
      <c r="S162" s="76">
        <v>43</v>
      </c>
      <c r="T162" s="76">
        <v>57</v>
      </c>
      <c r="U162" s="76">
        <v>76</v>
      </c>
      <c r="V162" s="76">
        <v>43</v>
      </c>
      <c r="W162" s="76">
        <v>57</v>
      </c>
      <c r="X162" s="76">
        <v>76</v>
      </c>
      <c r="Y162" s="76">
        <v>100</v>
      </c>
    </row>
    <row r="163" spans="1:25" x14ac:dyDescent="0.25">
      <c r="A163" s="54" t="str">
        <f t="shared" si="6"/>
        <v>В. Контролируемая(+)</v>
      </c>
      <c r="B163" s="46" t="s">
        <v>61</v>
      </c>
      <c r="C163" s="74" t="s">
        <v>37</v>
      </c>
      <c r="D163" s="106">
        <v>16</v>
      </c>
      <c r="E163" s="105">
        <v>22</v>
      </c>
      <c r="F163" s="76">
        <v>29</v>
      </c>
      <c r="G163" s="105">
        <v>38</v>
      </c>
      <c r="H163" s="106">
        <v>50</v>
      </c>
      <c r="I163" s="106">
        <v>16</v>
      </c>
      <c r="J163" s="76">
        <v>22</v>
      </c>
      <c r="K163" s="76">
        <v>29</v>
      </c>
      <c r="L163" s="76">
        <v>38</v>
      </c>
      <c r="M163" s="76">
        <v>22</v>
      </c>
      <c r="N163" s="76">
        <v>29</v>
      </c>
      <c r="O163" s="76">
        <v>38</v>
      </c>
      <c r="P163" s="76">
        <v>50</v>
      </c>
      <c r="Q163" s="76">
        <v>29</v>
      </c>
      <c r="R163" s="76">
        <v>38</v>
      </c>
      <c r="S163" s="76">
        <v>50</v>
      </c>
      <c r="T163" s="76">
        <v>66</v>
      </c>
      <c r="U163" s="76">
        <v>38</v>
      </c>
      <c r="V163" s="76">
        <v>50</v>
      </c>
      <c r="W163" s="76">
        <v>66</v>
      </c>
      <c r="X163" s="76">
        <v>87</v>
      </c>
      <c r="Y163" s="76">
        <v>115</v>
      </c>
    </row>
    <row r="164" spans="1:25" x14ac:dyDescent="0.25">
      <c r="A164" s="54" t="str">
        <f t="shared" si="6"/>
        <v>С. Нормированная(-)</v>
      </c>
      <c r="B164" s="46" t="s">
        <v>60</v>
      </c>
      <c r="C164" s="74" t="s">
        <v>62</v>
      </c>
      <c r="D164" s="106">
        <v>19</v>
      </c>
      <c r="E164" s="105">
        <v>25</v>
      </c>
      <c r="F164" s="76">
        <v>33</v>
      </c>
      <c r="G164" s="76">
        <v>43</v>
      </c>
      <c r="H164" s="105">
        <v>57</v>
      </c>
      <c r="I164" s="106">
        <v>76</v>
      </c>
      <c r="J164" s="76">
        <v>25</v>
      </c>
      <c r="K164" s="76">
        <v>33</v>
      </c>
      <c r="L164" s="76">
        <v>43</v>
      </c>
      <c r="M164" s="76">
        <v>57</v>
      </c>
      <c r="N164" s="76">
        <v>33</v>
      </c>
      <c r="O164" s="76">
        <v>43</v>
      </c>
      <c r="P164" s="76">
        <v>57</v>
      </c>
      <c r="Q164" s="76">
        <v>76</v>
      </c>
      <c r="R164" s="76">
        <v>43</v>
      </c>
      <c r="S164" s="76">
        <v>57</v>
      </c>
      <c r="T164" s="76">
        <v>76</v>
      </c>
      <c r="U164" s="76">
        <v>100</v>
      </c>
      <c r="V164" s="76">
        <v>57</v>
      </c>
      <c r="W164" s="76">
        <v>76</v>
      </c>
      <c r="X164" s="76">
        <v>100</v>
      </c>
      <c r="Y164" s="76">
        <v>132</v>
      </c>
    </row>
    <row r="165" spans="1:25" x14ac:dyDescent="0.25">
      <c r="A165" s="54" t="str">
        <f t="shared" si="6"/>
        <v>С. Нормированная</v>
      </c>
      <c r="C165" s="74" t="s">
        <v>62</v>
      </c>
      <c r="D165" s="106">
        <v>22</v>
      </c>
      <c r="E165" s="105">
        <v>29</v>
      </c>
      <c r="F165" s="76">
        <v>38</v>
      </c>
      <c r="G165" s="76">
        <v>50</v>
      </c>
      <c r="H165" s="105">
        <v>66</v>
      </c>
      <c r="I165" s="106">
        <v>87</v>
      </c>
      <c r="J165" s="76">
        <v>29</v>
      </c>
      <c r="K165" s="76">
        <v>38</v>
      </c>
      <c r="L165" s="76">
        <v>50</v>
      </c>
      <c r="M165" s="76">
        <v>66</v>
      </c>
      <c r="N165" s="76">
        <v>38</v>
      </c>
      <c r="O165" s="76">
        <v>50</v>
      </c>
      <c r="P165" s="76">
        <v>66</v>
      </c>
      <c r="Q165" s="76">
        <v>87</v>
      </c>
      <c r="R165" s="76">
        <v>50</v>
      </c>
      <c r="S165" s="76">
        <v>66</v>
      </c>
      <c r="T165" s="76">
        <v>87</v>
      </c>
      <c r="U165" s="76">
        <v>115</v>
      </c>
      <c r="V165" s="76">
        <v>66</v>
      </c>
      <c r="W165" s="76">
        <v>87</v>
      </c>
      <c r="X165" s="76">
        <v>115</v>
      </c>
      <c r="Y165" s="76">
        <v>152</v>
      </c>
    </row>
    <row r="166" spans="1:25" x14ac:dyDescent="0.25">
      <c r="A166" s="54" t="str">
        <f t="shared" si="6"/>
        <v>С. Нормированная(+)</v>
      </c>
      <c r="B166" s="46" t="s">
        <v>61</v>
      </c>
      <c r="C166" s="74" t="s">
        <v>62</v>
      </c>
      <c r="D166" s="106">
        <v>25</v>
      </c>
      <c r="E166" s="106">
        <v>33</v>
      </c>
      <c r="F166" s="105">
        <v>43</v>
      </c>
      <c r="G166" s="76">
        <v>57</v>
      </c>
      <c r="H166" s="105">
        <v>76</v>
      </c>
      <c r="I166" s="106">
        <v>25</v>
      </c>
      <c r="J166" s="76">
        <v>33</v>
      </c>
      <c r="K166" s="76">
        <v>43</v>
      </c>
      <c r="L166" s="76">
        <v>57</v>
      </c>
      <c r="M166" s="76">
        <v>33</v>
      </c>
      <c r="N166" s="76">
        <v>43</v>
      </c>
      <c r="O166" s="76">
        <v>57</v>
      </c>
      <c r="P166" s="76">
        <v>76</v>
      </c>
      <c r="Q166" s="76">
        <v>43</v>
      </c>
      <c r="R166" s="76">
        <v>57</v>
      </c>
      <c r="S166" s="76">
        <v>76</v>
      </c>
      <c r="T166" s="76">
        <v>100</v>
      </c>
      <c r="U166" s="76">
        <v>57</v>
      </c>
      <c r="V166" s="76">
        <v>76</v>
      </c>
      <c r="W166" s="76">
        <v>100</v>
      </c>
      <c r="X166" s="76">
        <v>132</v>
      </c>
      <c r="Y166" s="76">
        <v>175</v>
      </c>
    </row>
    <row r="167" spans="1:25" x14ac:dyDescent="0.25">
      <c r="A167" s="54" t="str">
        <f t="shared" si="6"/>
        <v>D. Регулируемая в целом(-)</v>
      </c>
      <c r="B167" s="46" t="s">
        <v>60</v>
      </c>
      <c r="C167" s="74" t="s">
        <v>38</v>
      </c>
      <c r="D167" s="106">
        <v>29</v>
      </c>
      <c r="E167" s="106">
        <v>38</v>
      </c>
      <c r="F167" s="105">
        <v>50</v>
      </c>
      <c r="G167" s="76">
        <v>66</v>
      </c>
      <c r="H167" s="76">
        <v>87</v>
      </c>
      <c r="I167" s="105">
        <v>115</v>
      </c>
      <c r="J167" s="76">
        <v>38</v>
      </c>
      <c r="K167" s="76">
        <v>50</v>
      </c>
      <c r="L167" s="76">
        <v>66</v>
      </c>
      <c r="M167" s="76">
        <v>87</v>
      </c>
      <c r="N167" s="76">
        <v>50</v>
      </c>
      <c r="O167" s="76">
        <v>66</v>
      </c>
      <c r="P167" s="76">
        <v>87</v>
      </c>
      <c r="Q167" s="76">
        <v>115</v>
      </c>
      <c r="R167" s="76">
        <v>66</v>
      </c>
      <c r="S167" s="76">
        <v>87</v>
      </c>
      <c r="T167" s="76">
        <v>115</v>
      </c>
      <c r="U167" s="76">
        <v>152</v>
      </c>
      <c r="V167" s="76">
        <v>87</v>
      </c>
      <c r="W167" s="76">
        <v>115</v>
      </c>
      <c r="X167" s="76">
        <v>152</v>
      </c>
      <c r="Y167" s="76">
        <v>200</v>
      </c>
    </row>
    <row r="168" spans="1:25" x14ac:dyDescent="0.25">
      <c r="A168" s="54" t="str">
        <f t="shared" si="6"/>
        <v>D. Регулируемая в целом</v>
      </c>
      <c r="C168" s="74" t="s">
        <v>38</v>
      </c>
      <c r="D168" s="106">
        <v>33</v>
      </c>
      <c r="E168" s="106">
        <v>43</v>
      </c>
      <c r="F168" s="105">
        <v>57</v>
      </c>
      <c r="G168" s="76">
        <v>76</v>
      </c>
      <c r="H168" s="76">
        <v>100</v>
      </c>
      <c r="I168" s="105">
        <v>132</v>
      </c>
      <c r="J168" s="76">
        <v>43</v>
      </c>
      <c r="K168" s="76">
        <v>57</v>
      </c>
      <c r="L168" s="76">
        <v>76</v>
      </c>
      <c r="M168" s="76">
        <v>100</v>
      </c>
      <c r="N168" s="76">
        <v>57</v>
      </c>
      <c r="O168" s="76">
        <v>76</v>
      </c>
      <c r="P168" s="76">
        <v>100</v>
      </c>
      <c r="Q168" s="76">
        <v>132</v>
      </c>
      <c r="R168" s="76">
        <v>76</v>
      </c>
      <c r="S168" s="76">
        <v>100</v>
      </c>
      <c r="T168" s="76">
        <v>132</v>
      </c>
      <c r="U168" s="76">
        <v>175</v>
      </c>
      <c r="V168" s="76">
        <v>100</v>
      </c>
      <c r="W168" s="76">
        <v>132</v>
      </c>
      <c r="X168" s="76">
        <v>175</v>
      </c>
      <c r="Y168" s="76">
        <v>230</v>
      </c>
    </row>
    <row r="169" spans="1:25" x14ac:dyDescent="0.25">
      <c r="A169" s="54" t="str">
        <f t="shared" si="6"/>
        <v>D. Регулируемая в целом(+)</v>
      </c>
      <c r="B169" s="46" t="s">
        <v>61</v>
      </c>
      <c r="C169" s="74" t="s">
        <v>38</v>
      </c>
      <c r="D169" s="106">
        <v>38</v>
      </c>
      <c r="E169" s="106">
        <v>50</v>
      </c>
      <c r="F169" s="106">
        <v>66</v>
      </c>
      <c r="G169" s="105">
        <v>87</v>
      </c>
      <c r="H169" s="76">
        <v>115</v>
      </c>
      <c r="I169" s="105">
        <v>152</v>
      </c>
      <c r="J169" s="76">
        <v>50</v>
      </c>
      <c r="K169" s="76">
        <v>66</v>
      </c>
      <c r="L169" s="76">
        <v>87</v>
      </c>
      <c r="M169" s="76">
        <v>115</v>
      </c>
      <c r="N169" s="76">
        <v>66</v>
      </c>
      <c r="O169" s="76">
        <v>87</v>
      </c>
      <c r="P169" s="76">
        <v>115</v>
      </c>
      <c r="Q169" s="76">
        <v>152</v>
      </c>
      <c r="R169" s="76">
        <v>87</v>
      </c>
      <c r="S169" s="76">
        <v>115</v>
      </c>
      <c r="T169" s="76">
        <v>152</v>
      </c>
      <c r="U169" s="76">
        <v>200</v>
      </c>
      <c r="V169" s="76">
        <v>115</v>
      </c>
      <c r="W169" s="76">
        <v>152</v>
      </c>
      <c r="X169" s="76">
        <v>200</v>
      </c>
      <c r="Y169" s="76">
        <v>264</v>
      </c>
    </row>
    <row r="170" spans="1:25" x14ac:dyDescent="0.25">
      <c r="A170" s="54" t="str">
        <f t="shared" si="6"/>
        <v>E. Управляемая в целом(-)</v>
      </c>
      <c r="B170" s="46" t="s">
        <v>60</v>
      </c>
      <c r="C170" s="74" t="s">
        <v>39</v>
      </c>
      <c r="D170" s="106">
        <v>43</v>
      </c>
      <c r="E170" s="106">
        <v>57</v>
      </c>
      <c r="F170" s="106">
        <v>76</v>
      </c>
      <c r="G170" s="105">
        <v>100</v>
      </c>
      <c r="H170" s="76">
        <v>132</v>
      </c>
      <c r="I170" s="76">
        <v>175</v>
      </c>
      <c r="J170" s="76">
        <v>57</v>
      </c>
      <c r="K170" s="76">
        <v>76</v>
      </c>
      <c r="L170" s="76">
        <v>100</v>
      </c>
      <c r="M170" s="76">
        <v>132</v>
      </c>
      <c r="N170" s="76">
        <v>76</v>
      </c>
      <c r="O170" s="76">
        <v>100</v>
      </c>
      <c r="P170" s="76">
        <v>132</v>
      </c>
      <c r="Q170" s="76">
        <v>175</v>
      </c>
      <c r="R170" s="76">
        <v>100</v>
      </c>
      <c r="S170" s="76">
        <v>132</v>
      </c>
      <c r="T170" s="76">
        <v>175</v>
      </c>
      <c r="U170" s="76">
        <v>230</v>
      </c>
      <c r="V170" s="76">
        <v>132</v>
      </c>
      <c r="W170" s="76">
        <v>175</v>
      </c>
      <c r="X170" s="76">
        <v>230</v>
      </c>
      <c r="Y170" s="76">
        <v>304</v>
      </c>
    </row>
    <row r="171" spans="1:25" x14ac:dyDescent="0.25">
      <c r="A171" s="54" t="str">
        <f t="shared" si="6"/>
        <v>E. Управляемая в целом</v>
      </c>
      <c r="C171" s="74" t="s">
        <v>39</v>
      </c>
      <c r="D171" s="106">
        <v>50</v>
      </c>
      <c r="E171" s="106">
        <v>66</v>
      </c>
      <c r="F171" s="106">
        <v>87</v>
      </c>
      <c r="G171" s="105">
        <v>115</v>
      </c>
      <c r="H171" s="76">
        <v>152</v>
      </c>
      <c r="I171" s="76">
        <v>200</v>
      </c>
      <c r="J171" s="76">
        <v>66</v>
      </c>
      <c r="K171" s="76">
        <v>87</v>
      </c>
      <c r="L171" s="76">
        <v>115</v>
      </c>
      <c r="M171" s="76">
        <v>152</v>
      </c>
      <c r="N171" s="76">
        <v>87</v>
      </c>
      <c r="O171" s="76">
        <v>115</v>
      </c>
      <c r="P171" s="76">
        <v>152</v>
      </c>
      <c r="Q171" s="76">
        <v>200</v>
      </c>
      <c r="R171" s="76">
        <v>115</v>
      </c>
      <c r="S171" s="76">
        <v>152</v>
      </c>
      <c r="T171" s="76">
        <v>200</v>
      </c>
      <c r="U171" s="76">
        <v>264</v>
      </c>
      <c r="V171" s="76">
        <v>152</v>
      </c>
      <c r="W171" s="76">
        <v>200</v>
      </c>
      <c r="X171" s="76">
        <v>264</v>
      </c>
      <c r="Y171" s="76">
        <v>350</v>
      </c>
    </row>
    <row r="172" spans="1:25" x14ac:dyDescent="0.25">
      <c r="A172" s="54" t="str">
        <f t="shared" si="6"/>
        <v>E. Управляемая в целом(+)</v>
      </c>
      <c r="B172" s="46" t="s">
        <v>61</v>
      </c>
      <c r="C172" s="74" t="s">
        <v>39</v>
      </c>
      <c r="D172" s="106">
        <v>57</v>
      </c>
      <c r="E172" s="106">
        <v>76</v>
      </c>
      <c r="F172" s="106">
        <v>100</v>
      </c>
      <c r="G172" s="106">
        <v>132</v>
      </c>
      <c r="H172" s="106">
        <v>175</v>
      </c>
      <c r="I172" s="106">
        <v>230</v>
      </c>
      <c r="J172" s="76">
        <v>76</v>
      </c>
      <c r="K172" s="76">
        <v>100</v>
      </c>
      <c r="L172" s="76">
        <v>132</v>
      </c>
      <c r="M172" s="76">
        <v>175</v>
      </c>
      <c r="N172" s="76">
        <v>100</v>
      </c>
      <c r="O172" s="76">
        <v>132</v>
      </c>
      <c r="P172" s="76">
        <v>175</v>
      </c>
      <c r="Q172" s="76">
        <v>230</v>
      </c>
      <c r="R172" s="76">
        <v>132</v>
      </c>
      <c r="S172" s="76">
        <v>175</v>
      </c>
      <c r="T172" s="76">
        <v>230</v>
      </c>
      <c r="U172" s="76">
        <v>304</v>
      </c>
      <c r="V172" s="76">
        <v>175</v>
      </c>
      <c r="W172" s="76">
        <v>230</v>
      </c>
      <c r="X172" s="76">
        <v>304</v>
      </c>
      <c r="Y172" s="76">
        <v>400</v>
      </c>
    </row>
    <row r="173" spans="1:25" x14ac:dyDescent="0.25">
      <c r="A173" s="54" t="str">
        <f t="shared" si="6"/>
        <v>F. Управляемая в общих чертах(-)</v>
      </c>
      <c r="B173" s="46" t="s">
        <v>60</v>
      </c>
      <c r="C173" s="74" t="s">
        <v>63</v>
      </c>
      <c r="D173" s="106">
        <v>66</v>
      </c>
      <c r="E173" s="106">
        <v>87</v>
      </c>
      <c r="F173" s="106">
        <v>115</v>
      </c>
      <c r="G173" s="106">
        <v>152</v>
      </c>
      <c r="H173" s="106">
        <v>200</v>
      </c>
      <c r="I173" s="106">
        <v>264</v>
      </c>
      <c r="J173" s="76">
        <v>87</v>
      </c>
      <c r="K173" s="76">
        <v>115</v>
      </c>
      <c r="L173" s="76">
        <v>152</v>
      </c>
      <c r="M173" s="76">
        <v>200</v>
      </c>
      <c r="N173" s="76">
        <v>115</v>
      </c>
      <c r="O173" s="76">
        <v>152</v>
      </c>
      <c r="P173" s="76">
        <v>200</v>
      </c>
      <c r="Q173" s="76">
        <v>264</v>
      </c>
      <c r="R173" s="76">
        <v>152</v>
      </c>
      <c r="S173" s="76">
        <v>200</v>
      </c>
      <c r="T173" s="76">
        <v>264</v>
      </c>
      <c r="U173" s="76">
        <v>350</v>
      </c>
      <c r="V173" s="76">
        <v>200</v>
      </c>
      <c r="W173" s="76">
        <v>264</v>
      </c>
      <c r="X173" s="76">
        <v>350</v>
      </c>
      <c r="Y173" s="76">
        <v>460</v>
      </c>
    </row>
    <row r="174" spans="1:25" x14ac:dyDescent="0.25">
      <c r="A174" s="54" t="str">
        <f t="shared" si="6"/>
        <v>F. Управляемая в общих чертах</v>
      </c>
      <c r="C174" s="74" t="s">
        <v>63</v>
      </c>
      <c r="D174" s="106">
        <v>76</v>
      </c>
      <c r="E174" s="106">
        <v>100</v>
      </c>
      <c r="F174" s="106">
        <v>132</v>
      </c>
      <c r="G174" s="106">
        <v>175</v>
      </c>
      <c r="H174" s="106">
        <v>230</v>
      </c>
      <c r="I174" s="106">
        <v>304</v>
      </c>
      <c r="J174" s="76">
        <v>100</v>
      </c>
      <c r="K174" s="76">
        <v>132</v>
      </c>
      <c r="L174" s="76">
        <v>175</v>
      </c>
      <c r="M174" s="76">
        <v>230</v>
      </c>
      <c r="N174" s="76">
        <v>132</v>
      </c>
      <c r="O174" s="76">
        <v>175</v>
      </c>
      <c r="P174" s="76">
        <v>230</v>
      </c>
      <c r="Q174" s="76">
        <v>304</v>
      </c>
      <c r="R174" s="76">
        <v>175</v>
      </c>
      <c r="S174" s="76">
        <v>230</v>
      </c>
      <c r="T174" s="76">
        <v>304</v>
      </c>
      <c r="U174" s="76">
        <v>400</v>
      </c>
      <c r="V174" s="76">
        <v>230</v>
      </c>
      <c r="W174" s="76">
        <v>304</v>
      </c>
      <c r="X174" s="76">
        <v>400</v>
      </c>
      <c r="Y174" s="76">
        <v>528</v>
      </c>
    </row>
    <row r="175" spans="1:25" x14ac:dyDescent="0.25">
      <c r="A175" s="54" t="str">
        <f t="shared" si="6"/>
        <v>F. Управляемая в общих чертах(+)</v>
      </c>
      <c r="B175" s="46" t="s">
        <v>61</v>
      </c>
      <c r="C175" s="74" t="s">
        <v>63</v>
      </c>
      <c r="D175" s="106">
        <v>87</v>
      </c>
      <c r="E175" s="106">
        <v>115</v>
      </c>
      <c r="F175" s="106">
        <v>152</v>
      </c>
      <c r="G175" s="106">
        <v>200</v>
      </c>
      <c r="H175" s="106">
        <v>264</v>
      </c>
      <c r="I175" s="106">
        <v>350</v>
      </c>
      <c r="J175" s="76">
        <v>115</v>
      </c>
      <c r="K175" s="76">
        <v>152</v>
      </c>
      <c r="L175" s="76">
        <v>200</v>
      </c>
      <c r="M175" s="76">
        <v>264</v>
      </c>
      <c r="N175" s="76">
        <v>152</v>
      </c>
      <c r="O175" s="76">
        <v>200</v>
      </c>
      <c r="P175" s="76">
        <v>264</v>
      </c>
      <c r="Q175" s="76">
        <v>350</v>
      </c>
      <c r="R175" s="76">
        <v>200</v>
      </c>
      <c r="S175" s="76">
        <v>264</v>
      </c>
      <c r="T175" s="76">
        <v>350</v>
      </c>
      <c r="U175" s="76">
        <v>460</v>
      </c>
      <c r="V175" s="76">
        <v>264</v>
      </c>
      <c r="W175" s="76">
        <v>350</v>
      </c>
      <c r="X175" s="76">
        <v>460</v>
      </c>
      <c r="Y175" s="76">
        <v>608</v>
      </c>
    </row>
    <row r="176" spans="1:25" x14ac:dyDescent="0.25">
      <c r="A176" s="54" t="str">
        <f t="shared" si="6"/>
        <v>G. Направляемая(-)</v>
      </c>
      <c r="B176" s="46" t="s">
        <v>60</v>
      </c>
      <c r="C176" s="74" t="s">
        <v>64</v>
      </c>
      <c r="D176" s="106">
        <v>100</v>
      </c>
      <c r="E176" s="106">
        <v>132</v>
      </c>
      <c r="F176" s="106">
        <v>175</v>
      </c>
      <c r="G176" s="106">
        <v>230</v>
      </c>
      <c r="H176" s="107">
        <v>304</v>
      </c>
      <c r="I176" s="107">
        <v>400</v>
      </c>
      <c r="J176" s="77">
        <v>132</v>
      </c>
      <c r="K176" s="77">
        <v>175</v>
      </c>
      <c r="L176" s="77">
        <v>230</v>
      </c>
      <c r="M176" s="77">
        <v>304</v>
      </c>
      <c r="N176" s="77">
        <v>175</v>
      </c>
      <c r="O176" s="77">
        <v>230</v>
      </c>
      <c r="P176" s="77">
        <v>304</v>
      </c>
      <c r="Q176" s="77">
        <v>400</v>
      </c>
      <c r="R176" s="77">
        <v>230</v>
      </c>
      <c r="S176" s="77">
        <v>304</v>
      </c>
      <c r="T176" s="77">
        <v>400</v>
      </c>
      <c r="U176" s="77">
        <v>528</v>
      </c>
      <c r="V176" s="77">
        <v>304</v>
      </c>
      <c r="W176" s="77">
        <v>400</v>
      </c>
      <c r="X176" s="77">
        <v>528</v>
      </c>
      <c r="Y176" s="77">
        <v>700</v>
      </c>
    </row>
    <row r="177" spans="1:25" x14ac:dyDescent="0.25">
      <c r="A177" s="54" t="str">
        <f t="shared" si="6"/>
        <v>G. Направляемая</v>
      </c>
      <c r="C177" s="74" t="s">
        <v>64</v>
      </c>
      <c r="D177" s="106">
        <v>115</v>
      </c>
      <c r="E177" s="106">
        <v>152</v>
      </c>
      <c r="F177" s="106">
        <v>200</v>
      </c>
      <c r="G177" s="106">
        <v>264</v>
      </c>
      <c r="H177" s="107">
        <v>350</v>
      </c>
      <c r="I177" s="107">
        <v>460</v>
      </c>
      <c r="J177" s="77">
        <v>152</v>
      </c>
      <c r="K177" s="77">
        <v>200</v>
      </c>
      <c r="L177" s="77">
        <v>264</v>
      </c>
      <c r="M177" s="77">
        <v>350</v>
      </c>
      <c r="N177" s="77">
        <v>200</v>
      </c>
      <c r="O177" s="77">
        <v>264</v>
      </c>
      <c r="P177" s="77">
        <v>350</v>
      </c>
      <c r="Q177" s="77">
        <v>460</v>
      </c>
      <c r="R177" s="77">
        <v>264</v>
      </c>
      <c r="S177" s="77">
        <v>350</v>
      </c>
      <c r="T177" s="77">
        <v>460</v>
      </c>
      <c r="U177" s="77">
        <v>608</v>
      </c>
      <c r="V177" s="77">
        <v>350</v>
      </c>
      <c r="W177" s="77">
        <v>460</v>
      </c>
      <c r="X177" s="77">
        <v>608</v>
      </c>
      <c r="Y177" s="77">
        <v>800</v>
      </c>
    </row>
    <row r="178" spans="1:25" x14ac:dyDescent="0.25">
      <c r="A178" s="54" t="str">
        <f t="shared" si="6"/>
        <v>G. Направляемая(+)</v>
      </c>
      <c r="B178" s="46" t="s">
        <v>61</v>
      </c>
      <c r="C178" s="74" t="s">
        <v>64</v>
      </c>
      <c r="D178" s="106">
        <v>132</v>
      </c>
      <c r="E178" s="106">
        <v>175</v>
      </c>
      <c r="F178" s="106">
        <v>230</v>
      </c>
      <c r="G178" s="106">
        <v>304</v>
      </c>
      <c r="H178" s="107">
        <v>400</v>
      </c>
      <c r="I178" s="107">
        <v>528</v>
      </c>
      <c r="J178" s="77">
        <v>175</v>
      </c>
      <c r="K178" s="77">
        <v>230</v>
      </c>
      <c r="L178" s="77">
        <v>304</v>
      </c>
      <c r="M178" s="77">
        <v>400</v>
      </c>
      <c r="N178" s="77">
        <v>230</v>
      </c>
      <c r="O178" s="77">
        <v>304</v>
      </c>
      <c r="P178" s="77">
        <v>400</v>
      </c>
      <c r="Q178" s="77">
        <v>528</v>
      </c>
      <c r="R178" s="77">
        <v>304</v>
      </c>
      <c r="S178" s="77">
        <v>400</v>
      </c>
      <c r="T178" s="77">
        <v>528</v>
      </c>
      <c r="U178" s="77">
        <v>700</v>
      </c>
      <c r="V178" s="77">
        <v>400</v>
      </c>
      <c r="W178" s="77">
        <v>528</v>
      </c>
      <c r="X178" s="77">
        <v>700</v>
      </c>
      <c r="Y178" s="77">
        <v>920</v>
      </c>
    </row>
    <row r="179" spans="1:25" x14ac:dyDescent="0.25">
      <c r="A179" s="54" t="str">
        <f t="shared" si="6"/>
        <v>H. Стратегически ориентируемая(-)</v>
      </c>
      <c r="B179" s="46" t="s">
        <v>60</v>
      </c>
      <c r="C179" s="74" t="s">
        <v>65</v>
      </c>
      <c r="D179" s="106">
        <v>152</v>
      </c>
      <c r="E179" s="106">
        <v>200</v>
      </c>
      <c r="F179" s="106">
        <v>264</v>
      </c>
      <c r="G179" s="106">
        <v>350</v>
      </c>
      <c r="H179" s="107">
        <v>460</v>
      </c>
      <c r="I179" s="107">
        <v>608</v>
      </c>
      <c r="J179" s="77">
        <v>200</v>
      </c>
      <c r="K179" s="77">
        <v>264</v>
      </c>
      <c r="L179" s="77">
        <v>350</v>
      </c>
      <c r="M179" s="77">
        <v>460</v>
      </c>
      <c r="N179" s="77">
        <v>264</v>
      </c>
      <c r="O179" s="77">
        <v>350</v>
      </c>
      <c r="P179" s="77">
        <v>460</v>
      </c>
      <c r="Q179" s="77">
        <v>608</v>
      </c>
      <c r="R179" s="77">
        <v>350</v>
      </c>
      <c r="S179" s="77">
        <v>460</v>
      </c>
      <c r="T179" s="77">
        <v>608</v>
      </c>
      <c r="U179" s="77">
        <v>800</v>
      </c>
      <c r="V179" s="77">
        <v>460</v>
      </c>
      <c r="W179" s="77">
        <v>608</v>
      </c>
      <c r="X179" s="77">
        <v>800</v>
      </c>
      <c r="Y179" s="77">
        <v>1056</v>
      </c>
    </row>
    <row r="180" spans="1:25" x14ac:dyDescent="0.25">
      <c r="A180" s="54" t="str">
        <f t="shared" si="6"/>
        <v>H. Стратегически ориентируемая</v>
      </c>
      <c r="C180" s="74" t="s">
        <v>65</v>
      </c>
      <c r="D180" s="106">
        <v>175</v>
      </c>
      <c r="E180" s="106">
        <v>230</v>
      </c>
      <c r="F180" s="106">
        <v>304</v>
      </c>
      <c r="G180" s="106">
        <v>400</v>
      </c>
      <c r="H180" s="107">
        <v>528</v>
      </c>
      <c r="I180" s="107">
        <v>700</v>
      </c>
      <c r="J180" s="77">
        <v>230</v>
      </c>
      <c r="K180" s="77">
        <v>304</v>
      </c>
      <c r="L180" s="77">
        <v>400</v>
      </c>
      <c r="M180" s="77">
        <v>528</v>
      </c>
      <c r="N180" s="77">
        <v>304</v>
      </c>
      <c r="O180" s="77">
        <v>400</v>
      </c>
      <c r="P180" s="77">
        <v>528</v>
      </c>
      <c r="Q180" s="77">
        <v>700</v>
      </c>
      <c r="R180" s="77">
        <v>400</v>
      </c>
      <c r="S180" s="77">
        <v>528</v>
      </c>
      <c r="T180" s="77">
        <v>700</v>
      </c>
      <c r="U180" s="77">
        <v>920</v>
      </c>
      <c r="V180" s="77">
        <v>528</v>
      </c>
      <c r="W180" s="77">
        <v>700</v>
      </c>
      <c r="X180" s="77">
        <v>920</v>
      </c>
      <c r="Y180" s="77">
        <v>1216</v>
      </c>
    </row>
    <row r="181" spans="1:25" x14ac:dyDescent="0.25">
      <c r="A181" s="54" t="str">
        <f t="shared" si="6"/>
        <v>H. Стратегически ориентируемая(+)</v>
      </c>
      <c r="B181" s="46" t="s">
        <v>61</v>
      </c>
      <c r="C181" s="74" t="s">
        <v>65</v>
      </c>
      <c r="D181" s="107">
        <v>200</v>
      </c>
      <c r="E181" s="107">
        <v>264</v>
      </c>
      <c r="F181" s="107">
        <v>350</v>
      </c>
      <c r="G181" s="107">
        <v>460</v>
      </c>
      <c r="H181" s="107">
        <v>608</v>
      </c>
      <c r="I181" s="107">
        <v>800</v>
      </c>
      <c r="J181" s="77">
        <v>264</v>
      </c>
      <c r="K181" s="77">
        <v>350</v>
      </c>
      <c r="L181" s="77">
        <v>460</v>
      </c>
      <c r="M181" s="77">
        <v>608</v>
      </c>
      <c r="N181" s="77">
        <v>350</v>
      </c>
      <c r="O181" s="77">
        <v>460</v>
      </c>
      <c r="P181" s="77">
        <v>608</v>
      </c>
      <c r="Q181" s="77">
        <v>800</v>
      </c>
      <c r="R181" s="77">
        <v>460</v>
      </c>
      <c r="S181" s="77">
        <v>608</v>
      </c>
      <c r="T181" s="77">
        <v>800</v>
      </c>
      <c r="U181" s="77">
        <v>1056</v>
      </c>
      <c r="V181" s="77">
        <v>608</v>
      </c>
      <c r="W181" s="77">
        <v>800</v>
      </c>
      <c r="X181" s="77">
        <v>1056</v>
      </c>
      <c r="Y181" s="77">
        <v>1400</v>
      </c>
    </row>
    <row r="182" spans="1:25" ht="15.5" x14ac:dyDescent="0.3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5" x14ac:dyDescent="0.35">
      <c r="C183" s="1"/>
      <c r="D183" s="76"/>
      <c r="E183" s="1"/>
      <c r="F183" s="1"/>
      <c r="G183" s="1"/>
      <c r="H183" s="7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3.5" x14ac:dyDescent="0.55000000000000004">
      <c r="C184" s="1"/>
      <c r="D184" s="69" t="s">
        <v>58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77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5" x14ac:dyDescent="0.35">
      <c r="C185" s="1"/>
      <c r="D185" s="74" t="s">
        <v>81</v>
      </c>
      <c r="E185" s="74" t="s">
        <v>81</v>
      </c>
      <c r="F185" s="74" t="s">
        <v>81</v>
      </c>
      <c r="G185" s="74" t="s">
        <v>81</v>
      </c>
      <c r="H185" s="74" t="s">
        <v>81</v>
      </c>
      <c r="I185" s="74" t="s">
        <v>81</v>
      </c>
      <c r="J185" s="74" t="s">
        <v>40</v>
      </c>
      <c r="K185" s="74" t="s">
        <v>40</v>
      </c>
      <c r="L185" s="74" t="s">
        <v>40</v>
      </c>
      <c r="M185" s="74" t="s">
        <v>40</v>
      </c>
      <c r="N185" s="74" t="s">
        <v>41</v>
      </c>
      <c r="O185" s="74" t="s">
        <v>41</v>
      </c>
      <c r="P185" s="74" t="s">
        <v>41</v>
      </c>
      <c r="Q185" s="74" t="s">
        <v>41</v>
      </c>
      <c r="R185" s="74" t="s">
        <v>42</v>
      </c>
      <c r="S185" s="74" t="s">
        <v>42</v>
      </c>
      <c r="T185" s="74" t="s">
        <v>42</v>
      </c>
      <c r="U185" s="74" t="s">
        <v>42</v>
      </c>
      <c r="V185" s="74" t="s">
        <v>43</v>
      </c>
      <c r="W185" s="74" t="s">
        <v>43</v>
      </c>
      <c r="X185" s="74" t="s">
        <v>43</v>
      </c>
      <c r="Y185" s="74" t="s">
        <v>43</v>
      </c>
    </row>
    <row r="186" spans="1:25" ht="13.5" customHeight="1" x14ac:dyDescent="0.35">
      <c r="C186" s="1"/>
      <c r="D186" s="75" t="s">
        <v>47</v>
      </c>
      <c r="E186" s="75" t="s">
        <v>48</v>
      </c>
      <c r="F186" s="75" t="s">
        <v>49</v>
      </c>
      <c r="G186" s="75" t="s">
        <v>50</v>
      </c>
      <c r="H186" s="75" t="s">
        <v>51</v>
      </c>
      <c r="I186" s="75" t="s">
        <v>52</v>
      </c>
      <c r="J186" s="75" t="s">
        <v>44</v>
      </c>
      <c r="K186" s="75" t="s">
        <v>45</v>
      </c>
      <c r="L186" s="75" t="s">
        <v>46</v>
      </c>
      <c r="M186" s="75" t="s">
        <v>57</v>
      </c>
      <c r="N186" s="75" t="s">
        <v>44</v>
      </c>
      <c r="O186" s="75" t="s">
        <v>45</v>
      </c>
      <c r="P186" s="75" t="s">
        <v>46</v>
      </c>
      <c r="Q186" s="75" t="s">
        <v>57</v>
      </c>
      <c r="R186" s="75" t="s">
        <v>44</v>
      </c>
      <c r="S186" s="75" t="s">
        <v>45</v>
      </c>
      <c r="T186" s="75" t="s">
        <v>46</v>
      </c>
      <c r="U186" s="75" t="s">
        <v>57</v>
      </c>
      <c r="V186" s="75" t="s">
        <v>44</v>
      </c>
      <c r="W186" s="75" t="s">
        <v>45</v>
      </c>
      <c r="X186" s="75" t="s">
        <v>46</v>
      </c>
      <c r="Y186" s="75" t="s">
        <v>57</v>
      </c>
    </row>
    <row r="187" spans="1:25" ht="15.5" x14ac:dyDescent="0.35">
      <c r="C187" s="1"/>
      <c r="D187" s="78" t="str">
        <f>CONCATENATE(D185,D186)</f>
        <v>Неопределено количественноI. Вспомогательное</v>
      </c>
      <c r="E187" s="78" t="str">
        <f t="shared" ref="E187:Y187" si="7">CONCATENATE(E185,E186)</f>
        <v>Неопределено количественноII. Поддерживающее</v>
      </c>
      <c r="F187" s="78" t="str">
        <f t="shared" si="7"/>
        <v>Неопределено количественноIII. Операционное</v>
      </c>
      <c r="G187" s="78" t="str">
        <f t="shared" si="7"/>
        <v>Неопределено количественноIV. Аналитическое</v>
      </c>
      <c r="H187" s="78" t="str">
        <f t="shared" si="7"/>
        <v>Неопределено количественноV. Направляющее</v>
      </c>
      <c r="I187" s="78" t="str">
        <f t="shared" si="7"/>
        <v>Неопределено количественноVI. Воздействующее</v>
      </c>
      <c r="J187" s="78" t="str">
        <f t="shared" si="7"/>
        <v>Очень незначительнаяR. Незначительное</v>
      </c>
      <c r="K187" s="78" t="str">
        <f t="shared" si="7"/>
        <v>Очень незначительнаяС. Содействующее</v>
      </c>
      <c r="L187" s="78" t="str">
        <f t="shared" si="7"/>
        <v>Очень незначительнаяS. Совместное</v>
      </c>
      <c r="M187" s="78" t="str">
        <f t="shared" si="7"/>
        <v>Очень незначительнаяP. Основное</v>
      </c>
      <c r="N187" s="78" t="str">
        <f t="shared" si="7"/>
        <v>НезначительнаяR. Незначительное</v>
      </c>
      <c r="O187" s="78" t="str">
        <f t="shared" si="7"/>
        <v>НезначительнаяС. Содействующее</v>
      </c>
      <c r="P187" s="78" t="str">
        <f t="shared" si="7"/>
        <v>НезначительнаяS. Совместное</v>
      </c>
      <c r="Q187" s="78" t="str">
        <f t="shared" si="7"/>
        <v>НезначительнаяP. Основное</v>
      </c>
      <c r="R187" s="78" t="str">
        <f t="shared" si="7"/>
        <v>СредняяR. Незначительное</v>
      </c>
      <c r="S187" s="78" t="str">
        <f t="shared" si="7"/>
        <v>СредняяС. Содействующее</v>
      </c>
      <c r="T187" s="78" t="str">
        <f t="shared" si="7"/>
        <v>СредняяS. Совместное</v>
      </c>
      <c r="U187" s="78" t="str">
        <f t="shared" si="7"/>
        <v>СредняяP. Основное</v>
      </c>
      <c r="V187" s="78" t="str">
        <f t="shared" si="7"/>
        <v>БольшаяR. Незначительное</v>
      </c>
      <c r="W187" s="78" t="str">
        <f t="shared" si="7"/>
        <v>БольшаяС. Содействующее</v>
      </c>
      <c r="X187" s="78" t="str">
        <f t="shared" si="7"/>
        <v>БольшаяS. Совместное</v>
      </c>
      <c r="Y187" s="78" t="str">
        <f t="shared" si="7"/>
        <v>БольшаяP. Основное</v>
      </c>
    </row>
    <row r="188" spans="1:25" ht="13" x14ac:dyDescent="0.3">
      <c r="A188" s="54" t="str">
        <f t="shared" ref="A188:A211" si="8">CONCATENATE(C188,B188)</f>
        <v>А. Строго контролируемая(-)</v>
      </c>
      <c r="B188" s="46" t="s">
        <v>60</v>
      </c>
      <c r="C188" s="74" t="s">
        <v>36</v>
      </c>
      <c r="D188" s="48" t="s">
        <v>13</v>
      </c>
      <c r="E188" s="48" t="s">
        <v>13</v>
      </c>
      <c r="F188" s="48" t="s">
        <v>14</v>
      </c>
      <c r="G188" s="48" t="s">
        <v>15</v>
      </c>
      <c r="H188" s="48" t="s">
        <v>15</v>
      </c>
      <c r="I188" s="48" t="s">
        <v>15</v>
      </c>
      <c r="J188" s="48" t="s">
        <v>13</v>
      </c>
      <c r="K188" s="48" t="s">
        <v>13</v>
      </c>
      <c r="L188" s="48" t="s">
        <v>13</v>
      </c>
      <c r="M188" s="48" t="s">
        <v>13</v>
      </c>
      <c r="N188" s="48" t="s">
        <v>13</v>
      </c>
      <c r="O188" s="48" t="s">
        <v>13</v>
      </c>
      <c r="P188" s="48" t="s">
        <v>13</v>
      </c>
      <c r="Q188" s="48" t="s">
        <v>13</v>
      </c>
      <c r="R188" s="48" t="s">
        <v>13</v>
      </c>
      <c r="S188" s="48" t="s">
        <v>13</v>
      </c>
      <c r="T188" s="48" t="s">
        <v>13</v>
      </c>
      <c r="U188" s="48" t="s">
        <v>13</v>
      </c>
      <c r="V188" s="48" t="s">
        <v>13</v>
      </c>
      <c r="W188" s="48" t="s">
        <v>13</v>
      </c>
      <c r="X188" s="48" t="s">
        <v>13</v>
      </c>
      <c r="Y188" s="48" t="s">
        <v>13</v>
      </c>
    </row>
    <row r="189" spans="1:25" ht="13" x14ac:dyDescent="0.3">
      <c r="A189" s="54" t="str">
        <f t="shared" si="8"/>
        <v>А. Строго контролируемая</v>
      </c>
      <c r="C189" s="74" t="s">
        <v>36</v>
      </c>
      <c r="D189" s="48" t="s">
        <v>13</v>
      </c>
      <c r="E189" s="48" t="s">
        <v>13</v>
      </c>
      <c r="F189" s="48" t="s">
        <v>14</v>
      </c>
      <c r="G189" s="48" t="s">
        <v>15</v>
      </c>
      <c r="H189" s="48" t="s">
        <v>15</v>
      </c>
      <c r="I189" s="48" t="s">
        <v>15</v>
      </c>
      <c r="J189" s="48" t="s">
        <v>13</v>
      </c>
      <c r="K189" s="48" t="s">
        <v>13</v>
      </c>
      <c r="L189" s="48" t="s">
        <v>13</v>
      </c>
      <c r="M189" s="48" t="s">
        <v>13</v>
      </c>
      <c r="N189" s="48" t="s">
        <v>13</v>
      </c>
      <c r="O189" s="48" t="s">
        <v>13</v>
      </c>
      <c r="P189" s="48" t="s">
        <v>13</v>
      </c>
      <c r="Q189" s="48" t="s">
        <v>13</v>
      </c>
      <c r="R189" s="48" t="s">
        <v>13</v>
      </c>
      <c r="S189" s="48" t="s">
        <v>13</v>
      </c>
      <c r="T189" s="48" t="s">
        <v>13</v>
      </c>
      <c r="U189" s="48" t="s">
        <v>13</v>
      </c>
      <c r="V189" s="48" t="s">
        <v>13</v>
      </c>
      <c r="W189" s="48" t="s">
        <v>13</v>
      </c>
      <c r="X189" s="48" t="s">
        <v>13</v>
      </c>
      <c r="Y189" s="48" t="s">
        <v>13</v>
      </c>
    </row>
    <row r="190" spans="1:25" ht="13" x14ac:dyDescent="0.3">
      <c r="A190" s="54" t="str">
        <f t="shared" si="8"/>
        <v>А. Строго контролируемая(+)</v>
      </c>
      <c r="B190" s="46" t="s">
        <v>61</v>
      </c>
      <c r="C190" s="74" t="s">
        <v>36</v>
      </c>
      <c r="D190" s="48" t="s">
        <v>13</v>
      </c>
      <c r="E190" s="48" t="s">
        <v>13</v>
      </c>
      <c r="F190" s="48" t="s">
        <v>14</v>
      </c>
      <c r="G190" s="48" t="s">
        <v>15</v>
      </c>
      <c r="H190" s="48" t="s">
        <v>15</v>
      </c>
      <c r="I190" s="48" t="s">
        <v>15</v>
      </c>
      <c r="J190" s="48" t="s">
        <v>13</v>
      </c>
      <c r="K190" s="48" t="s">
        <v>13</v>
      </c>
      <c r="L190" s="48" t="s">
        <v>13</v>
      </c>
      <c r="M190" s="48" t="s">
        <v>13</v>
      </c>
      <c r="N190" s="48" t="s">
        <v>13</v>
      </c>
      <c r="O190" s="48" t="s">
        <v>13</v>
      </c>
      <c r="P190" s="48" t="s">
        <v>13</v>
      </c>
      <c r="Q190" s="48" t="s">
        <v>13</v>
      </c>
      <c r="R190" s="48" t="s">
        <v>13</v>
      </c>
      <c r="S190" s="48" t="s">
        <v>13</v>
      </c>
      <c r="T190" s="48" t="s">
        <v>13</v>
      </c>
      <c r="U190" s="48" t="s">
        <v>13</v>
      </c>
      <c r="V190" s="48" t="s">
        <v>13</v>
      </c>
      <c r="W190" s="48" t="s">
        <v>13</v>
      </c>
      <c r="X190" s="48" t="s">
        <v>13</v>
      </c>
      <c r="Y190" s="48" t="s">
        <v>13</v>
      </c>
    </row>
    <row r="191" spans="1:25" ht="13" x14ac:dyDescent="0.3">
      <c r="A191" s="54" t="str">
        <f t="shared" si="8"/>
        <v>В. Контролируемая(-)</v>
      </c>
      <c r="B191" s="46" t="s">
        <v>60</v>
      </c>
      <c r="C191" s="74" t="s">
        <v>37</v>
      </c>
      <c r="D191" s="48" t="s">
        <v>14</v>
      </c>
      <c r="E191" s="48" t="s">
        <v>13</v>
      </c>
      <c r="F191" s="48" t="s">
        <v>13</v>
      </c>
      <c r="G191" s="48" t="s">
        <v>14</v>
      </c>
      <c r="H191" s="48" t="s">
        <v>15</v>
      </c>
      <c r="I191" s="48" t="s">
        <v>15</v>
      </c>
      <c r="J191" s="48" t="s">
        <v>13</v>
      </c>
      <c r="K191" s="48" t="s">
        <v>13</v>
      </c>
      <c r="L191" s="48" t="s">
        <v>13</v>
      </c>
      <c r="M191" s="48" t="s">
        <v>13</v>
      </c>
      <c r="N191" s="48" t="s">
        <v>13</v>
      </c>
      <c r="O191" s="48" t="s">
        <v>13</v>
      </c>
      <c r="P191" s="48" t="s">
        <v>13</v>
      </c>
      <c r="Q191" s="48" t="s">
        <v>13</v>
      </c>
      <c r="R191" s="48" t="s">
        <v>13</v>
      </c>
      <c r="S191" s="48" t="s">
        <v>13</v>
      </c>
      <c r="T191" s="48" t="s">
        <v>13</v>
      </c>
      <c r="U191" s="48" t="s">
        <v>13</v>
      </c>
      <c r="V191" s="48" t="s">
        <v>13</v>
      </c>
      <c r="W191" s="48" t="s">
        <v>13</v>
      </c>
      <c r="X191" s="48" t="s">
        <v>13</v>
      </c>
      <c r="Y191" s="48" t="s">
        <v>13</v>
      </c>
    </row>
    <row r="192" spans="1:25" ht="13" x14ac:dyDescent="0.3">
      <c r="A192" s="54" t="str">
        <f t="shared" si="8"/>
        <v>В. Контролируемая</v>
      </c>
      <c r="C192" s="74" t="s">
        <v>37</v>
      </c>
      <c r="D192" s="48" t="s">
        <v>14</v>
      </c>
      <c r="E192" s="48" t="s">
        <v>13</v>
      </c>
      <c r="F192" s="48" t="s">
        <v>13</v>
      </c>
      <c r="G192" s="48" t="s">
        <v>14</v>
      </c>
      <c r="H192" s="48" t="s">
        <v>15</v>
      </c>
      <c r="I192" s="48" t="s">
        <v>15</v>
      </c>
      <c r="J192" s="48" t="s">
        <v>13</v>
      </c>
      <c r="K192" s="48" t="s">
        <v>13</v>
      </c>
      <c r="L192" s="48" t="s">
        <v>13</v>
      </c>
      <c r="M192" s="48" t="s">
        <v>13</v>
      </c>
      <c r="N192" s="48" t="s">
        <v>13</v>
      </c>
      <c r="O192" s="48" t="s">
        <v>13</v>
      </c>
      <c r="P192" s="48" t="s">
        <v>13</v>
      </c>
      <c r="Q192" s="48" t="s">
        <v>13</v>
      </c>
      <c r="R192" s="48" t="s">
        <v>13</v>
      </c>
      <c r="S192" s="48" t="s">
        <v>13</v>
      </c>
      <c r="T192" s="48" t="s">
        <v>13</v>
      </c>
      <c r="U192" s="48" t="s">
        <v>13</v>
      </c>
      <c r="V192" s="48" t="s">
        <v>13</v>
      </c>
      <c r="W192" s="48" t="s">
        <v>13</v>
      </c>
      <c r="X192" s="48" t="s">
        <v>13</v>
      </c>
      <c r="Y192" s="48" t="s">
        <v>13</v>
      </c>
    </row>
    <row r="193" spans="1:25" ht="13" x14ac:dyDescent="0.3">
      <c r="A193" s="54" t="str">
        <f t="shared" si="8"/>
        <v>В. Контролируемая(+)</v>
      </c>
      <c r="B193" s="46" t="s">
        <v>61</v>
      </c>
      <c r="C193" s="74" t="s">
        <v>37</v>
      </c>
      <c r="D193" s="48" t="s">
        <v>14</v>
      </c>
      <c r="E193" s="48" t="s">
        <v>13</v>
      </c>
      <c r="F193" s="48" t="s">
        <v>13</v>
      </c>
      <c r="G193" s="48" t="s">
        <v>14</v>
      </c>
      <c r="H193" s="48" t="s">
        <v>15</v>
      </c>
      <c r="I193" s="48" t="s">
        <v>15</v>
      </c>
      <c r="J193" s="48" t="s">
        <v>13</v>
      </c>
      <c r="K193" s="48" t="s">
        <v>13</v>
      </c>
      <c r="L193" s="48" t="s">
        <v>13</v>
      </c>
      <c r="M193" s="48" t="s">
        <v>13</v>
      </c>
      <c r="N193" s="48" t="s">
        <v>13</v>
      </c>
      <c r="O193" s="48" t="s">
        <v>13</v>
      </c>
      <c r="P193" s="48" t="s">
        <v>13</v>
      </c>
      <c r="Q193" s="48" t="s">
        <v>13</v>
      </c>
      <c r="R193" s="48" t="s">
        <v>13</v>
      </c>
      <c r="S193" s="48" t="s">
        <v>13</v>
      </c>
      <c r="T193" s="48" t="s">
        <v>13</v>
      </c>
      <c r="U193" s="48" t="s">
        <v>13</v>
      </c>
      <c r="V193" s="48" t="s">
        <v>13</v>
      </c>
      <c r="W193" s="48" t="s">
        <v>13</v>
      </c>
      <c r="X193" s="48" t="s">
        <v>13</v>
      </c>
      <c r="Y193" s="48" t="s">
        <v>13</v>
      </c>
    </row>
    <row r="194" spans="1:25" ht="13" x14ac:dyDescent="0.3">
      <c r="A194" s="54" t="str">
        <f t="shared" si="8"/>
        <v>С. Нормированная(-)</v>
      </c>
      <c r="B194" s="46" t="s">
        <v>60</v>
      </c>
      <c r="C194" s="74" t="s">
        <v>62</v>
      </c>
      <c r="D194" s="48" t="s">
        <v>15</v>
      </c>
      <c r="E194" s="48" t="s">
        <v>14</v>
      </c>
      <c r="F194" s="48" t="s">
        <v>13</v>
      </c>
      <c r="G194" s="48" t="s">
        <v>13</v>
      </c>
      <c r="H194" s="48" t="s">
        <v>14</v>
      </c>
      <c r="I194" s="48" t="s">
        <v>15</v>
      </c>
      <c r="J194" s="48" t="s">
        <v>13</v>
      </c>
      <c r="K194" s="48" t="s">
        <v>13</v>
      </c>
      <c r="L194" s="48" t="s">
        <v>13</v>
      </c>
      <c r="M194" s="48" t="s">
        <v>13</v>
      </c>
      <c r="N194" s="48" t="s">
        <v>13</v>
      </c>
      <c r="O194" s="48" t="s">
        <v>13</v>
      </c>
      <c r="P194" s="48" t="s">
        <v>13</v>
      </c>
      <c r="Q194" s="48" t="s">
        <v>13</v>
      </c>
      <c r="R194" s="48" t="s">
        <v>13</v>
      </c>
      <c r="S194" s="48" t="s">
        <v>13</v>
      </c>
      <c r="T194" s="48" t="s">
        <v>13</v>
      </c>
      <c r="U194" s="48" t="s">
        <v>13</v>
      </c>
      <c r="V194" s="48" t="s">
        <v>13</v>
      </c>
      <c r="W194" s="48" t="s">
        <v>13</v>
      </c>
      <c r="X194" s="48" t="s">
        <v>13</v>
      </c>
      <c r="Y194" s="48" t="s">
        <v>13</v>
      </c>
    </row>
    <row r="195" spans="1:25" ht="13" x14ac:dyDescent="0.3">
      <c r="A195" s="54" t="str">
        <f t="shared" si="8"/>
        <v>С. Нормированная</v>
      </c>
      <c r="C195" s="74" t="s">
        <v>62</v>
      </c>
      <c r="D195" s="48" t="s">
        <v>15</v>
      </c>
      <c r="E195" s="48" t="s">
        <v>14</v>
      </c>
      <c r="F195" s="48" t="s">
        <v>13</v>
      </c>
      <c r="G195" s="48" t="s">
        <v>13</v>
      </c>
      <c r="H195" s="48" t="s">
        <v>14</v>
      </c>
      <c r="I195" s="48" t="s">
        <v>15</v>
      </c>
      <c r="J195" s="48" t="s">
        <v>13</v>
      </c>
      <c r="K195" s="48" t="s">
        <v>13</v>
      </c>
      <c r="L195" s="48" t="s">
        <v>13</v>
      </c>
      <c r="M195" s="48" t="s">
        <v>13</v>
      </c>
      <c r="N195" s="48" t="s">
        <v>13</v>
      </c>
      <c r="O195" s="48" t="s">
        <v>13</v>
      </c>
      <c r="P195" s="48" t="s">
        <v>13</v>
      </c>
      <c r="Q195" s="48" t="s">
        <v>13</v>
      </c>
      <c r="R195" s="48" t="s">
        <v>13</v>
      </c>
      <c r="S195" s="48" t="s">
        <v>13</v>
      </c>
      <c r="T195" s="48" t="s">
        <v>13</v>
      </c>
      <c r="U195" s="48" t="s">
        <v>13</v>
      </c>
      <c r="V195" s="48" t="s">
        <v>13</v>
      </c>
      <c r="W195" s="48" t="s">
        <v>13</v>
      </c>
      <c r="X195" s="48" t="s">
        <v>13</v>
      </c>
      <c r="Y195" s="48" t="s">
        <v>13</v>
      </c>
    </row>
    <row r="196" spans="1:25" ht="13" x14ac:dyDescent="0.3">
      <c r="A196" s="54" t="str">
        <f t="shared" si="8"/>
        <v>С. Нормированная(+)</v>
      </c>
      <c r="B196" s="46" t="s">
        <v>61</v>
      </c>
      <c r="C196" s="74" t="s">
        <v>62</v>
      </c>
      <c r="D196" s="48" t="s">
        <v>15</v>
      </c>
      <c r="E196" s="48" t="s">
        <v>14</v>
      </c>
      <c r="F196" s="48" t="s">
        <v>13</v>
      </c>
      <c r="G196" s="48" t="s">
        <v>13</v>
      </c>
      <c r="H196" s="48" t="s">
        <v>14</v>
      </c>
      <c r="I196" s="48" t="s">
        <v>15</v>
      </c>
      <c r="J196" s="48" t="s">
        <v>13</v>
      </c>
      <c r="K196" s="48" t="s">
        <v>13</v>
      </c>
      <c r="L196" s="48" t="s">
        <v>13</v>
      </c>
      <c r="M196" s="48" t="s">
        <v>13</v>
      </c>
      <c r="N196" s="48" t="s">
        <v>13</v>
      </c>
      <c r="O196" s="48" t="s">
        <v>13</v>
      </c>
      <c r="P196" s="48" t="s">
        <v>13</v>
      </c>
      <c r="Q196" s="48" t="s">
        <v>13</v>
      </c>
      <c r="R196" s="48" t="s">
        <v>13</v>
      </c>
      <c r="S196" s="48" t="s">
        <v>13</v>
      </c>
      <c r="T196" s="48" t="s">
        <v>13</v>
      </c>
      <c r="U196" s="48" t="s">
        <v>13</v>
      </c>
      <c r="V196" s="48" t="s">
        <v>13</v>
      </c>
      <c r="W196" s="48" t="s">
        <v>13</v>
      </c>
      <c r="X196" s="48" t="s">
        <v>13</v>
      </c>
      <c r="Y196" s="48" t="s">
        <v>13</v>
      </c>
    </row>
    <row r="197" spans="1:25" ht="13" x14ac:dyDescent="0.3">
      <c r="A197" s="54" t="str">
        <f t="shared" si="8"/>
        <v>D. Регулируемая в целом(-)</v>
      </c>
      <c r="B197" s="46" t="s">
        <v>60</v>
      </c>
      <c r="C197" s="74" t="s">
        <v>38</v>
      </c>
      <c r="D197" s="48" t="s">
        <v>15</v>
      </c>
      <c r="E197" s="48" t="s">
        <v>15</v>
      </c>
      <c r="F197" s="48" t="s">
        <v>14</v>
      </c>
      <c r="G197" s="48" t="s">
        <v>13</v>
      </c>
      <c r="H197" s="48" t="s">
        <v>13</v>
      </c>
      <c r="I197" s="48" t="s">
        <v>14</v>
      </c>
      <c r="J197" s="48" t="s">
        <v>13</v>
      </c>
      <c r="K197" s="48" t="s">
        <v>13</v>
      </c>
      <c r="L197" s="48" t="s">
        <v>13</v>
      </c>
      <c r="M197" s="48" t="s">
        <v>13</v>
      </c>
      <c r="N197" s="48" t="s">
        <v>13</v>
      </c>
      <c r="O197" s="48" t="s">
        <v>13</v>
      </c>
      <c r="P197" s="48" t="s">
        <v>13</v>
      </c>
      <c r="Q197" s="48" t="s">
        <v>13</v>
      </c>
      <c r="R197" s="48" t="s">
        <v>13</v>
      </c>
      <c r="S197" s="48" t="s">
        <v>13</v>
      </c>
      <c r="T197" s="48" t="s">
        <v>13</v>
      </c>
      <c r="U197" s="48" t="s">
        <v>13</v>
      </c>
      <c r="V197" s="48" t="s">
        <v>13</v>
      </c>
      <c r="W197" s="48" t="s">
        <v>13</v>
      </c>
      <c r="X197" s="48" t="s">
        <v>13</v>
      </c>
      <c r="Y197" s="48" t="s">
        <v>13</v>
      </c>
    </row>
    <row r="198" spans="1:25" ht="13" x14ac:dyDescent="0.3">
      <c r="A198" s="54" t="str">
        <f t="shared" si="8"/>
        <v>D. Регулируемая в целом</v>
      </c>
      <c r="C198" s="74" t="s">
        <v>38</v>
      </c>
      <c r="D198" s="48" t="s">
        <v>15</v>
      </c>
      <c r="E198" s="48" t="s">
        <v>15</v>
      </c>
      <c r="F198" s="48" t="s">
        <v>14</v>
      </c>
      <c r="G198" s="48" t="s">
        <v>13</v>
      </c>
      <c r="H198" s="48" t="s">
        <v>13</v>
      </c>
      <c r="I198" s="48" t="s">
        <v>14</v>
      </c>
      <c r="J198" s="48" t="s">
        <v>13</v>
      </c>
      <c r="K198" s="48" t="s">
        <v>13</v>
      </c>
      <c r="L198" s="48" t="s">
        <v>13</v>
      </c>
      <c r="M198" s="48" t="s">
        <v>13</v>
      </c>
      <c r="N198" s="48" t="s">
        <v>13</v>
      </c>
      <c r="O198" s="48" t="s">
        <v>13</v>
      </c>
      <c r="P198" s="48" t="s">
        <v>13</v>
      </c>
      <c r="Q198" s="48" t="s">
        <v>13</v>
      </c>
      <c r="R198" s="48" t="s">
        <v>13</v>
      </c>
      <c r="S198" s="48" t="s">
        <v>13</v>
      </c>
      <c r="T198" s="48" t="s">
        <v>13</v>
      </c>
      <c r="U198" s="48" t="s">
        <v>13</v>
      </c>
      <c r="V198" s="48" t="s">
        <v>13</v>
      </c>
      <c r="W198" s="48" t="s">
        <v>13</v>
      </c>
      <c r="X198" s="48" t="s">
        <v>13</v>
      </c>
      <c r="Y198" s="48" t="s">
        <v>13</v>
      </c>
    </row>
    <row r="199" spans="1:25" ht="13" x14ac:dyDescent="0.3">
      <c r="A199" s="54" t="str">
        <f t="shared" si="8"/>
        <v>D. Регулируемая в целом(+)</v>
      </c>
      <c r="B199" s="46" t="s">
        <v>61</v>
      </c>
      <c r="C199" s="74" t="s">
        <v>38</v>
      </c>
      <c r="D199" s="48" t="s">
        <v>15</v>
      </c>
      <c r="E199" s="48" t="s">
        <v>15</v>
      </c>
      <c r="F199" s="48" t="s">
        <v>14</v>
      </c>
      <c r="G199" s="48" t="s">
        <v>13</v>
      </c>
      <c r="H199" s="48" t="s">
        <v>13</v>
      </c>
      <c r="I199" s="48" t="s">
        <v>14</v>
      </c>
      <c r="J199" s="48" t="s">
        <v>13</v>
      </c>
      <c r="K199" s="48" t="s">
        <v>13</v>
      </c>
      <c r="L199" s="48" t="s">
        <v>13</v>
      </c>
      <c r="M199" s="48" t="s">
        <v>13</v>
      </c>
      <c r="N199" s="48" t="s">
        <v>13</v>
      </c>
      <c r="O199" s="48" t="s">
        <v>13</v>
      </c>
      <c r="P199" s="48" t="s">
        <v>13</v>
      </c>
      <c r="Q199" s="48" t="s">
        <v>13</v>
      </c>
      <c r="R199" s="48" t="s">
        <v>13</v>
      </c>
      <c r="S199" s="48" t="s">
        <v>13</v>
      </c>
      <c r="T199" s="48" t="s">
        <v>13</v>
      </c>
      <c r="U199" s="48" t="s">
        <v>13</v>
      </c>
      <c r="V199" s="48" t="s">
        <v>13</v>
      </c>
      <c r="W199" s="48" t="s">
        <v>13</v>
      </c>
      <c r="X199" s="48" t="s">
        <v>13</v>
      </c>
      <c r="Y199" s="48" t="s">
        <v>13</v>
      </c>
    </row>
    <row r="200" spans="1:25" ht="13" x14ac:dyDescent="0.3">
      <c r="A200" s="54" t="str">
        <f t="shared" si="8"/>
        <v>E. Управляемая в целом(-)</v>
      </c>
      <c r="B200" s="46" t="s">
        <v>60</v>
      </c>
      <c r="C200" s="74" t="s">
        <v>39</v>
      </c>
      <c r="D200" s="48" t="s">
        <v>15</v>
      </c>
      <c r="E200" s="48" t="s">
        <v>15</v>
      </c>
      <c r="F200" s="48" t="s">
        <v>15</v>
      </c>
      <c r="G200" s="48" t="s">
        <v>14</v>
      </c>
      <c r="H200" s="48" t="s">
        <v>13</v>
      </c>
      <c r="I200" s="48" t="s">
        <v>13</v>
      </c>
      <c r="J200" s="48" t="s">
        <v>13</v>
      </c>
      <c r="K200" s="48" t="s">
        <v>13</v>
      </c>
      <c r="L200" s="48" t="s">
        <v>13</v>
      </c>
      <c r="M200" s="48" t="s">
        <v>13</v>
      </c>
      <c r="N200" s="48" t="s">
        <v>13</v>
      </c>
      <c r="O200" s="48" t="s">
        <v>13</v>
      </c>
      <c r="P200" s="48" t="s">
        <v>13</v>
      </c>
      <c r="Q200" s="48" t="s">
        <v>13</v>
      </c>
      <c r="R200" s="48" t="s">
        <v>13</v>
      </c>
      <c r="S200" s="48" t="s">
        <v>13</v>
      </c>
      <c r="T200" s="48" t="s">
        <v>13</v>
      </c>
      <c r="U200" s="48" t="s">
        <v>13</v>
      </c>
      <c r="V200" s="48" t="s">
        <v>13</v>
      </c>
      <c r="W200" s="48" t="s">
        <v>13</v>
      </c>
      <c r="X200" s="48" t="s">
        <v>13</v>
      </c>
      <c r="Y200" s="48" t="s">
        <v>13</v>
      </c>
    </row>
    <row r="201" spans="1:25" ht="13" x14ac:dyDescent="0.3">
      <c r="A201" s="54" t="str">
        <f t="shared" si="8"/>
        <v>E. Управляемая в целом</v>
      </c>
      <c r="C201" s="74" t="s">
        <v>39</v>
      </c>
      <c r="D201" s="48" t="s">
        <v>15</v>
      </c>
      <c r="E201" s="48" t="s">
        <v>15</v>
      </c>
      <c r="F201" s="48" t="s">
        <v>15</v>
      </c>
      <c r="G201" s="48" t="s">
        <v>14</v>
      </c>
      <c r="H201" s="48" t="s">
        <v>13</v>
      </c>
      <c r="I201" s="48" t="s">
        <v>13</v>
      </c>
      <c r="J201" s="48" t="s">
        <v>13</v>
      </c>
      <c r="K201" s="48" t="s">
        <v>13</v>
      </c>
      <c r="L201" s="48" t="s">
        <v>13</v>
      </c>
      <c r="M201" s="48" t="s">
        <v>13</v>
      </c>
      <c r="N201" s="48" t="s">
        <v>13</v>
      </c>
      <c r="O201" s="48" t="s">
        <v>13</v>
      </c>
      <c r="P201" s="48" t="s">
        <v>13</v>
      </c>
      <c r="Q201" s="48" t="s">
        <v>13</v>
      </c>
      <c r="R201" s="48" t="s">
        <v>13</v>
      </c>
      <c r="S201" s="48" t="s">
        <v>13</v>
      </c>
      <c r="T201" s="48" t="s">
        <v>13</v>
      </c>
      <c r="U201" s="48" t="s">
        <v>13</v>
      </c>
      <c r="V201" s="48" t="s">
        <v>13</v>
      </c>
      <c r="W201" s="48" t="s">
        <v>13</v>
      </c>
      <c r="X201" s="48" t="s">
        <v>13</v>
      </c>
      <c r="Y201" s="48" t="s">
        <v>13</v>
      </c>
    </row>
    <row r="202" spans="1:25" ht="13" x14ac:dyDescent="0.3">
      <c r="A202" s="54" t="str">
        <f t="shared" si="8"/>
        <v>E. Управляемая в целом(+)</v>
      </c>
      <c r="B202" s="46" t="s">
        <v>61</v>
      </c>
      <c r="C202" s="74" t="s">
        <v>39</v>
      </c>
      <c r="D202" s="48" t="s">
        <v>15</v>
      </c>
      <c r="E202" s="48" t="s">
        <v>15</v>
      </c>
      <c r="F202" s="48" t="s">
        <v>15</v>
      </c>
      <c r="G202" s="48" t="s">
        <v>14</v>
      </c>
      <c r="H202" s="48" t="s">
        <v>13</v>
      </c>
      <c r="I202" s="48" t="s">
        <v>13</v>
      </c>
      <c r="J202" s="48" t="s">
        <v>13</v>
      </c>
      <c r="K202" s="48" t="s">
        <v>13</v>
      </c>
      <c r="L202" s="48" t="s">
        <v>13</v>
      </c>
      <c r="M202" s="48" t="s">
        <v>13</v>
      </c>
      <c r="N202" s="48" t="s">
        <v>13</v>
      </c>
      <c r="O202" s="48" t="s">
        <v>13</v>
      </c>
      <c r="P202" s="48" t="s">
        <v>13</v>
      </c>
      <c r="Q202" s="48" t="s">
        <v>13</v>
      </c>
      <c r="R202" s="48" t="s">
        <v>13</v>
      </c>
      <c r="S202" s="48" t="s">
        <v>13</v>
      </c>
      <c r="T202" s="48" t="s">
        <v>13</v>
      </c>
      <c r="U202" s="48" t="s">
        <v>13</v>
      </c>
      <c r="V202" s="48" t="s">
        <v>13</v>
      </c>
      <c r="W202" s="48" t="s">
        <v>13</v>
      </c>
      <c r="X202" s="48" t="s">
        <v>13</v>
      </c>
      <c r="Y202" s="48" t="s">
        <v>13</v>
      </c>
    </row>
    <row r="203" spans="1:25" ht="13" x14ac:dyDescent="0.3">
      <c r="A203" s="54" t="str">
        <f t="shared" si="8"/>
        <v>F. Управляемая в общих чертах(-)</v>
      </c>
      <c r="B203" s="46" t="s">
        <v>60</v>
      </c>
      <c r="C203" s="74" t="s">
        <v>63</v>
      </c>
      <c r="D203" s="48" t="s">
        <v>15</v>
      </c>
      <c r="E203" s="48" t="s">
        <v>15</v>
      </c>
      <c r="F203" s="48" t="s">
        <v>15</v>
      </c>
      <c r="G203" s="48" t="s">
        <v>15</v>
      </c>
      <c r="H203" s="48" t="s">
        <v>15</v>
      </c>
      <c r="I203" s="48" t="s">
        <v>15</v>
      </c>
      <c r="J203" s="48" t="s">
        <v>13</v>
      </c>
      <c r="K203" s="48" t="s">
        <v>13</v>
      </c>
      <c r="L203" s="48" t="s">
        <v>13</v>
      </c>
      <c r="M203" s="48" t="s">
        <v>13</v>
      </c>
      <c r="N203" s="48" t="s">
        <v>13</v>
      </c>
      <c r="O203" s="48" t="s">
        <v>13</v>
      </c>
      <c r="P203" s="48" t="s">
        <v>13</v>
      </c>
      <c r="Q203" s="48" t="s">
        <v>13</v>
      </c>
      <c r="R203" s="48" t="s">
        <v>13</v>
      </c>
      <c r="S203" s="48" t="s">
        <v>13</v>
      </c>
      <c r="T203" s="48" t="s">
        <v>13</v>
      </c>
      <c r="U203" s="48" t="s">
        <v>13</v>
      </c>
      <c r="V203" s="48" t="s">
        <v>13</v>
      </c>
      <c r="W203" s="48" t="s">
        <v>13</v>
      </c>
      <c r="X203" s="48" t="s">
        <v>13</v>
      </c>
      <c r="Y203" s="48" t="s">
        <v>13</v>
      </c>
    </row>
    <row r="204" spans="1:25" ht="13" x14ac:dyDescent="0.3">
      <c r="A204" s="54" t="str">
        <f t="shared" si="8"/>
        <v>F. Управляемая в общих чертах</v>
      </c>
      <c r="C204" s="74" t="s">
        <v>63</v>
      </c>
      <c r="D204" s="48" t="s">
        <v>15</v>
      </c>
      <c r="E204" s="48" t="s">
        <v>15</v>
      </c>
      <c r="F204" s="48" t="s">
        <v>15</v>
      </c>
      <c r="G204" s="48" t="s">
        <v>15</v>
      </c>
      <c r="H204" s="48" t="s">
        <v>15</v>
      </c>
      <c r="I204" s="48" t="s">
        <v>15</v>
      </c>
      <c r="J204" s="48" t="s">
        <v>13</v>
      </c>
      <c r="K204" s="48" t="s">
        <v>13</v>
      </c>
      <c r="L204" s="48" t="s">
        <v>13</v>
      </c>
      <c r="M204" s="48" t="s">
        <v>13</v>
      </c>
      <c r="N204" s="48" t="s">
        <v>13</v>
      </c>
      <c r="O204" s="48" t="s">
        <v>13</v>
      </c>
      <c r="P204" s="48" t="s">
        <v>13</v>
      </c>
      <c r="Q204" s="48" t="s">
        <v>13</v>
      </c>
      <c r="R204" s="48" t="s">
        <v>13</v>
      </c>
      <c r="S204" s="48" t="s">
        <v>13</v>
      </c>
      <c r="T204" s="48" t="s">
        <v>13</v>
      </c>
      <c r="U204" s="48" t="s">
        <v>13</v>
      </c>
      <c r="V204" s="48" t="s">
        <v>13</v>
      </c>
      <c r="W204" s="48" t="s">
        <v>13</v>
      </c>
      <c r="X204" s="48" t="s">
        <v>13</v>
      </c>
      <c r="Y204" s="48" t="s">
        <v>13</v>
      </c>
    </row>
    <row r="205" spans="1:25" ht="13" x14ac:dyDescent="0.3">
      <c r="A205" s="54" t="str">
        <f t="shared" si="8"/>
        <v>F. Управляемая в общих чертах(+)</v>
      </c>
      <c r="B205" s="46" t="s">
        <v>61</v>
      </c>
      <c r="C205" s="74" t="s">
        <v>63</v>
      </c>
      <c r="D205" s="48" t="s">
        <v>15</v>
      </c>
      <c r="E205" s="48" t="s">
        <v>15</v>
      </c>
      <c r="F205" s="48" t="s">
        <v>15</v>
      </c>
      <c r="G205" s="48" t="s">
        <v>15</v>
      </c>
      <c r="H205" s="48" t="s">
        <v>15</v>
      </c>
      <c r="I205" s="48" t="s">
        <v>15</v>
      </c>
      <c r="J205" s="48" t="s">
        <v>13</v>
      </c>
      <c r="K205" s="48" t="s">
        <v>13</v>
      </c>
      <c r="L205" s="48" t="s">
        <v>13</v>
      </c>
      <c r="M205" s="48" t="s">
        <v>13</v>
      </c>
      <c r="N205" s="48" t="s">
        <v>13</v>
      </c>
      <c r="O205" s="48" t="s">
        <v>13</v>
      </c>
      <c r="P205" s="48" t="s">
        <v>13</v>
      </c>
      <c r="Q205" s="48" t="s">
        <v>13</v>
      </c>
      <c r="R205" s="48" t="s">
        <v>13</v>
      </c>
      <c r="S205" s="48" t="s">
        <v>13</v>
      </c>
      <c r="T205" s="48" t="s">
        <v>13</v>
      </c>
      <c r="U205" s="48" t="s">
        <v>13</v>
      </c>
      <c r="V205" s="48" t="s">
        <v>13</v>
      </c>
      <c r="W205" s="48" t="s">
        <v>13</v>
      </c>
      <c r="X205" s="48" t="s">
        <v>13</v>
      </c>
      <c r="Y205" s="48" t="s">
        <v>13</v>
      </c>
    </row>
    <row r="206" spans="1:25" ht="13" x14ac:dyDescent="0.3">
      <c r="A206" s="54" t="str">
        <f t="shared" si="8"/>
        <v>G. Направляемая(-)</v>
      </c>
      <c r="B206" s="46" t="s">
        <v>60</v>
      </c>
      <c r="C206" s="74" t="s">
        <v>64</v>
      </c>
      <c r="D206" s="48" t="s">
        <v>15</v>
      </c>
      <c r="E206" s="48" t="s">
        <v>15</v>
      </c>
      <c r="F206" s="48" t="s">
        <v>15</v>
      </c>
      <c r="G206" s="48" t="s">
        <v>15</v>
      </c>
      <c r="H206" s="48" t="s">
        <v>15</v>
      </c>
      <c r="I206" s="48" t="s">
        <v>15</v>
      </c>
      <c r="J206" s="48" t="s">
        <v>13</v>
      </c>
      <c r="K206" s="48" t="s">
        <v>13</v>
      </c>
      <c r="L206" s="48" t="s">
        <v>13</v>
      </c>
      <c r="M206" s="48" t="s">
        <v>13</v>
      </c>
      <c r="N206" s="48" t="s">
        <v>13</v>
      </c>
      <c r="O206" s="48" t="s">
        <v>13</v>
      </c>
      <c r="P206" s="48" t="s">
        <v>13</v>
      </c>
      <c r="Q206" s="48" t="s">
        <v>13</v>
      </c>
      <c r="R206" s="48" t="s">
        <v>13</v>
      </c>
      <c r="S206" s="48" t="s">
        <v>13</v>
      </c>
      <c r="T206" s="48" t="s">
        <v>13</v>
      </c>
      <c r="U206" s="48" t="s">
        <v>13</v>
      </c>
      <c r="V206" s="48" t="s">
        <v>13</v>
      </c>
      <c r="W206" s="48" t="s">
        <v>13</v>
      </c>
      <c r="X206" s="48" t="s">
        <v>13</v>
      </c>
      <c r="Y206" s="48" t="s">
        <v>13</v>
      </c>
    </row>
    <row r="207" spans="1:25" ht="13" x14ac:dyDescent="0.3">
      <c r="A207" s="54" t="str">
        <f t="shared" si="8"/>
        <v>G. Направляемая</v>
      </c>
      <c r="C207" s="74" t="s">
        <v>64</v>
      </c>
      <c r="D207" s="48" t="s">
        <v>15</v>
      </c>
      <c r="E207" s="48" t="s">
        <v>15</v>
      </c>
      <c r="F207" s="48" t="s">
        <v>15</v>
      </c>
      <c r="G207" s="48" t="s">
        <v>15</v>
      </c>
      <c r="H207" s="48" t="s">
        <v>15</v>
      </c>
      <c r="I207" s="48" t="s">
        <v>15</v>
      </c>
      <c r="J207" s="48" t="s">
        <v>13</v>
      </c>
      <c r="K207" s="48" t="s">
        <v>13</v>
      </c>
      <c r="L207" s="48" t="s">
        <v>13</v>
      </c>
      <c r="M207" s="48" t="s">
        <v>13</v>
      </c>
      <c r="N207" s="48" t="s">
        <v>13</v>
      </c>
      <c r="O207" s="48" t="s">
        <v>13</v>
      </c>
      <c r="P207" s="48" t="s">
        <v>13</v>
      </c>
      <c r="Q207" s="48" t="s">
        <v>13</v>
      </c>
      <c r="R207" s="48" t="s">
        <v>13</v>
      </c>
      <c r="S207" s="48" t="s">
        <v>13</v>
      </c>
      <c r="T207" s="48" t="s">
        <v>13</v>
      </c>
      <c r="U207" s="48" t="s">
        <v>13</v>
      </c>
      <c r="V207" s="48" t="s">
        <v>13</v>
      </c>
      <c r="W207" s="48" t="s">
        <v>13</v>
      </c>
      <c r="X207" s="48" t="s">
        <v>13</v>
      </c>
      <c r="Y207" s="48" t="s">
        <v>13</v>
      </c>
    </row>
    <row r="208" spans="1:25" ht="13" x14ac:dyDescent="0.3">
      <c r="A208" s="54" t="str">
        <f t="shared" si="8"/>
        <v>G. Направляемая(+)</v>
      </c>
      <c r="B208" s="46" t="s">
        <v>61</v>
      </c>
      <c r="C208" s="74" t="s">
        <v>64</v>
      </c>
      <c r="D208" s="48" t="s">
        <v>15</v>
      </c>
      <c r="E208" s="48" t="s">
        <v>15</v>
      </c>
      <c r="F208" s="48" t="s">
        <v>15</v>
      </c>
      <c r="G208" s="48" t="s">
        <v>15</v>
      </c>
      <c r="H208" s="48" t="s">
        <v>15</v>
      </c>
      <c r="I208" s="48" t="s">
        <v>15</v>
      </c>
      <c r="J208" s="48" t="s">
        <v>13</v>
      </c>
      <c r="K208" s="48" t="s">
        <v>13</v>
      </c>
      <c r="L208" s="48" t="s">
        <v>13</v>
      </c>
      <c r="M208" s="48" t="s">
        <v>13</v>
      </c>
      <c r="N208" s="48" t="s">
        <v>13</v>
      </c>
      <c r="O208" s="48" t="s">
        <v>13</v>
      </c>
      <c r="P208" s="48" t="s">
        <v>13</v>
      </c>
      <c r="Q208" s="48" t="s">
        <v>13</v>
      </c>
      <c r="R208" s="48" t="s">
        <v>13</v>
      </c>
      <c r="S208" s="48" t="s">
        <v>13</v>
      </c>
      <c r="T208" s="48" t="s">
        <v>13</v>
      </c>
      <c r="U208" s="48" t="s">
        <v>13</v>
      </c>
      <c r="V208" s="48" t="s">
        <v>13</v>
      </c>
      <c r="W208" s="48" t="s">
        <v>13</v>
      </c>
      <c r="X208" s="48" t="s">
        <v>13</v>
      </c>
      <c r="Y208" s="48" t="s">
        <v>13</v>
      </c>
    </row>
    <row r="209" spans="1:25" ht="13" x14ac:dyDescent="0.3">
      <c r="A209" s="54" t="str">
        <f t="shared" si="8"/>
        <v>H. Стратегически ориентируемая(-)</v>
      </c>
      <c r="B209" s="46" t="s">
        <v>60</v>
      </c>
      <c r="C209" s="74" t="s">
        <v>65</v>
      </c>
      <c r="D209" s="48" t="s">
        <v>15</v>
      </c>
      <c r="E209" s="48" t="s">
        <v>15</v>
      </c>
      <c r="F209" s="48" t="s">
        <v>15</v>
      </c>
      <c r="G209" s="48" t="s">
        <v>15</v>
      </c>
      <c r="H209" s="48" t="s">
        <v>15</v>
      </c>
      <c r="I209" s="48" t="s">
        <v>15</v>
      </c>
      <c r="J209" s="48" t="s">
        <v>13</v>
      </c>
      <c r="K209" s="48" t="s">
        <v>13</v>
      </c>
      <c r="L209" s="48" t="s">
        <v>13</v>
      </c>
      <c r="M209" s="48" t="s">
        <v>13</v>
      </c>
      <c r="N209" s="48" t="s">
        <v>13</v>
      </c>
      <c r="O209" s="48" t="s">
        <v>13</v>
      </c>
      <c r="P209" s="48" t="s">
        <v>13</v>
      </c>
      <c r="Q209" s="48" t="s">
        <v>13</v>
      </c>
      <c r="R209" s="48" t="s">
        <v>13</v>
      </c>
      <c r="S209" s="48" t="s">
        <v>13</v>
      </c>
      <c r="T209" s="48" t="s">
        <v>13</v>
      </c>
      <c r="U209" s="48" t="s">
        <v>13</v>
      </c>
      <c r="V209" s="48" t="s">
        <v>13</v>
      </c>
      <c r="W209" s="48" t="s">
        <v>13</v>
      </c>
      <c r="X209" s="48" t="s">
        <v>13</v>
      </c>
      <c r="Y209" s="48" t="s">
        <v>13</v>
      </c>
    </row>
    <row r="210" spans="1:25" ht="13" x14ac:dyDescent="0.3">
      <c r="A210" s="54" t="str">
        <f t="shared" si="8"/>
        <v>H. Стратегически ориентируемая</v>
      </c>
      <c r="C210" s="74" t="s">
        <v>65</v>
      </c>
      <c r="D210" s="48" t="s">
        <v>15</v>
      </c>
      <c r="E210" s="48" t="s">
        <v>15</v>
      </c>
      <c r="F210" s="48" t="s">
        <v>15</v>
      </c>
      <c r="G210" s="48" t="s">
        <v>15</v>
      </c>
      <c r="H210" s="48" t="s">
        <v>15</v>
      </c>
      <c r="I210" s="48" t="s">
        <v>15</v>
      </c>
      <c r="J210" s="48" t="s">
        <v>13</v>
      </c>
      <c r="K210" s="48" t="s">
        <v>13</v>
      </c>
      <c r="L210" s="48" t="s">
        <v>13</v>
      </c>
      <c r="M210" s="48" t="s">
        <v>13</v>
      </c>
      <c r="N210" s="48" t="s">
        <v>13</v>
      </c>
      <c r="O210" s="48" t="s">
        <v>13</v>
      </c>
      <c r="P210" s="48" t="s">
        <v>13</v>
      </c>
      <c r="Q210" s="48" t="s">
        <v>13</v>
      </c>
      <c r="R210" s="48" t="s">
        <v>13</v>
      </c>
      <c r="S210" s="48" t="s">
        <v>13</v>
      </c>
      <c r="T210" s="48" t="s">
        <v>13</v>
      </c>
      <c r="U210" s="48" t="s">
        <v>13</v>
      </c>
      <c r="V210" s="48" t="s">
        <v>13</v>
      </c>
      <c r="W210" s="48" t="s">
        <v>13</v>
      </c>
      <c r="X210" s="48" t="s">
        <v>13</v>
      </c>
      <c r="Y210" s="48" t="s">
        <v>13</v>
      </c>
    </row>
    <row r="211" spans="1:25" ht="13" x14ac:dyDescent="0.3">
      <c r="A211" s="54" t="str">
        <f t="shared" si="8"/>
        <v>H. Стратегически ориентируемая(+)</v>
      </c>
      <c r="B211" s="46" t="s">
        <v>61</v>
      </c>
      <c r="C211" s="74" t="s">
        <v>65</v>
      </c>
      <c r="D211" s="48" t="s">
        <v>15</v>
      </c>
      <c r="E211" s="48" t="s">
        <v>15</v>
      </c>
      <c r="F211" s="48" t="s">
        <v>15</v>
      </c>
      <c r="G211" s="48" t="s">
        <v>15</v>
      </c>
      <c r="H211" s="48" t="s">
        <v>15</v>
      </c>
      <c r="I211" s="48" t="s">
        <v>15</v>
      </c>
      <c r="J211" s="48" t="s">
        <v>13</v>
      </c>
      <c r="K211" s="48" t="s">
        <v>13</v>
      </c>
      <c r="L211" s="48" t="s">
        <v>13</v>
      </c>
      <c r="M211" s="48" t="s">
        <v>13</v>
      </c>
      <c r="N211" s="48" t="s">
        <v>13</v>
      </c>
      <c r="O211" s="48" t="s">
        <v>13</v>
      </c>
      <c r="P211" s="48" t="s">
        <v>13</v>
      </c>
      <c r="Q211" s="48" t="s">
        <v>13</v>
      </c>
      <c r="R211" s="48" t="s">
        <v>13</v>
      </c>
      <c r="S211" s="48" t="s">
        <v>13</v>
      </c>
      <c r="T211" s="48" t="s">
        <v>13</v>
      </c>
      <c r="U211" s="48" t="s">
        <v>13</v>
      </c>
      <c r="V211" s="48" t="s">
        <v>13</v>
      </c>
      <c r="W211" s="48" t="s">
        <v>13</v>
      </c>
      <c r="X211" s="48" t="s">
        <v>13</v>
      </c>
      <c r="Y211" s="48" t="s">
        <v>13</v>
      </c>
    </row>
    <row r="214" spans="1:25" ht="15.5" x14ac:dyDescent="0.35">
      <c r="C214" s="1" t="s">
        <v>61</v>
      </c>
    </row>
    <row r="215" spans="1:25" ht="15.5" x14ac:dyDescent="0.35">
      <c r="C215" s="1" t="s">
        <v>60</v>
      </c>
    </row>
    <row r="221" spans="1:25" ht="11" thickBot="1" x14ac:dyDescent="0.3"/>
    <row r="222" spans="1:25" ht="15.5" x14ac:dyDescent="0.25">
      <c r="C222" s="91" t="s">
        <v>109</v>
      </c>
      <c r="D222" s="92" t="s">
        <v>110</v>
      </c>
      <c r="E222" s="92" t="s">
        <v>111</v>
      </c>
      <c r="F222" s="92" t="s">
        <v>112</v>
      </c>
      <c r="G222" s="93" t="s">
        <v>113</v>
      </c>
    </row>
    <row r="223" spans="1:25" ht="11.5" x14ac:dyDescent="0.25">
      <c r="C223" s="94">
        <v>0</v>
      </c>
      <c r="D223" s="89">
        <v>14</v>
      </c>
      <c r="E223" s="89">
        <v>29</v>
      </c>
      <c r="F223" s="90">
        <v>0</v>
      </c>
      <c r="G223" s="95"/>
      <c r="I223" s="79">
        <f>C223/D223</f>
        <v>0</v>
      </c>
      <c r="J223" s="80">
        <f>E223/D223</f>
        <v>2.0714285714285716</v>
      </c>
    </row>
    <row r="224" spans="1:25" ht="11.5" x14ac:dyDescent="0.25">
      <c r="C224" s="96">
        <v>30</v>
      </c>
      <c r="D224" s="89">
        <v>34</v>
      </c>
      <c r="E224" s="89">
        <v>39</v>
      </c>
      <c r="F224" s="90">
        <v>1</v>
      </c>
      <c r="G224" s="95"/>
      <c r="I224" s="79">
        <f t="shared" ref="I224:I261" si="9">C224/D224</f>
        <v>0.88235294117647056</v>
      </c>
      <c r="J224" s="80">
        <f t="shared" ref="J224:J261" si="10">E224/D224</f>
        <v>1.1470588235294117</v>
      </c>
    </row>
    <row r="225" spans="3:10" ht="11.5" x14ac:dyDescent="0.25">
      <c r="C225" s="96">
        <v>40</v>
      </c>
      <c r="D225" s="89">
        <v>43</v>
      </c>
      <c r="E225" s="89">
        <v>46</v>
      </c>
      <c r="F225" s="90">
        <v>2</v>
      </c>
      <c r="G225" s="95"/>
      <c r="I225" s="79">
        <f t="shared" si="9"/>
        <v>0.93023255813953487</v>
      </c>
      <c r="J225" s="80">
        <f t="shared" si="10"/>
        <v>1.069767441860465</v>
      </c>
    </row>
    <row r="226" spans="3:10" ht="11.5" x14ac:dyDescent="0.25">
      <c r="C226" s="96">
        <v>47</v>
      </c>
      <c r="D226" s="89">
        <v>50</v>
      </c>
      <c r="E226" s="89">
        <v>53</v>
      </c>
      <c r="F226" s="90">
        <v>3</v>
      </c>
      <c r="G226" s="95"/>
      <c r="I226" s="79">
        <f t="shared" si="9"/>
        <v>0.94</v>
      </c>
      <c r="J226" s="80">
        <f t="shared" si="10"/>
        <v>1.06</v>
      </c>
    </row>
    <row r="227" spans="3:10" ht="11.5" x14ac:dyDescent="0.25">
      <c r="C227" s="96">
        <v>54</v>
      </c>
      <c r="D227" s="89">
        <v>58</v>
      </c>
      <c r="E227" s="89">
        <v>62</v>
      </c>
      <c r="F227" s="90">
        <v>4</v>
      </c>
      <c r="G227" s="95"/>
      <c r="I227" s="79">
        <f t="shared" si="9"/>
        <v>0.93103448275862066</v>
      </c>
      <c r="J227" s="80">
        <f t="shared" si="10"/>
        <v>1.0689655172413792</v>
      </c>
    </row>
    <row r="228" spans="3:10" ht="11.5" x14ac:dyDescent="0.25">
      <c r="C228" s="96">
        <v>63</v>
      </c>
      <c r="D228" s="89">
        <v>67</v>
      </c>
      <c r="E228" s="89">
        <v>72</v>
      </c>
      <c r="F228" s="90">
        <v>5</v>
      </c>
      <c r="G228" s="95"/>
      <c r="I228" s="79">
        <f t="shared" si="9"/>
        <v>0.94029850746268662</v>
      </c>
      <c r="J228" s="80">
        <f t="shared" si="10"/>
        <v>1.0746268656716418</v>
      </c>
    </row>
    <row r="229" spans="3:10" ht="11.5" x14ac:dyDescent="0.25">
      <c r="C229" s="96">
        <v>73</v>
      </c>
      <c r="D229" s="89">
        <v>78</v>
      </c>
      <c r="E229" s="89">
        <v>84</v>
      </c>
      <c r="F229" s="90">
        <v>6</v>
      </c>
      <c r="G229" s="95"/>
      <c r="I229" s="79">
        <f t="shared" si="9"/>
        <v>0.9358974358974359</v>
      </c>
      <c r="J229" s="80">
        <f t="shared" si="10"/>
        <v>1.0769230769230769</v>
      </c>
    </row>
    <row r="230" spans="3:10" ht="11.5" x14ac:dyDescent="0.25">
      <c r="C230" s="96">
        <v>85</v>
      </c>
      <c r="D230" s="89">
        <v>91</v>
      </c>
      <c r="E230" s="89">
        <v>97</v>
      </c>
      <c r="F230" s="90">
        <v>7</v>
      </c>
      <c r="G230" s="95">
        <f>F230-6</f>
        <v>1</v>
      </c>
      <c r="I230" s="79">
        <f t="shared" si="9"/>
        <v>0.93406593406593408</v>
      </c>
      <c r="J230" s="80">
        <f t="shared" si="10"/>
        <v>1.0659340659340659</v>
      </c>
    </row>
    <row r="231" spans="3:10" ht="11.5" x14ac:dyDescent="0.25">
      <c r="C231" s="96">
        <v>98</v>
      </c>
      <c r="D231" s="89">
        <v>105</v>
      </c>
      <c r="E231" s="89">
        <v>113</v>
      </c>
      <c r="F231" s="90">
        <v>8</v>
      </c>
      <c r="G231" s="95">
        <f t="shared" ref="G231:G261" si="11">F231-6</f>
        <v>2</v>
      </c>
      <c r="I231" s="79">
        <f t="shared" si="9"/>
        <v>0.93333333333333335</v>
      </c>
      <c r="J231" s="80">
        <f t="shared" si="10"/>
        <v>1.0761904761904761</v>
      </c>
    </row>
    <row r="232" spans="3:10" ht="11.5" x14ac:dyDescent="0.25">
      <c r="C232" s="96">
        <v>114</v>
      </c>
      <c r="D232" s="89">
        <v>124</v>
      </c>
      <c r="E232" s="89">
        <v>134</v>
      </c>
      <c r="F232" s="90">
        <v>9</v>
      </c>
      <c r="G232" s="95">
        <f>F232-6</f>
        <v>3</v>
      </c>
      <c r="I232" s="79">
        <f>C232/D232</f>
        <v>0.91935483870967738</v>
      </c>
      <c r="J232" s="80">
        <f t="shared" si="10"/>
        <v>1.0806451612903225</v>
      </c>
    </row>
    <row r="233" spans="3:10" ht="11.5" x14ac:dyDescent="0.25">
      <c r="C233" s="96">
        <v>135</v>
      </c>
      <c r="D233" s="89">
        <v>147</v>
      </c>
      <c r="E233" s="89">
        <v>160</v>
      </c>
      <c r="F233" s="90">
        <v>10</v>
      </c>
      <c r="G233" s="95">
        <f t="shared" si="11"/>
        <v>4</v>
      </c>
      <c r="I233" s="79">
        <f t="shared" si="9"/>
        <v>0.91836734693877553</v>
      </c>
      <c r="J233" s="80">
        <f t="shared" si="10"/>
        <v>1.08843537414966</v>
      </c>
    </row>
    <row r="234" spans="3:10" ht="11.5" x14ac:dyDescent="0.25">
      <c r="C234" s="96">
        <v>161</v>
      </c>
      <c r="D234" s="89">
        <v>176</v>
      </c>
      <c r="E234" s="89">
        <v>191</v>
      </c>
      <c r="F234" s="90">
        <v>11</v>
      </c>
      <c r="G234" s="95">
        <f t="shared" si="11"/>
        <v>5</v>
      </c>
      <c r="I234" s="79">
        <f t="shared" si="9"/>
        <v>0.91477272727272729</v>
      </c>
      <c r="J234" s="80">
        <f t="shared" si="10"/>
        <v>1.0852272727272727</v>
      </c>
    </row>
    <row r="235" spans="3:10" ht="11.5" x14ac:dyDescent="0.25">
      <c r="C235" s="96">
        <v>192</v>
      </c>
      <c r="D235" s="89">
        <v>209</v>
      </c>
      <c r="E235" s="89">
        <v>227</v>
      </c>
      <c r="F235" s="90">
        <v>12</v>
      </c>
      <c r="G235" s="95">
        <f t="shared" si="11"/>
        <v>6</v>
      </c>
      <c r="I235" s="79">
        <f t="shared" si="9"/>
        <v>0.91866028708133973</v>
      </c>
      <c r="J235" s="80">
        <f t="shared" si="10"/>
        <v>1.0861244019138756</v>
      </c>
    </row>
    <row r="236" spans="3:10" ht="11.5" x14ac:dyDescent="0.25">
      <c r="C236" s="96">
        <v>228</v>
      </c>
      <c r="D236" s="89">
        <v>248</v>
      </c>
      <c r="E236" s="89">
        <v>268</v>
      </c>
      <c r="F236" s="90">
        <v>13</v>
      </c>
      <c r="G236" s="95">
        <f t="shared" si="11"/>
        <v>7</v>
      </c>
      <c r="I236" s="79">
        <f t="shared" si="9"/>
        <v>0.91935483870967738</v>
      </c>
      <c r="J236" s="80">
        <f t="shared" si="10"/>
        <v>1.0806451612903225</v>
      </c>
    </row>
    <row r="237" spans="3:10" ht="11.5" x14ac:dyDescent="0.25">
      <c r="C237" s="96">
        <v>269</v>
      </c>
      <c r="D237" s="89">
        <v>291</v>
      </c>
      <c r="E237" s="89">
        <v>313</v>
      </c>
      <c r="F237" s="90">
        <v>14</v>
      </c>
      <c r="G237" s="95">
        <f t="shared" si="11"/>
        <v>8</v>
      </c>
      <c r="I237" s="79">
        <f t="shared" si="9"/>
        <v>0.92439862542955331</v>
      </c>
      <c r="J237" s="80">
        <f t="shared" si="10"/>
        <v>1.0756013745704467</v>
      </c>
    </row>
    <row r="238" spans="3:10" ht="11.5" x14ac:dyDescent="0.25">
      <c r="C238" s="96">
        <v>314</v>
      </c>
      <c r="D238" s="89">
        <v>342</v>
      </c>
      <c r="E238" s="89">
        <v>370</v>
      </c>
      <c r="F238" s="90">
        <v>15</v>
      </c>
      <c r="G238" s="95">
        <f t="shared" si="11"/>
        <v>9</v>
      </c>
      <c r="I238" s="79">
        <f t="shared" si="9"/>
        <v>0.91812865497076024</v>
      </c>
      <c r="J238" s="80">
        <f t="shared" si="10"/>
        <v>1.0818713450292399</v>
      </c>
    </row>
    <row r="239" spans="3:10" ht="11.5" x14ac:dyDescent="0.25">
      <c r="C239" s="96">
        <v>371</v>
      </c>
      <c r="D239" s="89">
        <v>404</v>
      </c>
      <c r="E239" s="89">
        <v>438</v>
      </c>
      <c r="F239" s="90">
        <v>16</v>
      </c>
      <c r="G239" s="95">
        <f t="shared" si="11"/>
        <v>10</v>
      </c>
      <c r="I239" s="79">
        <f t="shared" si="9"/>
        <v>0.91831683168316836</v>
      </c>
      <c r="J239" s="80">
        <f t="shared" si="10"/>
        <v>1.0841584158415842</v>
      </c>
    </row>
    <row r="240" spans="3:10" ht="11.5" x14ac:dyDescent="0.25">
      <c r="C240" s="96">
        <v>439</v>
      </c>
      <c r="D240" s="89">
        <v>478</v>
      </c>
      <c r="E240" s="89">
        <v>518</v>
      </c>
      <c r="F240" s="90">
        <v>17</v>
      </c>
      <c r="G240" s="95">
        <f t="shared" si="11"/>
        <v>11</v>
      </c>
      <c r="I240" s="79">
        <f t="shared" si="9"/>
        <v>0.91841004184100417</v>
      </c>
      <c r="J240" s="80">
        <f t="shared" si="10"/>
        <v>1.0836820083682008</v>
      </c>
    </row>
    <row r="241" spans="3:10" ht="11.5" x14ac:dyDescent="0.25">
      <c r="C241" s="96">
        <v>519</v>
      </c>
      <c r="D241" s="89">
        <v>566</v>
      </c>
      <c r="E241" s="89">
        <v>613</v>
      </c>
      <c r="F241" s="90">
        <v>18</v>
      </c>
      <c r="G241" s="95">
        <f t="shared" si="11"/>
        <v>12</v>
      </c>
      <c r="I241" s="79">
        <f t="shared" si="9"/>
        <v>0.91696113074204944</v>
      </c>
      <c r="J241" s="80">
        <f t="shared" si="10"/>
        <v>1.0830388692579505</v>
      </c>
    </row>
    <row r="242" spans="3:10" ht="11.5" x14ac:dyDescent="0.25">
      <c r="C242" s="96">
        <v>614</v>
      </c>
      <c r="D242" s="89">
        <v>674</v>
      </c>
      <c r="E242" s="89">
        <v>734</v>
      </c>
      <c r="F242" s="90">
        <v>19</v>
      </c>
      <c r="G242" s="95">
        <f t="shared" si="11"/>
        <v>13</v>
      </c>
      <c r="I242" s="79">
        <f t="shared" si="9"/>
        <v>0.91097922848664692</v>
      </c>
      <c r="J242" s="80">
        <f t="shared" si="10"/>
        <v>1.0890207715133531</v>
      </c>
    </row>
    <row r="243" spans="3:10" ht="11.5" x14ac:dyDescent="0.25">
      <c r="C243" s="96">
        <v>735</v>
      </c>
      <c r="D243" s="89">
        <v>807</v>
      </c>
      <c r="E243" s="89">
        <v>879</v>
      </c>
      <c r="F243" s="90">
        <v>20</v>
      </c>
      <c r="G243" s="95">
        <f t="shared" si="11"/>
        <v>14</v>
      </c>
      <c r="I243" s="79">
        <f t="shared" si="9"/>
        <v>0.91078066914498146</v>
      </c>
      <c r="J243" s="80">
        <f t="shared" si="10"/>
        <v>1.0892193308550187</v>
      </c>
    </row>
    <row r="244" spans="3:10" ht="11.5" x14ac:dyDescent="0.25">
      <c r="C244" s="96">
        <v>880</v>
      </c>
      <c r="D244" s="89">
        <v>967</v>
      </c>
      <c r="E244" s="89">
        <v>1055</v>
      </c>
      <c r="F244" s="90">
        <v>21</v>
      </c>
      <c r="G244" s="95">
        <f t="shared" si="11"/>
        <v>15</v>
      </c>
      <c r="I244" s="79">
        <f t="shared" si="9"/>
        <v>0.91003102378490175</v>
      </c>
      <c r="J244" s="80">
        <f t="shared" si="10"/>
        <v>1.0910031023784901</v>
      </c>
    </row>
    <row r="245" spans="3:10" ht="11.5" x14ac:dyDescent="0.25">
      <c r="C245" s="96">
        <v>1056</v>
      </c>
      <c r="D245" s="89">
        <v>1158</v>
      </c>
      <c r="E245" s="89">
        <v>1260</v>
      </c>
      <c r="F245" s="90">
        <v>22</v>
      </c>
      <c r="G245" s="95">
        <f t="shared" si="11"/>
        <v>16</v>
      </c>
      <c r="I245" s="79">
        <f>C245/D245</f>
        <v>0.91191709844559588</v>
      </c>
      <c r="J245" s="80">
        <f t="shared" si="10"/>
        <v>1.0880829015544042</v>
      </c>
    </row>
    <row r="246" spans="3:10" ht="11.5" x14ac:dyDescent="0.25">
      <c r="C246" s="96">
        <v>1261</v>
      </c>
      <c r="D246" s="89">
        <v>1384</v>
      </c>
      <c r="E246" s="89">
        <v>1507</v>
      </c>
      <c r="F246" s="90">
        <v>23</v>
      </c>
      <c r="G246" s="95">
        <f t="shared" si="11"/>
        <v>17</v>
      </c>
      <c r="I246" s="79">
        <f t="shared" si="9"/>
        <v>0.91112716763005785</v>
      </c>
      <c r="J246" s="80">
        <f t="shared" si="10"/>
        <v>1.0888728323699421</v>
      </c>
    </row>
    <row r="247" spans="3:10" ht="11.5" x14ac:dyDescent="0.25">
      <c r="C247" s="96">
        <v>1508</v>
      </c>
      <c r="D247" s="89">
        <v>1654</v>
      </c>
      <c r="E247" s="89">
        <v>1800</v>
      </c>
      <c r="F247" s="90">
        <v>24</v>
      </c>
      <c r="G247" s="95">
        <f t="shared" si="11"/>
        <v>18</v>
      </c>
      <c r="I247" s="79">
        <f t="shared" si="9"/>
        <v>0.91172914147521156</v>
      </c>
      <c r="J247" s="80">
        <f t="shared" si="10"/>
        <v>1.0882708585247884</v>
      </c>
    </row>
    <row r="248" spans="3:10" ht="11.5" x14ac:dyDescent="0.25">
      <c r="C248" s="96">
        <v>1801</v>
      </c>
      <c r="D248" s="89">
        <v>1970</v>
      </c>
      <c r="E248" s="89">
        <v>2140</v>
      </c>
      <c r="F248" s="90">
        <v>25</v>
      </c>
      <c r="G248" s="95">
        <f t="shared" si="11"/>
        <v>19</v>
      </c>
      <c r="I248" s="79">
        <f t="shared" si="9"/>
        <v>0.91421319796954315</v>
      </c>
      <c r="J248" s="80">
        <f t="shared" si="10"/>
        <v>1.0862944162436547</v>
      </c>
    </row>
    <row r="249" spans="3:10" ht="11.5" x14ac:dyDescent="0.25">
      <c r="C249" s="96">
        <v>2141</v>
      </c>
      <c r="D249" s="89">
        <v>2345</v>
      </c>
      <c r="E249" s="89">
        <v>2550</v>
      </c>
      <c r="F249" s="90">
        <v>26</v>
      </c>
      <c r="G249" s="95">
        <f t="shared" si="11"/>
        <v>20</v>
      </c>
      <c r="I249" s="79">
        <f t="shared" si="9"/>
        <v>0.91300639658848615</v>
      </c>
      <c r="J249" s="80">
        <f t="shared" si="10"/>
        <v>1.0874200426439233</v>
      </c>
    </row>
    <row r="250" spans="3:10" ht="11.5" x14ac:dyDescent="0.25">
      <c r="C250" s="96">
        <v>2551</v>
      </c>
      <c r="D250" s="89">
        <v>2785</v>
      </c>
      <c r="E250" s="89">
        <v>3020</v>
      </c>
      <c r="F250" s="90">
        <v>27</v>
      </c>
      <c r="G250" s="95">
        <f t="shared" si="11"/>
        <v>21</v>
      </c>
      <c r="I250" s="79">
        <f t="shared" si="9"/>
        <v>0.91597845601436267</v>
      </c>
      <c r="J250" s="80">
        <f t="shared" si="10"/>
        <v>1.0843806104129263</v>
      </c>
    </row>
    <row r="251" spans="3:10" ht="11.5" x14ac:dyDescent="0.25">
      <c r="C251" s="96">
        <v>3021</v>
      </c>
      <c r="D251" s="89">
        <v>3300</v>
      </c>
      <c r="E251" s="89">
        <v>3580</v>
      </c>
      <c r="F251" s="90">
        <v>28</v>
      </c>
      <c r="G251" s="95">
        <f t="shared" si="11"/>
        <v>22</v>
      </c>
      <c r="I251" s="79">
        <f t="shared" si="9"/>
        <v>0.91545454545454541</v>
      </c>
      <c r="J251" s="80">
        <f t="shared" si="10"/>
        <v>1.084848484848485</v>
      </c>
    </row>
    <row r="252" spans="3:10" ht="11.5" x14ac:dyDescent="0.25">
      <c r="C252" s="96">
        <v>3581</v>
      </c>
      <c r="D252" s="89">
        <v>3915</v>
      </c>
      <c r="E252" s="89">
        <v>4250</v>
      </c>
      <c r="F252" s="90">
        <v>29</v>
      </c>
      <c r="G252" s="95">
        <f t="shared" si="11"/>
        <v>23</v>
      </c>
      <c r="I252" s="79">
        <f t="shared" si="9"/>
        <v>0.91468710089399741</v>
      </c>
      <c r="J252" s="80">
        <f t="shared" si="10"/>
        <v>1.0855683269476373</v>
      </c>
    </row>
    <row r="253" spans="3:10" ht="11.5" x14ac:dyDescent="0.25">
      <c r="C253" s="96">
        <v>4251</v>
      </c>
      <c r="D253" s="89">
        <v>4655</v>
      </c>
      <c r="E253" s="89">
        <v>5060</v>
      </c>
      <c r="F253" s="90">
        <v>30</v>
      </c>
      <c r="G253" s="95">
        <f t="shared" si="11"/>
        <v>24</v>
      </c>
      <c r="I253" s="79">
        <f t="shared" si="9"/>
        <v>0.91321160042964555</v>
      </c>
      <c r="J253" s="80">
        <f t="shared" si="10"/>
        <v>1.0870032223415682</v>
      </c>
    </row>
    <row r="254" spans="3:10" ht="11.5" x14ac:dyDescent="0.25">
      <c r="C254" s="96">
        <v>5061</v>
      </c>
      <c r="D254" s="89">
        <v>5540</v>
      </c>
      <c r="E254" s="89">
        <v>6020</v>
      </c>
      <c r="F254" s="90">
        <v>31</v>
      </c>
      <c r="G254" s="95">
        <f t="shared" si="11"/>
        <v>25</v>
      </c>
      <c r="I254" s="79">
        <f t="shared" si="9"/>
        <v>0.91353790613718411</v>
      </c>
      <c r="J254" s="80">
        <f t="shared" si="10"/>
        <v>1.0866425992779782</v>
      </c>
    </row>
    <row r="255" spans="3:10" ht="11.5" x14ac:dyDescent="0.25">
      <c r="C255" s="96">
        <v>6021</v>
      </c>
      <c r="D255" s="89">
        <v>6590</v>
      </c>
      <c r="E255" s="89">
        <v>7160</v>
      </c>
      <c r="F255" s="90">
        <v>32</v>
      </c>
      <c r="G255" s="95">
        <f t="shared" si="11"/>
        <v>26</v>
      </c>
      <c r="I255" s="79">
        <f t="shared" si="9"/>
        <v>0.91365705614567527</v>
      </c>
      <c r="J255" s="80">
        <f t="shared" si="10"/>
        <v>1.0864946889226099</v>
      </c>
    </row>
    <row r="256" spans="3:10" ht="11.5" x14ac:dyDescent="0.25">
      <c r="C256" s="96">
        <v>7161</v>
      </c>
      <c r="D256" s="89">
        <v>7740</v>
      </c>
      <c r="E256" s="89">
        <v>8320</v>
      </c>
      <c r="F256" s="90">
        <v>33</v>
      </c>
      <c r="G256" s="95">
        <f t="shared" si="11"/>
        <v>27</v>
      </c>
      <c r="I256" s="79">
        <f t="shared" si="9"/>
        <v>0.92519379844961236</v>
      </c>
      <c r="J256" s="80">
        <f t="shared" si="10"/>
        <v>1.0749354005167959</v>
      </c>
    </row>
    <row r="257" spans="3:10" ht="11.5" x14ac:dyDescent="0.25">
      <c r="C257" s="96">
        <v>8321</v>
      </c>
      <c r="D257" s="89">
        <v>8980</v>
      </c>
      <c r="E257" s="89">
        <v>9640</v>
      </c>
      <c r="F257" s="90">
        <v>34</v>
      </c>
      <c r="G257" s="95">
        <f t="shared" si="11"/>
        <v>28</v>
      </c>
      <c r="I257" s="79">
        <f t="shared" si="9"/>
        <v>0.92661469933184859</v>
      </c>
      <c r="J257" s="80">
        <f t="shared" si="10"/>
        <v>1.0734966592427617</v>
      </c>
    </row>
    <row r="258" spans="3:10" ht="11.5" x14ac:dyDescent="0.25">
      <c r="C258" s="96">
        <v>9641</v>
      </c>
      <c r="D258" s="89">
        <v>10410</v>
      </c>
      <c r="E258" s="89">
        <v>11180</v>
      </c>
      <c r="F258" s="90">
        <v>35</v>
      </c>
      <c r="G258" s="95">
        <f t="shared" si="11"/>
        <v>29</v>
      </c>
      <c r="I258" s="79">
        <f t="shared" si="9"/>
        <v>0.92612872238232469</v>
      </c>
      <c r="J258" s="80">
        <f t="shared" si="10"/>
        <v>1.0739673390970221</v>
      </c>
    </row>
    <row r="259" spans="3:10" ht="11.5" x14ac:dyDescent="0.25">
      <c r="C259" s="96">
        <v>11181</v>
      </c>
      <c r="D259" s="89">
        <v>12080</v>
      </c>
      <c r="E259" s="89">
        <v>12980</v>
      </c>
      <c r="F259" s="90">
        <v>36</v>
      </c>
      <c r="G259" s="95">
        <f t="shared" si="11"/>
        <v>30</v>
      </c>
      <c r="I259" s="79">
        <f t="shared" si="9"/>
        <v>0.92557947019867548</v>
      </c>
      <c r="J259" s="80">
        <f t="shared" si="10"/>
        <v>1.0745033112582782</v>
      </c>
    </row>
    <row r="260" spans="3:10" ht="11.5" x14ac:dyDescent="0.25">
      <c r="C260" s="96">
        <v>12981</v>
      </c>
      <c r="D260" s="89">
        <v>14030</v>
      </c>
      <c r="E260" s="89">
        <v>15080</v>
      </c>
      <c r="F260" s="90">
        <v>37</v>
      </c>
      <c r="G260" s="95">
        <f t="shared" si="11"/>
        <v>31</v>
      </c>
      <c r="I260" s="79">
        <f t="shared" si="9"/>
        <v>0.92523164647184608</v>
      </c>
      <c r="J260" s="80">
        <f t="shared" si="10"/>
        <v>1.074839629365645</v>
      </c>
    </row>
    <row r="261" spans="3:10" ht="12" thickBot="1" x14ac:dyDescent="0.3">
      <c r="C261" s="97">
        <v>15081</v>
      </c>
      <c r="D261" s="98">
        <v>16310</v>
      </c>
      <c r="E261" s="98">
        <v>17540</v>
      </c>
      <c r="F261" s="99">
        <v>38</v>
      </c>
      <c r="G261" s="100">
        <f t="shared" si="11"/>
        <v>32</v>
      </c>
      <c r="I261" s="79">
        <f t="shared" si="9"/>
        <v>0.92464745554874306</v>
      </c>
      <c r="J261" s="80">
        <f t="shared" si="10"/>
        <v>1.0754138565297364</v>
      </c>
    </row>
    <row r="266" spans="3:10" ht="12.5" x14ac:dyDescent="0.25">
      <c r="C266" s="11" t="s">
        <v>1</v>
      </c>
      <c r="D266" s="12"/>
    </row>
    <row r="267" spans="3:10" ht="12.5" x14ac:dyDescent="0.25">
      <c r="C267" s="13" t="s">
        <v>84</v>
      </c>
      <c r="D267" s="14" t="s">
        <v>16</v>
      </c>
      <c r="E267" s="45" t="s">
        <v>129</v>
      </c>
    </row>
    <row r="268" spans="3:10" ht="12.5" x14ac:dyDescent="0.25">
      <c r="C268" s="13" t="s">
        <v>85</v>
      </c>
      <c r="D268" s="14" t="s">
        <v>17</v>
      </c>
      <c r="E268" s="45" t="s">
        <v>130</v>
      </c>
    </row>
    <row r="269" spans="3:10" ht="12.5" x14ac:dyDescent="0.25">
      <c r="C269" s="13" t="s">
        <v>86</v>
      </c>
      <c r="D269" s="14" t="s">
        <v>18</v>
      </c>
      <c r="E269" s="45" t="s">
        <v>131</v>
      </c>
    </row>
    <row r="270" spans="3:10" ht="12.5" x14ac:dyDescent="0.25">
      <c r="C270" s="13" t="s">
        <v>87</v>
      </c>
      <c r="D270" s="14" t="s">
        <v>19</v>
      </c>
      <c r="E270" s="45" t="s">
        <v>124</v>
      </c>
    </row>
    <row r="271" spans="3:10" ht="12.5" x14ac:dyDescent="0.25">
      <c r="C271" s="13" t="s">
        <v>88</v>
      </c>
      <c r="D271" s="14" t="s">
        <v>20</v>
      </c>
      <c r="E271" s="45" t="s">
        <v>125</v>
      </c>
    </row>
    <row r="272" spans="3:10" ht="12.5" x14ac:dyDescent="0.25">
      <c r="C272" s="13" t="s">
        <v>89</v>
      </c>
      <c r="D272" s="14" t="s">
        <v>21</v>
      </c>
      <c r="E272" s="45" t="s">
        <v>126</v>
      </c>
    </row>
    <row r="273" spans="3:5" ht="12.5" x14ac:dyDescent="0.25">
      <c r="C273" s="13" t="s">
        <v>90</v>
      </c>
      <c r="D273" s="14" t="s">
        <v>91</v>
      </c>
      <c r="E273" s="45" t="s">
        <v>127</v>
      </c>
    </row>
    <row r="274" spans="3:5" ht="12.5" x14ac:dyDescent="0.25">
      <c r="C274" s="15" t="s">
        <v>92</v>
      </c>
      <c r="D274" s="16" t="s">
        <v>22</v>
      </c>
      <c r="E274" s="45" t="s">
        <v>128</v>
      </c>
    </row>
    <row r="278" spans="3:5" ht="12.5" x14ac:dyDescent="0.25">
      <c r="C278" s="11" t="s">
        <v>2</v>
      </c>
      <c r="D278" s="17"/>
    </row>
    <row r="279" spans="3:5" ht="12.5" x14ac:dyDescent="0.25">
      <c r="C279" s="18" t="s">
        <v>116</v>
      </c>
      <c r="D279" s="19" t="s">
        <v>5</v>
      </c>
      <c r="E279" s="45" t="s">
        <v>157</v>
      </c>
    </row>
    <row r="280" spans="3:5" ht="12.5" x14ac:dyDescent="0.25">
      <c r="C280" s="20" t="s">
        <v>117</v>
      </c>
      <c r="D280" s="19" t="s">
        <v>6</v>
      </c>
      <c r="E280" s="45" t="s">
        <v>158</v>
      </c>
    </row>
    <row r="281" spans="3:5" ht="12.5" x14ac:dyDescent="0.25">
      <c r="C281" s="20" t="s">
        <v>118</v>
      </c>
      <c r="D281" s="19" t="s">
        <v>7</v>
      </c>
      <c r="E281" s="45" t="s">
        <v>159</v>
      </c>
    </row>
    <row r="282" spans="3:5" ht="12.5" x14ac:dyDescent="0.25">
      <c r="C282" s="20" t="s">
        <v>119</v>
      </c>
      <c r="D282" s="19" t="s">
        <v>8</v>
      </c>
      <c r="E282" s="45" t="s">
        <v>160</v>
      </c>
    </row>
    <row r="283" spans="3:5" ht="12.5" x14ac:dyDescent="0.25">
      <c r="C283" s="21" t="s">
        <v>120</v>
      </c>
      <c r="D283" s="22" t="s">
        <v>9</v>
      </c>
      <c r="E283" s="45" t="s">
        <v>161</v>
      </c>
    </row>
    <row r="287" spans="3:5" ht="12.5" x14ac:dyDescent="0.25">
      <c r="C287" s="11" t="s">
        <v>3</v>
      </c>
      <c r="D287" s="23"/>
    </row>
    <row r="288" spans="3:5" ht="12.5" x14ac:dyDescent="0.25">
      <c r="C288" s="20" t="s">
        <v>121</v>
      </c>
      <c r="D288" s="24" t="s">
        <v>10</v>
      </c>
      <c r="E288" s="81">
        <v>1</v>
      </c>
    </row>
    <row r="289" spans="3:5" ht="12.5" x14ac:dyDescent="0.25">
      <c r="C289" s="20" t="s">
        <v>122</v>
      </c>
      <c r="D289" s="24" t="s">
        <v>11</v>
      </c>
      <c r="E289" s="81">
        <v>2</v>
      </c>
    </row>
    <row r="290" spans="3:5" ht="12.5" x14ac:dyDescent="0.25">
      <c r="C290" s="25" t="s">
        <v>123</v>
      </c>
      <c r="D290" s="26" t="s">
        <v>12</v>
      </c>
      <c r="E290" s="81">
        <v>3</v>
      </c>
    </row>
    <row r="293" spans="3:5" ht="12.5" x14ac:dyDescent="0.25">
      <c r="C293" s="27" t="s">
        <v>53</v>
      </c>
      <c r="D293" s="23"/>
    </row>
    <row r="294" spans="3:5" ht="13.5" x14ac:dyDescent="0.25">
      <c r="C294" s="28" t="s">
        <v>99</v>
      </c>
      <c r="D294" s="24" t="s">
        <v>25</v>
      </c>
      <c r="E294" s="81" t="s">
        <v>179</v>
      </c>
    </row>
    <row r="295" spans="3:5" ht="13.5" x14ac:dyDescent="0.25">
      <c r="C295" s="28" t="s">
        <v>100</v>
      </c>
      <c r="D295" s="24" t="s">
        <v>26</v>
      </c>
      <c r="E295" s="81" t="s">
        <v>180</v>
      </c>
    </row>
    <row r="296" spans="3:5" ht="13.5" x14ac:dyDescent="0.25">
      <c r="C296" s="28" t="s">
        <v>101</v>
      </c>
      <c r="D296" s="24" t="s">
        <v>27</v>
      </c>
      <c r="E296" s="81" t="s">
        <v>181</v>
      </c>
    </row>
    <row r="297" spans="3:5" ht="13.5" x14ac:dyDescent="0.25">
      <c r="C297" s="28" t="s">
        <v>102</v>
      </c>
      <c r="D297" s="24" t="s">
        <v>28</v>
      </c>
      <c r="E297" s="81" t="s">
        <v>182</v>
      </c>
    </row>
    <row r="298" spans="3:5" ht="13.5" x14ac:dyDescent="0.25">
      <c r="C298" s="28" t="s">
        <v>103</v>
      </c>
      <c r="D298" s="24" t="s">
        <v>29</v>
      </c>
      <c r="E298" s="81" t="s">
        <v>183</v>
      </c>
    </row>
    <row r="299" spans="3:5" ht="13.5" x14ac:dyDescent="0.25">
      <c r="C299" s="28" t="s">
        <v>104</v>
      </c>
      <c r="D299" s="24" t="s">
        <v>30</v>
      </c>
      <c r="E299" s="81" t="s">
        <v>184</v>
      </c>
    </row>
    <row r="300" spans="3:5" ht="13.5" x14ac:dyDescent="0.25">
      <c r="C300" s="28" t="s">
        <v>105</v>
      </c>
      <c r="D300" s="24" t="s">
        <v>82</v>
      </c>
      <c r="E300" s="81" t="s">
        <v>185</v>
      </c>
    </row>
    <row r="301" spans="3:5" ht="13.5" x14ac:dyDescent="0.25">
      <c r="C301" s="29" t="s">
        <v>106</v>
      </c>
      <c r="D301" s="26" t="s">
        <v>83</v>
      </c>
      <c r="E301" s="81" t="s">
        <v>186</v>
      </c>
    </row>
    <row r="305" spans="3:5" x14ac:dyDescent="0.25">
      <c r="C305" s="82" t="s">
        <v>54</v>
      </c>
      <c r="D305" s="83"/>
    </row>
    <row r="306" spans="3:5" x14ac:dyDescent="0.25">
      <c r="C306" s="84" t="s">
        <v>94</v>
      </c>
      <c r="D306" s="85" t="s">
        <v>31</v>
      </c>
      <c r="E306" s="45">
        <v>1</v>
      </c>
    </row>
    <row r="307" spans="3:5" x14ac:dyDescent="0.25">
      <c r="C307" s="84" t="s">
        <v>95</v>
      </c>
      <c r="D307" s="85" t="s">
        <v>32</v>
      </c>
      <c r="E307" s="45">
        <v>2</v>
      </c>
    </row>
    <row r="308" spans="3:5" x14ac:dyDescent="0.25">
      <c r="C308" s="84" t="s">
        <v>96</v>
      </c>
      <c r="D308" s="85" t="s">
        <v>33</v>
      </c>
      <c r="E308" s="45">
        <v>3</v>
      </c>
    </row>
    <row r="309" spans="3:5" x14ac:dyDescent="0.25">
      <c r="C309" s="84" t="s">
        <v>97</v>
      </c>
      <c r="D309" s="85" t="s">
        <v>34</v>
      </c>
      <c r="E309" s="45">
        <v>4</v>
      </c>
    </row>
    <row r="310" spans="3:5" x14ac:dyDescent="0.25">
      <c r="C310" s="86" t="s">
        <v>98</v>
      </c>
      <c r="D310" s="87" t="s">
        <v>35</v>
      </c>
      <c r="E310" s="45">
        <v>5</v>
      </c>
    </row>
    <row r="314" spans="3:5" x14ac:dyDescent="0.25">
      <c r="C314" s="45" t="s">
        <v>56</v>
      </c>
    </row>
    <row r="316" spans="3:5" x14ac:dyDescent="0.25">
      <c r="C316" s="45" t="s">
        <v>136</v>
      </c>
      <c r="D316" s="45" t="s">
        <v>47</v>
      </c>
      <c r="E316" s="81" t="s">
        <v>132</v>
      </c>
    </row>
    <row r="317" spans="3:5" x14ac:dyDescent="0.25">
      <c r="C317" s="45" t="s">
        <v>137</v>
      </c>
      <c r="D317" s="45" t="s">
        <v>48</v>
      </c>
      <c r="E317" s="81" t="s">
        <v>133</v>
      </c>
    </row>
    <row r="318" spans="3:5" x14ac:dyDescent="0.25">
      <c r="C318" s="45" t="s">
        <v>138</v>
      </c>
      <c r="D318" s="45" t="s">
        <v>49</v>
      </c>
      <c r="E318" s="81" t="s">
        <v>134</v>
      </c>
    </row>
    <row r="319" spans="3:5" x14ac:dyDescent="0.25">
      <c r="C319" s="45" t="s">
        <v>139</v>
      </c>
      <c r="D319" s="45" t="s">
        <v>50</v>
      </c>
      <c r="E319" s="81" t="s">
        <v>135</v>
      </c>
    </row>
    <row r="320" spans="3:5" x14ac:dyDescent="0.25">
      <c r="C320" s="45" t="s">
        <v>140</v>
      </c>
      <c r="D320" s="45" t="s">
        <v>51</v>
      </c>
      <c r="E320" s="81" t="s">
        <v>146</v>
      </c>
    </row>
    <row r="321" spans="3:5" x14ac:dyDescent="0.25">
      <c r="C321" s="45" t="s">
        <v>141</v>
      </c>
      <c r="D321" s="45" t="s">
        <v>52</v>
      </c>
      <c r="E321" s="81" t="s">
        <v>147</v>
      </c>
    </row>
    <row r="322" spans="3:5" x14ac:dyDescent="0.25">
      <c r="C322" s="45" t="s">
        <v>142</v>
      </c>
      <c r="D322" s="45" t="s">
        <v>44</v>
      </c>
      <c r="E322" s="81" t="s">
        <v>148</v>
      </c>
    </row>
    <row r="323" spans="3:5" x14ac:dyDescent="0.25">
      <c r="C323" s="45" t="s">
        <v>143</v>
      </c>
      <c r="D323" s="45" t="s">
        <v>45</v>
      </c>
      <c r="E323" s="81" t="s">
        <v>131</v>
      </c>
    </row>
    <row r="324" spans="3:5" x14ac:dyDescent="0.25">
      <c r="C324" s="45" t="s">
        <v>144</v>
      </c>
      <c r="D324" s="45" t="s">
        <v>46</v>
      </c>
      <c r="E324" s="81" t="s">
        <v>149</v>
      </c>
    </row>
    <row r="325" spans="3:5" x14ac:dyDescent="0.25">
      <c r="C325" s="45" t="s">
        <v>145</v>
      </c>
      <c r="D325" s="45" t="s">
        <v>57</v>
      </c>
      <c r="E325" s="81" t="s">
        <v>150</v>
      </c>
    </row>
    <row r="328" spans="3:5" ht="12.5" x14ac:dyDescent="0.25">
      <c r="C328" s="11" t="s">
        <v>55</v>
      </c>
      <c r="D328" s="23"/>
    </row>
    <row r="329" spans="3:5" ht="12.5" x14ac:dyDescent="0.25">
      <c r="C329" s="20" t="s">
        <v>165</v>
      </c>
      <c r="D329" s="24" t="s">
        <v>36</v>
      </c>
      <c r="E329" s="45" t="s">
        <v>129</v>
      </c>
    </row>
    <row r="330" spans="3:5" ht="12.5" x14ac:dyDescent="0.25">
      <c r="C330" s="20" t="s">
        <v>166</v>
      </c>
      <c r="D330" s="24" t="s">
        <v>37</v>
      </c>
      <c r="E330" s="45" t="s">
        <v>130</v>
      </c>
    </row>
    <row r="331" spans="3:5" ht="12.5" x14ac:dyDescent="0.25">
      <c r="C331" s="20" t="s">
        <v>167</v>
      </c>
      <c r="D331" s="24" t="s">
        <v>62</v>
      </c>
      <c r="E331" s="45" t="s">
        <v>131</v>
      </c>
    </row>
    <row r="332" spans="3:5" ht="12.5" x14ac:dyDescent="0.25">
      <c r="C332" s="20" t="s">
        <v>168</v>
      </c>
      <c r="D332" s="24" t="s">
        <v>38</v>
      </c>
      <c r="E332" s="45" t="s">
        <v>124</v>
      </c>
    </row>
    <row r="333" spans="3:5" ht="12.5" x14ac:dyDescent="0.25">
      <c r="C333" s="20" t="s">
        <v>169</v>
      </c>
      <c r="D333" s="24" t="s">
        <v>39</v>
      </c>
      <c r="E333" s="45" t="s">
        <v>125</v>
      </c>
    </row>
    <row r="334" spans="3:5" ht="12.5" x14ac:dyDescent="0.25">
      <c r="C334" s="20" t="s">
        <v>170</v>
      </c>
      <c r="D334" s="24" t="s">
        <v>63</v>
      </c>
      <c r="E334" s="45" t="s">
        <v>126</v>
      </c>
    </row>
    <row r="335" spans="3:5" ht="12.5" x14ac:dyDescent="0.25">
      <c r="C335" s="20" t="s">
        <v>171</v>
      </c>
      <c r="D335" s="24" t="s">
        <v>64</v>
      </c>
      <c r="E335" s="45" t="s">
        <v>127</v>
      </c>
    </row>
    <row r="336" spans="3:5" ht="12.5" x14ac:dyDescent="0.25">
      <c r="C336" s="25" t="s">
        <v>172</v>
      </c>
      <c r="D336" s="26" t="s">
        <v>65</v>
      </c>
      <c r="E336" s="45" t="s">
        <v>128</v>
      </c>
    </row>
    <row r="342" spans="3:5" x14ac:dyDescent="0.25">
      <c r="C342" s="45" t="s">
        <v>173</v>
      </c>
      <c r="D342" s="45" t="s">
        <v>40</v>
      </c>
      <c r="E342" s="81" t="s">
        <v>187</v>
      </c>
    </row>
    <row r="343" spans="3:5" x14ac:dyDescent="0.25">
      <c r="C343" s="45" t="s">
        <v>174</v>
      </c>
      <c r="D343" s="45" t="s">
        <v>41</v>
      </c>
      <c r="E343" s="81" t="s">
        <v>188</v>
      </c>
    </row>
    <row r="344" spans="3:5" x14ac:dyDescent="0.25">
      <c r="C344" s="45" t="s">
        <v>175</v>
      </c>
      <c r="D344" s="45" t="s">
        <v>42</v>
      </c>
      <c r="E344" s="81" t="s">
        <v>189</v>
      </c>
    </row>
    <row r="345" spans="3:5" x14ac:dyDescent="0.25">
      <c r="C345" s="45" t="s">
        <v>176</v>
      </c>
      <c r="D345" s="45" t="s">
        <v>43</v>
      </c>
      <c r="E345" s="81" t="s">
        <v>190</v>
      </c>
    </row>
    <row r="346" spans="3:5" x14ac:dyDescent="0.25">
      <c r="C346" s="45" t="s">
        <v>81</v>
      </c>
      <c r="D346" s="45" t="s">
        <v>81</v>
      </c>
      <c r="E346" s="81" t="s">
        <v>191</v>
      </c>
    </row>
    <row r="347" spans="3:5" x14ac:dyDescent="0.25">
      <c r="C347" s="45" t="s">
        <v>81</v>
      </c>
      <c r="D347" s="45" t="s">
        <v>81</v>
      </c>
      <c r="E347" s="81" t="s">
        <v>191</v>
      </c>
    </row>
    <row r="348" spans="3:5" x14ac:dyDescent="0.25">
      <c r="C348" s="45" t="s">
        <v>81</v>
      </c>
      <c r="D348" s="45" t="s">
        <v>81</v>
      </c>
      <c r="E348" s="81" t="s">
        <v>191</v>
      </c>
    </row>
    <row r="349" spans="3:5" x14ac:dyDescent="0.25">
      <c r="C349" s="45" t="s">
        <v>81</v>
      </c>
      <c r="D349" s="45" t="s">
        <v>81</v>
      </c>
      <c r="E349" s="81" t="s">
        <v>191</v>
      </c>
    </row>
    <row r="353" spans="1:1" ht="14.5" x14ac:dyDescent="0.35">
      <c r="A353" s="101" t="s">
        <v>194</v>
      </c>
    </row>
    <row r="354" spans="1:1" ht="15.5" x14ac:dyDescent="0.35">
      <c r="A354" s="1">
        <v>8</v>
      </c>
    </row>
    <row r="355" spans="1:1" ht="15.5" x14ac:dyDescent="0.35">
      <c r="A355" s="1">
        <v>9</v>
      </c>
    </row>
    <row r="356" spans="1:1" ht="15.5" x14ac:dyDescent="0.35">
      <c r="A356" s="1">
        <v>10</v>
      </c>
    </row>
    <row r="357" spans="1:1" ht="15.5" x14ac:dyDescent="0.35">
      <c r="A357" s="1">
        <v>12</v>
      </c>
    </row>
    <row r="358" spans="1:1" ht="15.5" x14ac:dyDescent="0.35">
      <c r="A358" s="1">
        <v>14</v>
      </c>
    </row>
    <row r="359" spans="1:1" ht="15.5" x14ac:dyDescent="0.35">
      <c r="A359" s="1">
        <v>16</v>
      </c>
    </row>
    <row r="360" spans="1:1" ht="15.5" x14ac:dyDescent="0.35">
      <c r="A360" s="1">
        <v>19</v>
      </c>
    </row>
    <row r="361" spans="1:1" ht="15.5" x14ac:dyDescent="0.35">
      <c r="A361" s="1">
        <v>22</v>
      </c>
    </row>
    <row r="362" spans="1:1" ht="15.5" x14ac:dyDescent="0.35">
      <c r="A362" s="1">
        <v>25</v>
      </c>
    </row>
    <row r="363" spans="1:1" ht="15.5" x14ac:dyDescent="0.35">
      <c r="A363" s="1">
        <v>29</v>
      </c>
    </row>
    <row r="364" spans="1:1" ht="15.5" x14ac:dyDescent="0.35">
      <c r="A364" s="1">
        <v>33</v>
      </c>
    </row>
    <row r="365" spans="1:1" ht="15.5" x14ac:dyDescent="0.35">
      <c r="A365" s="1">
        <v>38</v>
      </c>
    </row>
    <row r="366" spans="1:1" ht="15.5" x14ac:dyDescent="0.35">
      <c r="A366" s="1">
        <v>43</v>
      </c>
    </row>
    <row r="367" spans="1:1" ht="15.5" x14ac:dyDescent="0.35">
      <c r="A367" s="1">
        <v>50</v>
      </c>
    </row>
    <row r="368" spans="1:1" ht="15.5" x14ac:dyDescent="0.35">
      <c r="A368" s="1">
        <v>57</v>
      </c>
    </row>
    <row r="369" spans="1:1" ht="15.5" x14ac:dyDescent="0.35">
      <c r="A369" s="1">
        <v>66</v>
      </c>
    </row>
    <row r="370" spans="1:1" ht="15.5" x14ac:dyDescent="0.35">
      <c r="A370" s="1">
        <v>76</v>
      </c>
    </row>
    <row r="371" spans="1:1" ht="15.5" x14ac:dyDescent="0.35">
      <c r="A371" s="1">
        <v>87</v>
      </c>
    </row>
    <row r="372" spans="1:1" ht="15.5" x14ac:dyDescent="0.35">
      <c r="A372" s="1">
        <v>100</v>
      </c>
    </row>
    <row r="373" spans="1:1" ht="15.5" x14ac:dyDescent="0.35">
      <c r="A373" s="1">
        <v>115</v>
      </c>
    </row>
    <row r="374" spans="1:1" ht="15.5" x14ac:dyDescent="0.35">
      <c r="A374" s="1">
        <v>132</v>
      </c>
    </row>
    <row r="375" spans="1:1" ht="15.5" x14ac:dyDescent="0.35">
      <c r="A375" s="1">
        <v>152</v>
      </c>
    </row>
    <row r="376" spans="1:1" ht="15.5" x14ac:dyDescent="0.35">
      <c r="A376" s="1">
        <v>175</v>
      </c>
    </row>
    <row r="377" spans="1:1" ht="15.5" x14ac:dyDescent="0.35">
      <c r="A377" s="1">
        <v>200</v>
      </c>
    </row>
    <row r="378" spans="1:1" ht="15.5" x14ac:dyDescent="0.35">
      <c r="A378" s="1">
        <v>230</v>
      </c>
    </row>
    <row r="379" spans="1:1" ht="15.5" x14ac:dyDescent="0.35">
      <c r="A379" s="1">
        <v>264</v>
      </c>
    </row>
    <row r="380" spans="1:1" ht="15.5" x14ac:dyDescent="0.35">
      <c r="A380" s="1">
        <v>304</v>
      </c>
    </row>
    <row r="381" spans="1:1" ht="15.5" x14ac:dyDescent="0.35">
      <c r="A381" s="1">
        <v>350</v>
      </c>
    </row>
    <row r="382" spans="1:1" ht="15.5" x14ac:dyDescent="0.35">
      <c r="A382" s="1">
        <v>400</v>
      </c>
    </row>
    <row r="383" spans="1:1" ht="15.5" x14ac:dyDescent="0.35">
      <c r="A383" s="1">
        <v>460</v>
      </c>
    </row>
    <row r="384" spans="1:1" ht="15.5" x14ac:dyDescent="0.35">
      <c r="A384" s="1">
        <v>528</v>
      </c>
    </row>
    <row r="385" spans="1:12" ht="15.5" x14ac:dyDescent="0.35">
      <c r="A385" s="1">
        <v>608</v>
      </c>
    </row>
    <row r="386" spans="1:12" ht="15.5" x14ac:dyDescent="0.35">
      <c r="A386" s="1">
        <v>700</v>
      </c>
    </row>
    <row r="387" spans="1:12" ht="15.5" x14ac:dyDescent="0.35">
      <c r="A387" s="1">
        <v>800</v>
      </c>
    </row>
    <row r="388" spans="1:12" ht="15.5" x14ac:dyDescent="0.35">
      <c r="A388" s="1">
        <v>920</v>
      </c>
    </row>
    <row r="389" spans="1:12" ht="15.5" x14ac:dyDescent="0.35">
      <c r="A389" s="1">
        <v>1056</v>
      </c>
    </row>
    <row r="390" spans="1:12" ht="15.5" x14ac:dyDescent="0.35">
      <c r="A390" s="1">
        <v>1216</v>
      </c>
    </row>
    <row r="391" spans="1:12" ht="15.5" x14ac:dyDescent="0.35">
      <c r="A391" s="1">
        <v>1400</v>
      </c>
    </row>
    <row r="396" spans="1:12" x14ac:dyDescent="0.25">
      <c r="C396" s="88"/>
      <c r="D396" s="104" t="s">
        <v>197</v>
      </c>
      <c r="E396" s="104" t="s">
        <v>198</v>
      </c>
      <c r="F396" s="104" t="s">
        <v>234</v>
      </c>
      <c r="G396" s="104" t="s">
        <v>283</v>
      </c>
      <c r="H396" s="104" t="s">
        <v>199</v>
      </c>
      <c r="I396" s="104" t="s">
        <v>200</v>
      </c>
      <c r="J396" s="104" t="s">
        <v>201</v>
      </c>
      <c r="K396" s="104" t="s">
        <v>202</v>
      </c>
      <c r="L396" s="88"/>
    </row>
    <row r="397" spans="1:12" ht="21" x14ac:dyDescent="0.25">
      <c r="C397" s="104" t="s">
        <v>203</v>
      </c>
      <c r="D397" s="88"/>
      <c r="E397" s="88"/>
      <c r="F397" s="88"/>
      <c r="G397" s="88" t="s">
        <v>216</v>
      </c>
      <c r="H397" s="88" t="s">
        <v>217</v>
      </c>
      <c r="I397" s="88" t="s">
        <v>218</v>
      </c>
      <c r="J397" s="88" t="s">
        <v>219</v>
      </c>
      <c r="K397" s="88" t="s">
        <v>220</v>
      </c>
      <c r="L397" s="88"/>
    </row>
    <row r="398" spans="1:12" x14ac:dyDescent="0.25">
      <c r="C398" s="104" t="s">
        <v>204</v>
      </c>
      <c r="D398" s="88"/>
      <c r="E398" s="88"/>
      <c r="F398" s="88"/>
      <c r="G398" s="88"/>
      <c r="H398" s="88"/>
      <c r="I398" s="88" t="s">
        <v>221</v>
      </c>
      <c r="J398" s="88" t="s">
        <v>222</v>
      </c>
      <c r="K398" s="88"/>
      <c r="L398" s="88"/>
    </row>
    <row r="399" spans="1:12" ht="42" x14ac:dyDescent="0.25">
      <c r="C399" s="104" t="s">
        <v>205</v>
      </c>
      <c r="D399" s="88"/>
      <c r="E399" s="88"/>
      <c r="F399" s="88"/>
      <c r="G399" s="88"/>
      <c r="H399" s="88" t="s">
        <v>224</v>
      </c>
      <c r="I399" s="88" t="s">
        <v>223</v>
      </c>
      <c r="J399" s="88" t="s">
        <v>225</v>
      </c>
      <c r="K399" s="88" t="s">
        <v>226</v>
      </c>
      <c r="L399" s="88"/>
    </row>
    <row r="400" spans="1:12" ht="21" x14ac:dyDescent="0.25">
      <c r="C400" s="104" t="s">
        <v>206</v>
      </c>
      <c r="D400" s="88" t="s">
        <v>227</v>
      </c>
      <c r="E400" s="88" t="s">
        <v>228</v>
      </c>
      <c r="F400" s="88" t="s">
        <v>229</v>
      </c>
      <c r="G400" s="88" t="s">
        <v>230</v>
      </c>
      <c r="H400" s="88" t="s">
        <v>231</v>
      </c>
      <c r="I400" s="88"/>
      <c r="J400" s="88"/>
      <c r="K400" s="88"/>
      <c r="L400" s="88"/>
    </row>
    <row r="401" spans="2:12" x14ac:dyDescent="0.25">
      <c r="C401" s="104" t="s">
        <v>207</v>
      </c>
      <c r="D401" s="88"/>
      <c r="E401" s="88"/>
      <c r="F401" s="88"/>
      <c r="G401" s="88"/>
      <c r="H401" s="88" t="s">
        <v>221</v>
      </c>
      <c r="I401" s="88" t="s">
        <v>232</v>
      </c>
      <c r="J401" s="88" t="s">
        <v>233</v>
      </c>
      <c r="K401" s="88"/>
      <c r="L401" s="88"/>
    </row>
    <row r="402" spans="2:12" ht="21" x14ac:dyDescent="0.25">
      <c r="C402" s="104" t="s">
        <v>208</v>
      </c>
      <c r="D402" s="88"/>
      <c r="E402" s="88"/>
      <c r="F402" s="88"/>
      <c r="G402" s="88" t="s">
        <v>235</v>
      </c>
      <c r="H402" s="88" t="s">
        <v>230</v>
      </c>
      <c r="I402" s="88" t="s">
        <v>236</v>
      </c>
      <c r="J402" s="88"/>
      <c r="K402" s="88"/>
      <c r="L402" s="88"/>
    </row>
    <row r="403" spans="2:12" ht="21" x14ac:dyDescent="0.25">
      <c r="C403" s="104" t="s">
        <v>209</v>
      </c>
      <c r="D403" s="88"/>
      <c r="E403" s="88"/>
      <c r="F403" s="88"/>
      <c r="G403" s="88" t="s">
        <v>237</v>
      </c>
      <c r="H403" s="88" t="s">
        <v>238</v>
      </c>
      <c r="I403" s="88" t="s">
        <v>239</v>
      </c>
      <c r="J403" s="88"/>
      <c r="K403" s="88"/>
      <c r="L403" s="88"/>
    </row>
    <row r="404" spans="2:12" ht="21" x14ac:dyDescent="0.25">
      <c r="C404" s="104" t="s">
        <v>210</v>
      </c>
      <c r="D404" s="88"/>
      <c r="E404" s="88"/>
      <c r="F404" s="88"/>
      <c r="G404" s="88" t="s">
        <v>240</v>
      </c>
      <c r="H404" s="88" t="s">
        <v>238</v>
      </c>
      <c r="I404" s="88" t="s">
        <v>241</v>
      </c>
      <c r="J404" s="88"/>
      <c r="K404" s="88"/>
      <c r="L404" s="88"/>
    </row>
    <row r="405" spans="2:12" ht="21" x14ac:dyDescent="0.25">
      <c r="C405" s="104" t="s">
        <v>211</v>
      </c>
      <c r="D405" s="88"/>
      <c r="E405" s="88"/>
      <c r="F405" s="88"/>
      <c r="G405" s="88" t="s">
        <v>242</v>
      </c>
      <c r="H405" s="88" t="s">
        <v>230</v>
      </c>
      <c r="I405" s="88" t="s">
        <v>243</v>
      </c>
      <c r="J405" s="88"/>
      <c r="K405" s="88"/>
      <c r="L405" s="88"/>
    </row>
    <row r="406" spans="2:12" ht="21" x14ac:dyDescent="0.25">
      <c r="C406" s="104" t="s">
        <v>212</v>
      </c>
      <c r="D406" s="88"/>
      <c r="E406" s="88"/>
      <c r="F406" s="88"/>
      <c r="G406" s="88"/>
      <c r="H406" s="88" t="s">
        <v>244</v>
      </c>
      <c r="I406" s="88" t="s">
        <v>245</v>
      </c>
      <c r="J406" s="88" t="s">
        <v>246</v>
      </c>
      <c r="K406" s="88"/>
      <c r="L406" s="88"/>
    </row>
    <row r="407" spans="2:12" ht="31.5" x14ac:dyDescent="0.25">
      <c r="C407" s="104" t="s">
        <v>213</v>
      </c>
      <c r="D407" s="88"/>
      <c r="E407" s="88"/>
      <c r="F407" s="88"/>
      <c r="G407" s="88"/>
      <c r="H407" s="88" t="s">
        <v>247</v>
      </c>
      <c r="I407" s="88" t="s">
        <v>248</v>
      </c>
      <c r="J407" s="88" t="s">
        <v>204</v>
      </c>
      <c r="K407" s="88" t="s">
        <v>249</v>
      </c>
      <c r="L407" s="88"/>
    </row>
    <row r="408" spans="2:12" ht="31.5" x14ac:dyDescent="0.25">
      <c r="C408" s="104" t="s">
        <v>214</v>
      </c>
      <c r="D408" s="88"/>
      <c r="E408" s="88"/>
      <c r="F408" s="88"/>
      <c r="G408" s="88"/>
      <c r="H408" s="88" t="s">
        <v>250</v>
      </c>
      <c r="I408" s="88" t="s">
        <v>251</v>
      </c>
      <c r="J408" s="88" t="s">
        <v>252</v>
      </c>
      <c r="K408" s="88"/>
      <c r="L408" s="88"/>
    </row>
    <row r="409" spans="2:12" x14ac:dyDescent="0.25">
      <c r="C409" s="104" t="s">
        <v>215</v>
      </c>
      <c r="D409" s="88"/>
      <c r="E409" s="88"/>
      <c r="F409" s="88"/>
      <c r="G409" s="88"/>
      <c r="H409" s="88"/>
      <c r="I409" s="88"/>
      <c r="J409" s="88"/>
      <c r="K409" s="88"/>
      <c r="L409" s="88"/>
    </row>
    <row r="410" spans="2:12" x14ac:dyDescent="0.25">
      <c r="C410" s="88"/>
      <c r="D410" s="88"/>
      <c r="E410" s="88"/>
      <c r="F410" s="88"/>
      <c r="G410" s="88"/>
      <c r="H410" s="88"/>
      <c r="I410" s="88"/>
      <c r="J410" s="88"/>
      <c r="K410" s="88"/>
      <c r="L410" s="88"/>
    </row>
    <row r="416" spans="2:12" x14ac:dyDescent="0.25">
      <c r="B416" s="54" t="s">
        <v>196</v>
      </c>
      <c r="C416" s="45" t="s">
        <v>254</v>
      </c>
    </row>
    <row r="417" spans="2:3" x14ac:dyDescent="0.25">
      <c r="B417" s="54" t="s">
        <v>197</v>
      </c>
      <c r="C417" s="45" t="s">
        <v>254</v>
      </c>
    </row>
    <row r="418" spans="2:3" x14ac:dyDescent="0.25">
      <c r="B418" s="54" t="s">
        <v>198</v>
      </c>
      <c r="C418" s="45" t="s">
        <v>255</v>
      </c>
    </row>
    <row r="419" spans="2:3" x14ac:dyDescent="0.25">
      <c r="B419" s="54" t="s">
        <v>234</v>
      </c>
      <c r="C419" s="45" t="s">
        <v>256</v>
      </c>
    </row>
    <row r="420" spans="2:3" x14ac:dyDescent="0.25">
      <c r="B420" s="54" t="s">
        <v>283</v>
      </c>
      <c r="C420" s="45" t="s">
        <v>257</v>
      </c>
    </row>
    <row r="421" spans="2:3" x14ac:dyDescent="0.25">
      <c r="B421" s="54" t="s">
        <v>199</v>
      </c>
      <c r="C421" s="45" t="s">
        <v>258</v>
      </c>
    </row>
    <row r="422" spans="2:3" x14ac:dyDescent="0.25">
      <c r="B422" s="54" t="s">
        <v>200</v>
      </c>
      <c r="C422" s="45" t="s">
        <v>259</v>
      </c>
    </row>
    <row r="423" spans="2:3" x14ac:dyDescent="0.25">
      <c r="B423" s="54" t="s">
        <v>201</v>
      </c>
      <c r="C423" s="45" t="s">
        <v>260</v>
      </c>
    </row>
    <row r="424" spans="2:3" x14ac:dyDescent="0.25">
      <c r="B424" s="54" t="s">
        <v>202</v>
      </c>
      <c r="C424" s="45" t="s">
        <v>261</v>
      </c>
    </row>
  </sheetData>
  <mergeCells count="1">
    <mergeCell ref="B129:B145"/>
  </mergeCells>
  <conditionalFormatting sqref="D68:H83">
    <cfRule type="containsText" dxfId="8" priority="5" operator="containsText" text="С">
      <formula>NOT(ISERROR(SEARCH("С",D68)))</formula>
    </cfRule>
    <cfRule type="containsText" dxfId="7" priority="6" operator="containsText" text="Ж">
      <formula>NOT(ISERROR(SEARCH("Ж",D68)))</formula>
    </cfRule>
  </conditionalFormatting>
  <conditionalFormatting sqref="D188:Y211">
    <cfRule type="containsText" dxfId="6" priority="1" operator="containsText" text="С">
      <formula>NOT(ISERROR(SEARCH("С",D188)))</formula>
    </cfRule>
    <cfRule type="containsText" dxfId="5" priority="2" operator="containsText" text="Ж">
      <formula>NOT(ISERROR(SEARCH("Ж",D188)))</formula>
    </cfRule>
  </conditionalFormatting>
  <conditionalFormatting sqref="D130:AD145">
    <cfRule type="containsText" dxfId="4" priority="3" operator="containsText" text="С">
      <formula>NOT(ISERROR(SEARCH("С",D130)))</formula>
    </cfRule>
    <cfRule type="containsText" dxfId="3" priority="4" operator="containsText" text="Ж">
      <formula>NOT(ISERROR(SEARCH("Ж",D130)))</formula>
    </cfRule>
  </conditionalFormatting>
  <conditionalFormatting sqref="V110">
    <cfRule type="cellIs" dxfId="2" priority="9" operator="equal">
      <formula>$Q$138</formula>
    </cfRule>
  </conditionalFormatting>
  <conditionalFormatting sqref="W6:AK29">
    <cfRule type="containsText" dxfId="1" priority="7" operator="containsText" text="С">
      <formula>NOT(ISERROR(SEARCH("С",W6)))</formula>
    </cfRule>
    <cfRule type="containsText" dxfId="0" priority="8" operator="containsText" text="Ж">
      <formula>NOT(ISERROR(SEARCH("Ж",W6)))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Расчет грейда</vt:lpstr>
      <vt:lpstr>ТРС общая</vt:lpstr>
      <vt:lpstr>справочная информация</vt:lpstr>
      <vt:lpstr>'ТРС общая'!Область_печати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Камалова Даяна Юлаевна</dc:creator>
  <cp:lastModifiedBy>Dmitriy Nesterov</cp:lastModifiedBy>
  <cp:lastPrinted>2024-10-23T14:32:48Z</cp:lastPrinted>
  <dcterms:created xsi:type="dcterms:W3CDTF">2024-08-21T14:49:59Z</dcterms:created>
  <dcterms:modified xsi:type="dcterms:W3CDTF">2025-10-30T11:43:49Z</dcterms:modified>
</cp:coreProperties>
</file>